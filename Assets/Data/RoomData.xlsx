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oms" sheetId="2" state="visible" r:id="rId2"/>
    <sheet name="EfficiencyForm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</font>
    <font>
      <name val="Arial"/>
    </font>
    <font>
      <name val="Arial"/>
      <color rgb="00FFFFFF"/>
    </font>
    <font>
      <name val="Arial"/>
      <color rgb="00000000"/>
    </font>
    <font>
      <name val="Arial"/>
      <b val="1"/>
      <sz val="14"/>
    </font>
    <font>
      <name val="Consolas"/>
    </font>
    <font>
      <name val="Arial"/>
      <b val="1"/>
    </font>
    <font>
      <name val="Arial"/>
      <color rgb="000000FF"/>
    </font>
  </fonts>
  <fills count="2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8800"/>
      </patternFill>
    </fill>
    <fill>
      <patternFill patternType="solid">
        <fgColor rgb="0000AA44"/>
      </patternFill>
    </fill>
    <fill>
      <patternFill patternType="solid">
        <fgColor rgb="008800DD"/>
      </patternFill>
    </fill>
    <fill>
      <patternFill patternType="solid">
        <fgColor rgb="00CC3333"/>
      </patternFill>
    </fill>
    <fill>
      <patternFill patternType="solid">
        <fgColor rgb="003366CC"/>
      </patternFill>
    </fill>
    <fill>
      <patternFill patternType="solid">
        <fgColor rgb="00886633"/>
      </patternFill>
    </fill>
    <fill>
      <patternFill patternType="solid">
        <fgColor rgb="00AA8855"/>
      </patternFill>
    </fill>
    <fill>
      <patternFill patternType="solid">
        <fgColor rgb="00777777"/>
      </patternFill>
    </fill>
    <fill>
      <patternFill patternType="solid">
        <fgColor rgb="00445566"/>
      </patternFill>
    </fill>
    <fill>
      <patternFill patternType="solid">
        <fgColor rgb="00880022"/>
      </patternFill>
    </fill>
    <fill>
      <patternFill patternType="solid">
        <fgColor rgb="00556B2F"/>
      </patternFill>
    </fill>
    <fill>
      <patternFill patternType="solid">
        <fgColor rgb="00E6C84A"/>
      </patternFill>
    </fill>
    <fill>
      <patternFill patternType="solid">
        <fgColor rgb="004A4A4A"/>
      </patternFill>
    </fill>
    <fill>
      <patternFill patternType="solid">
        <fgColor rgb="002E8B8B"/>
      </patternFill>
    </fill>
    <fill>
      <patternFill patternType="solid">
        <fgColor rgb="00BC4B8F"/>
      </patternFill>
    </fill>
    <fill>
      <patternFill patternType="solid">
        <fgColor rgb="0081D9FF"/>
      </patternFill>
    </fill>
    <fill>
      <patternFill patternType="solid">
        <fgColor rgb="00EEDD55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6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6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6" fillId="17" borderId="0" pivotButton="0" quotePrefix="0" xfId="0"/>
    <xf numFmtId="0" fontId="6" fillId="18" borderId="0" pivotButton="0" quotePrefix="0" xfId="0"/>
    <xf numFmtId="0" fontId="6" fillId="19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0" borderId="0" pivotButton="0" quotePrefix="0" xfId="0"/>
    <xf numFmtId="1" fontId="4" fillId="21" borderId="0" pivotButton="0" quotePrefix="0" xfId="0"/>
    <xf numFmtId="2" fontId="4" fillId="21" borderId="0" pivotButton="0" quotePrefix="0" xfId="0"/>
    <xf numFmtId="9" fontId="4" fillId="21" borderId="0" pivotButton="0" quotePrefix="0" xfId="0"/>
    <xf numFmtId="0" fontId="4" fillId="21" borderId="0" pivotButton="0" quotePrefix="0" xfId="0"/>
    <xf numFmtId="3" fontId="4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Must match a TileType name in TileDefinition.cs exactly. Never rename once used (see ReadMe).</t>
      </text>
    </comment>
    <comment ref="B1" authorId="0" shapeId="0">
      <text>
        <t>Shown in the HUD and tooltips.</t>
      </text>
    </comment>
    <comment ref="C1" authorId="0" shapeId="0">
      <text>
        <t>TRUE: forms rooms (tracked, scored for efficiency, sellable, counts as dungeon floor). FALSE for Heart, Portal, Hero Gate.</t>
      </text>
    </comment>
    <comment ref="D1" authorId="0" shapeId="0">
      <text>
        <t>TRUE: gets a build button in the HUD.</t>
      </text>
    </comment>
    <comment ref="E1" authorId="0" shapeId="0">
      <text>
        <t>Gold per tile to build. 0 = can't be bought.</t>
      </text>
    </comment>
    <comment ref="F1" authorId="0" shapeId="0">
      <text>
        <t>Gold per tile returned when sold.</t>
      </text>
    </comment>
    <comment ref="G1" authorId="0" shapeId="0">
      <text>
        <t>Hex RGB, e.g. DD8800, for the 2D grid (blended with the owner's colour).</t>
      </text>
    </comment>
    <comment ref="H1" authorId="0" shapeId="0">
      <text>
        <t>Tunnel (rooms), Liquid (bridges over water/lava) or None (not placed through the UI).</t>
      </text>
    </comment>
    <comment ref="I1" authorId="0" shapeId="0">
      <text>
        <t>TRUE: must be placed next to the owner's existing dungeon.</t>
      </text>
    </comment>
    <comment ref="J1" authorId="0" shapeId="0">
      <text>
        <t>TRUE: workers can't dig or damage it.</t>
      </text>
    </comment>
    <comment ref="K1" authorId="0" shapeId="0">
      <text>
        <t>What one tile holds at 100% efficiency: gold for a Treasury, beds for a Lair, chickens for a Hatchery. 0 = no capacity.</t>
      </text>
    </comment>
    <comment ref="L1" authorId="0" shapeId="0">
      <text>
        <t>TRUE: capacity = tiles × CapacityPerTile × efficiency (Treasury). FALSE: capacity is physical (one bed per Lair tile) and efficiency only speeds up the effect.</t>
      </text>
    </comment>
    <comment ref="M1" authorId="0" shapeId="0">
      <text>
        <t>Notes only — what the capacity counts.</t>
      </text>
    </comment>
    <comment ref="N1" authorId="0" shapeId="0">
      <text>
        <t>Efficiency of the worst layout: sprawling and unwalled. See EfficiencyFormula.</t>
      </text>
    </comment>
    <comment ref="O1" authorId="0" shapeId="0">
      <text>
        <t>Added at a perfectly compact rectangle; less for sprawling or irregular rooms.</t>
      </text>
    </comment>
    <comment ref="P1" authorId="0" shapeId="0">
      <text>
        <t>Added when every edge of the room is your own reinforced wall.</t>
      </text>
    </comment>
    <comment ref="Q1" authorId="0" shapeId="0">
      <text>
        <t>Player-facing description (also stored on the tile definition).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Room data</t>
        </is>
      </c>
    </row>
    <row r="2">
      <c r="A2" s="2" t="inlineStr"/>
    </row>
    <row r="3">
      <c r="A3" s="2" t="inlineStr">
        <is>
          <t>One row per room on the Rooms sheet. In Unity: Sunder &gt; Import Room Data reads this file (save it first) and updates each room's tile definition — creating any that don't exist yet — and adds them to the TileRegistry.</t>
        </is>
      </c>
    </row>
    <row r="4">
      <c r="A4" s="2" t="inlineStr">
        <is>
          <t>Values are placeholders to tune. Header cells have comments (hover) explaining each column.</t>
        </is>
      </c>
    </row>
    <row r="5">
      <c r="A5" s="2" t="inlineStr"/>
    </row>
    <row r="6">
      <c r="A6" s="1" t="inlineStr">
        <is>
          <t>Adding a room</t>
        </is>
      </c>
    </row>
    <row r="7">
      <c r="A7" s="2" t="inlineStr">
        <is>
          <t>1. Add its name to the TileType list in TileDefinition.cs (at the end).</t>
        </is>
      </c>
    </row>
    <row r="8">
      <c r="A8" s="2" t="inlineStr">
        <is>
          <t>2. Add a row here with the same RoomID, then import. Player-buildable rooms get a HUD button automatically if the HUD has a Room Button Template.</t>
        </is>
      </c>
    </row>
    <row r="9">
      <c r="A9" s="2" t="inlineStr">
        <is>
          <t>3. Renaming a room: add the old name to TileTypeNames.Legacy too, so old levels and saves still load.</t>
        </is>
      </c>
    </row>
    <row r="10">
      <c r="A10" s="2" t="inlineStr"/>
    </row>
    <row r="11">
      <c r="A11" s="1" t="inlineStr">
        <is>
          <t>Efficiency</t>
        </is>
      </c>
    </row>
    <row r="12">
      <c r="A12" s="2" t="inlineStr">
        <is>
          <t>Every room gets an efficiency score from its shape and walls — see the EfficiencyFormula sheet. It multiplies the room's capacity (when CapacityScalesWithEfficiency is TRUE) and, as room behaviour arrives, how fast minions sleep, train, research and so on there.</t>
        </is>
      </c>
    </row>
    <row r="13">
      <c r="A13" s="2" t="inlineStr"/>
    </row>
    <row r="14">
      <c r="A14" s="2" t="inlineStr">
        <is>
          <t>Not imported (kept on the tile asset): 3D prefab and offsets, category, traversal, hit points.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0" customWidth="1" min="8" max="8"/>
    <col width="18" customWidth="1" min="9" max="9"/>
    <col width="16" customWidth="1" min="10" max="10"/>
    <col width="17" customWidth="1" min="11" max="11"/>
    <col width="16" customWidth="1" min="12" max="12"/>
    <col width="14" customWidth="1" min="13" max="13"/>
    <col width="16" customWidth="1" min="14" max="14"/>
    <col width="13" customWidth="1" min="15" max="15"/>
    <col width="12" customWidth="1" min="16" max="16"/>
    <col width="80" customWidth="1" min="17" max="17"/>
  </cols>
  <sheetData>
    <row r="1">
      <c r="A1" s="3" t="inlineStr">
        <is>
          <t>RoomID</t>
        </is>
      </c>
      <c r="B1" s="3" t="inlineStr">
        <is>
          <t>DisplayName</t>
        </is>
      </c>
      <c r="C1" s="3" t="inlineStr">
        <is>
          <t>IsRoom</t>
        </is>
      </c>
      <c r="D1" s="3" t="inlineStr">
        <is>
          <t>PlayerBuildable</t>
        </is>
      </c>
      <c r="E1" s="3" t="inlineStr">
        <is>
          <t>BuyCost</t>
        </is>
      </c>
      <c r="F1" s="3" t="inlineStr">
        <is>
          <t>SellValue</t>
        </is>
      </c>
      <c r="G1" s="3" t="inlineStr">
        <is>
          <t>Colour</t>
        </is>
      </c>
      <c r="H1" s="3" t="inlineStr">
        <is>
          <t>PlacesOn</t>
        </is>
      </c>
      <c r="I1" s="3" t="inlineStr">
        <is>
          <t>RequiresAdjacency</t>
        </is>
      </c>
      <c r="J1" s="3" t="inlineStr">
        <is>
          <t>Indestructible</t>
        </is>
      </c>
      <c r="K1" s="3" t="inlineStr">
        <is>
          <t>CapacityPerTile</t>
        </is>
      </c>
      <c r="L1" s="3" t="inlineStr">
        <is>
          <t>CapacityScalesWithEfficiency</t>
        </is>
      </c>
      <c r="M1" s="3" t="inlineStr">
        <is>
          <t>CapacityUnit</t>
        </is>
      </c>
      <c r="N1" s="3" t="inlineStr">
        <is>
          <t>BaseEfficiency</t>
        </is>
      </c>
      <c r="O1" s="3" t="inlineStr">
        <is>
          <t>ShapeWeight</t>
        </is>
      </c>
      <c r="P1" s="3" t="inlineStr">
        <is>
          <t>WallWeight</t>
        </is>
      </c>
      <c r="Q1" s="3" t="inlineStr">
        <is>
          <t>Description</t>
        </is>
      </c>
    </row>
    <row r="2">
      <c r="A2" s="4" t="inlineStr">
        <is>
          <t>Treasury</t>
        </is>
      </c>
      <c r="B2" s="4" t="inlineStr">
        <is>
          <t>Treasury</t>
        </is>
      </c>
      <c r="C2" s="4" t="b">
        <v>1</v>
      </c>
      <c r="D2" s="4" t="b">
        <v>1</v>
      </c>
      <c r="E2" s="4" t="n">
        <v>20</v>
      </c>
      <c r="F2" s="4" t="n">
        <v>10</v>
      </c>
      <c r="G2" s="5" t="inlineStr">
        <is>
          <t>DD8800</t>
        </is>
      </c>
      <c r="H2" s="4" t="inlineStr">
        <is>
          <t>Tunnel</t>
        </is>
      </c>
      <c r="I2" s="4" t="b">
        <v>0</v>
      </c>
      <c r="J2" s="4" t="b">
        <v>0</v>
      </c>
      <c r="K2" s="4" t="n">
        <v>500</v>
      </c>
      <c r="L2" s="4" t="b">
        <v>1</v>
      </c>
      <c r="M2" s="4" t="inlineStr">
        <is>
          <t>gold</t>
        </is>
      </c>
      <c r="N2" s="4" t="n">
        <v>0.5</v>
      </c>
      <c r="O2" s="4" t="n">
        <v>0.3</v>
      </c>
      <c r="P2" s="4" t="n">
        <v>0.2</v>
      </c>
      <c r="Q2" s="4" t="inlineStr">
        <is>
          <t>Workers bring mined gold here. Its size and layout set how much gold it can hold. Minions walk here on payday to collect their salary.</t>
        </is>
      </c>
    </row>
    <row r="3">
      <c r="A3" s="4" t="inlineStr">
        <is>
          <t>Lair</t>
        </is>
      </c>
      <c r="B3" s="4" t="inlineStr">
        <is>
          <t>Lair</t>
        </is>
      </c>
      <c r="C3" s="4" t="b">
        <v>1</v>
      </c>
      <c r="D3" s="4" t="b">
        <v>1</v>
      </c>
      <c r="E3" s="4" t="n">
        <v>20</v>
      </c>
      <c r="F3" s="4" t="n">
        <v>10</v>
      </c>
      <c r="G3" s="6" t="inlineStr">
        <is>
          <t>00AA44</t>
        </is>
      </c>
      <c r="H3" s="4" t="inlineStr">
        <is>
          <t>Tunnel</t>
        </is>
      </c>
      <c r="I3" s="4" t="b">
        <v>0</v>
      </c>
      <c r="J3" s="4" t="b">
        <v>0</v>
      </c>
      <c r="K3" s="4" t="n">
        <v>1</v>
      </c>
      <c r="L3" s="4" t="b">
        <v>0</v>
      </c>
      <c r="M3" s="4" t="inlineStr">
        <is>
          <t>beds</t>
        </is>
      </c>
      <c r="N3" s="4" t="n">
        <v>0.5</v>
      </c>
      <c r="O3" s="4" t="n">
        <v>0.3</v>
      </c>
      <c r="P3" s="4" t="n">
        <v>0.2</v>
      </c>
      <c r="Q3" s="4" t="inlineStr">
        <is>
          <t>Each minion claims one bed tile and keeps it. Beds don't overlap. Efficiency speeds up sleep.</t>
        </is>
      </c>
    </row>
    <row r="4">
      <c r="A4" s="4" t="inlineStr">
        <is>
          <t>Hatchery</t>
        </is>
      </c>
      <c r="B4" s="4" t="inlineStr">
        <is>
          <t>Hatchery</t>
        </is>
      </c>
      <c r="C4" s="4" t="b">
        <v>1</v>
      </c>
      <c r="D4" s="4" t="b">
        <v>1</v>
      </c>
      <c r="E4" s="4" t="n">
        <v>40</v>
      </c>
      <c r="F4" s="4" t="n">
        <v>20</v>
      </c>
      <c r="G4" s="7" t="inlineStr">
        <is>
          <t>8800DD</t>
        </is>
      </c>
      <c r="H4" s="4" t="inlineStr">
        <is>
          <t>Tunnel</t>
        </is>
      </c>
      <c r="I4" s="4" t="b">
        <v>0</v>
      </c>
      <c r="J4" s="4" t="b">
        <v>0</v>
      </c>
      <c r="K4" s="4" t="n">
        <v>0.25</v>
      </c>
      <c r="L4" s="4" t="b">
        <v>1</v>
      </c>
      <c r="M4" s="4" t="inlineStr">
        <is>
          <t>chickens</t>
        </is>
      </c>
      <c r="N4" s="4" t="n">
        <v>0.5</v>
      </c>
      <c r="O4" s="4" t="n">
        <v>0.3</v>
      </c>
      <c r="P4" s="4" t="n">
        <v>0.2</v>
      </c>
      <c r="Q4" s="4" t="inlineStr">
        <is>
          <t>Chickens roam here; hungry minions come to eat them.</t>
        </is>
      </c>
    </row>
    <row r="5">
      <c r="A5" s="4" t="inlineStr">
        <is>
          <t>TrainingRoom</t>
        </is>
      </c>
      <c r="B5" s="4" t="inlineStr">
        <is>
          <t>Training Room</t>
        </is>
      </c>
      <c r="C5" s="4" t="b">
        <v>1</v>
      </c>
      <c r="D5" s="4" t="b">
        <v>1</v>
      </c>
      <c r="E5" s="4" t="n">
        <v>60</v>
      </c>
      <c r="F5" s="4" t="n">
        <v>30</v>
      </c>
      <c r="G5" s="8" t="inlineStr">
        <is>
          <t>CC3333</t>
        </is>
      </c>
      <c r="H5" s="4" t="inlineStr">
        <is>
          <t>Tunnel</t>
        </is>
      </c>
      <c r="I5" s="4" t="b">
        <v>0</v>
      </c>
      <c r="J5" s="4" t="b">
        <v>0</v>
      </c>
      <c r="K5" s="4" t="n">
        <v>0</v>
      </c>
      <c r="L5" s="4" t="b">
        <v>1</v>
      </c>
      <c r="M5" s="4" t="n"/>
      <c r="N5" s="4" t="n">
        <v>0.5</v>
      </c>
      <c r="O5" s="4" t="n">
        <v>0.3</v>
      </c>
      <c r="P5" s="4" t="n">
        <v>0.2</v>
      </c>
      <c r="Q5" s="4" t="inlineStr">
        <is>
          <t>Minions train here to gain experience, at a gold cost.</t>
        </is>
      </c>
    </row>
    <row r="6">
      <c r="A6" s="4" t="inlineStr">
        <is>
          <t>Library</t>
        </is>
      </c>
      <c r="B6" s="4" t="inlineStr">
        <is>
          <t>Library</t>
        </is>
      </c>
      <c r="C6" s="4" t="b">
        <v>1</v>
      </c>
      <c r="D6" s="4" t="b">
        <v>1</v>
      </c>
      <c r="E6" s="4" t="n">
        <v>60</v>
      </c>
      <c r="F6" s="4" t="n">
        <v>30</v>
      </c>
      <c r="G6" s="9" t="inlineStr">
        <is>
          <t>3366CC</t>
        </is>
      </c>
      <c r="H6" s="4" t="inlineStr">
        <is>
          <t>Tunnel</t>
        </is>
      </c>
      <c r="I6" s="4" t="b">
        <v>0</v>
      </c>
      <c r="J6" s="4" t="b">
        <v>0</v>
      </c>
      <c r="K6" s="4" t="n">
        <v>0</v>
      </c>
      <c r="L6" s="4" t="b">
        <v>1</v>
      </c>
      <c r="M6" s="4" t="n"/>
      <c r="N6" s="4" t="n">
        <v>0.5</v>
      </c>
      <c r="O6" s="4" t="n">
        <v>0.3</v>
      </c>
      <c r="P6" s="4" t="n">
        <v>0.2</v>
      </c>
      <c r="Q6" s="4" t="inlineStr">
        <is>
          <t>Minions research here, unlocking rooms, spells and minions.</t>
        </is>
      </c>
    </row>
    <row r="7">
      <c r="A7" s="4" t="inlineStr">
        <is>
          <t>Bridge</t>
        </is>
      </c>
      <c r="B7" s="4" t="inlineStr">
        <is>
          <t>Bridge</t>
        </is>
      </c>
      <c r="C7" s="4" t="b">
        <v>1</v>
      </c>
      <c r="D7" s="4" t="b">
        <v>1</v>
      </c>
      <c r="E7" s="4" t="n">
        <v>25</v>
      </c>
      <c r="F7" s="4" t="n">
        <v>12</v>
      </c>
      <c r="G7" s="10" t="inlineStr">
        <is>
          <t>886633</t>
        </is>
      </c>
      <c r="H7" s="4" t="inlineStr">
        <is>
          <t>Liquid</t>
        </is>
      </c>
      <c r="I7" s="4" t="b">
        <v>1</v>
      </c>
      <c r="J7" s="4" t="b">
        <v>0</v>
      </c>
      <c r="K7" s="4" t="n">
        <v>0</v>
      </c>
      <c r="L7" s="4" t="b">
        <v>1</v>
      </c>
      <c r="M7" s="4" t="n"/>
      <c r="N7" s="4" t="n">
        <v>1</v>
      </c>
      <c r="O7" s="4" t="n">
        <v>0</v>
      </c>
      <c r="P7" s="4" t="n">
        <v>0</v>
      </c>
      <c r="Q7" s="4" t="inlineStr">
        <is>
          <t>Built over water or lava to make it walkable.</t>
        </is>
      </c>
    </row>
    <row r="8">
      <c r="A8" s="4" t="inlineStr">
        <is>
          <t>GuardPost</t>
        </is>
      </c>
      <c r="B8" s="4" t="inlineStr">
        <is>
          <t>Guard Post</t>
        </is>
      </c>
      <c r="C8" s="4" t="b">
        <v>1</v>
      </c>
      <c r="D8" s="4" t="b">
        <v>1</v>
      </c>
      <c r="E8" s="4" t="n">
        <v>40</v>
      </c>
      <c r="F8" s="4" t="n">
        <v>20</v>
      </c>
      <c r="G8" s="11" t="inlineStr">
        <is>
          <t>AA8855</t>
        </is>
      </c>
      <c r="H8" s="4" t="inlineStr">
        <is>
          <t>Tunnel</t>
        </is>
      </c>
      <c r="I8" s="4" t="b">
        <v>0</v>
      </c>
      <c r="J8" s="4" t="b">
        <v>0</v>
      </c>
      <c r="K8" s="4" t="n">
        <v>0</v>
      </c>
      <c r="L8" s="4" t="b">
        <v>1</v>
      </c>
      <c r="M8" s="4" t="n"/>
      <c r="N8" s="4" t="n">
        <v>0.5</v>
      </c>
      <c r="O8" s="4" t="n">
        <v>0.3</v>
      </c>
      <c r="P8" s="4" t="n">
        <v>0.2</v>
      </c>
      <c r="Q8" s="4" t="inlineStr">
        <is>
          <t>Minions dropped here defend the area and patrol within it.</t>
        </is>
      </c>
    </row>
    <row r="9">
      <c r="A9" s="4" t="inlineStr">
        <is>
          <t>Workshop</t>
        </is>
      </c>
      <c r="B9" s="4" t="inlineStr">
        <is>
          <t>Workshop</t>
        </is>
      </c>
      <c r="C9" s="4" t="b">
        <v>1</v>
      </c>
      <c r="D9" s="4" t="b">
        <v>1</v>
      </c>
      <c r="E9" s="4" t="n">
        <v>80</v>
      </c>
      <c r="F9" s="4" t="n">
        <v>40</v>
      </c>
      <c r="G9" s="12" t="inlineStr">
        <is>
          <t>777777</t>
        </is>
      </c>
      <c r="H9" s="4" t="inlineStr">
        <is>
          <t>Tunnel</t>
        </is>
      </c>
      <c r="I9" s="4" t="b">
        <v>0</v>
      </c>
      <c r="J9" s="4" t="b">
        <v>0</v>
      </c>
      <c r="K9" s="4" t="n">
        <v>0</v>
      </c>
      <c r="L9" s="4" t="b">
        <v>1</v>
      </c>
      <c r="M9" s="4" t="n"/>
      <c r="N9" s="4" t="n">
        <v>0.5</v>
      </c>
      <c r="O9" s="4" t="n">
        <v>0.3</v>
      </c>
      <c r="P9" s="4" t="n">
        <v>0.2</v>
      </c>
      <c r="Q9" s="4" t="inlineStr">
        <is>
          <t>Traps and doors are built here.</t>
        </is>
      </c>
    </row>
    <row r="10">
      <c r="A10" s="4" t="inlineStr">
        <is>
          <t>Prison</t>
        </is>
      </c>
      <c r="B10" s="4" t="inlineStr">
        <is>
          <t>Prison</t>
        </is>
      </c>
      <c r="C10" s="4" t="b">
        <v>1</v>
      </c>
      <c r="D10" s="4" t="b">
        <v>1</v>
      </c>
      <c r="E10" s="4" t="n">
        <v>60</v>
      </c>
      <c r="F10" s="4" t="n">
        <v>30</v>
      </c>
      <c r="G10" s="13" t="inlineStr">
        <is>
          <t>445566</t>
        </is>
      </c>
      <c r="H10" s="4" t="inlineStr">
        <is>
          <t>Tunnel</t>
        </is>
      </c>
      <c r="I10" s="4" t="b">
        <v>0</v>
      </c>
      <c r="J10" s="4" t="b">
        <v>0</v>
      </c>
      <c r="K10" s="4" t="n">
        <v>0.25</v>
      </c>
      <c r="L10" s="4" t="b">
        <v>0</v>
      </c>
      <c r="M10" s="4" t="inlineStr">
        <is>
          <t>prisoners</t>
        </is>
      </c>
      <c r="N10" s="4" t="n">
        <v>0.5</v>
      </c>
      <c r="O10" s="4" t="n">
        <v>0.3</v>
      </c>
      <c r="P10" s="4" t="n">
        <v>0.2</v>
      </c>
      <c r="Q10" s="4" t="inlineStr">
        <is>
          <t>Captured enemy minions are held here.</t>
        </is>
      </c>
    </row>
    <row r="11">
      <c r="A11" s="4" t="inlineStr">
        <is>
          <t>TortureChamber</t>
        </is>
      </c>
      <c r="B11" s="4" t="inlineStr">
        <is>
          <t>Torture Chamber</t>
        </is>
      </c>
      <c r="C11" s="4" t="b">
        <v>1</v>
      </c>
      <c r="D11" s="4" t="b">
        <v>1</v>
      </c>
      <c r="E11" s="4" t="n">
        <v>100</v>
      </c>
      <c r="F11" s="4" t="n">
        <v>50</v>
      </c>
      <c r="G11" s="14" t="inlineStr">
        <is>
          <t>880022</t>
        </is>
      </c>
      <c r="H11" s="4" t="inlineStr">
        <is>
          <t>Tunnel</t>
        </is>
      </c>
      <c r="I11" s="4" t="b">
        <v>0</v>
      </c>
      <c r="J11" s="4" t="b">
        <v>0</v>
      </c>
      <c r="K11" s="4" t="n">
        <v>0</v>
      </c>
      <c r="L11" s="4" t="b">
        <v>1</v>
      </c>
      <c r="M11" s="4" t="n"/>
      <c r="N11" s="4" t="n">
        <v>0.5</v>
      </c>
      <c r="O11" s="4" t="n">
        <v>0.3</v>
      </c>
      <c r="P11" s="4" t="n">
        <v>0.2</v>
      </c>
      <c r="Q11" s="4" t="inlineStr">
        <is>
          <t>Converts enemy minions to your side by repeatedly injuring them.</t>
        </is>
      </c>
    </row>
    <row r="12">
      <c r="A12" s="4" t="inlineStr">
        <is>
          <t>Barracks</t>
        </is>
      </c>
      <c r="B12" s="4" t="inlineStr">
        <is>
          <t>Barracks</t>
        </is>
      </c>
      <c r="C12" s="4" t="b">
        <v>1</v>
      </c>
      <c r="D12" s="4" t="b">
        <v>1</v>
      </c>
      <c r="E12" s="4" t="n">
        <v>50</v>
      </c>
      <c r="F12" s="4" t="n">
        <v>25</v>
      </c>
      <c r="G12" s="15" t="inlineStr">
        <is>
          <t>556B2F</t>
        </is>
      </c>
      <c r="H12" s="4" t="inlineStr">
        <is>
          <t>Tunnel</t>
        </is>
      </c>
      <c r="I12" s="4" t="b">
        <v>0</v>
      </c>
      <c r="J12" s="4" t="b">
        <v>0</v>
      </c>
      <c r="K12" s="4" t="n">
        <v>0</v>
      </c>
      <c r="L12" s="4" t="b">
        <v>1</v>
      </c>
      <c r="M12" s="4" t="n"/>
      <c r="N12" s="4" t="n">
        <v>0.5</v>
      </c>
      <c r="O12" s="4" t="n">
        <v>0.3</v>
      </c>
      <c r="P12" s="4" t="n">
        <v>0.2</v>
      </c>
      <c r="Q12" s="4" t="inlineStr">
        <is>
          <t>Groups minions into squads.</t>
        </is>
      </c>
    </row>
    <row r="13">
      <c r="A13" s="4" t="inlineStr">
        <is>
          <t>Shrine</t>
        </is>
      </c>
      <c r="B13" s="4" t="inlineStr">
        <is>
          <t>Shrine</t>
        </is>
      </c>
      <c r="C13" s="4" t="b">
        <v>1</v>
      </c>
      <c r="D13" s="4" t="b">
        <v>1</v>
      </c>
      <c r="E13" s="4" t="n">
        <v>80</v>
      </c>
      <c r="F13" s="4" t="n">
        <v>40</v>
      </c>
      <c r="G13" s="16" t="inlineStr">
        <is>
          <t>E6C84A</t>
        </is>
      </c>
      <c r="H13" s="4" t="inlineStr">
        <is>
          <t>Tunnel</t>
        </is>
      </c>
      <c r="I13" s="4" t="b">
        <v>0</v>
      </c>
      <c r="J13" s="4" t="b">
        <v>0</v>
      </c>
      <c r="K13" s="4" t="n">
        <v>0</v>
      </c>
      <c r="L13" s="4" t="b">
        <v>1</v>
      </c>
      <c r="M13" s="4" t="n"/>
      <c r="N13" s="4" t="n">
        <v>0.5</v>
      </c>
      <c r="O13" s="4" t="n">
        <v>0.3</v>
      </c>
      <c r="P13" s="4" t="n">
        <v>0.2</v>
      </c>
      <c r="Q13" s="4" t="inlineStr">
        <is>
          <t>Minions pray, or are sacrificed, for gains still to be decided.</t>
        </is>
      </c>
    </row>
    <row r="14">
      <c r="A14" s="4" t="inlineStr">
        <is>
          <t>Graveyard</t>
        </is>
      </c>
      <c r="B14" s="4" t="inlineStr">
        <is>
          <t>Graveyard</t>
        </is>
      </c>
      <c r="C14" s="4" t="b">
        <v>1</v>
      </c>
      <c r="D14" s="4" t="b">
        <v>1</v>
      </c>
      <c r="E14" s="4" t="n">
        <v>60</v>
      </c>
      <c r="F14" s="4" t="n">
        <v>30</v>
      </c>
      <c r="G14" s="17" t="inlineStr">
        <is>
          <t>4A4A4A</t>
        </is>
      </c>
      <c r="H14" s="4" t="inlineStr">
        <is>
          <t>Tunnel</t>
        </is>
      </c>
      <c r="I14" s="4" t="b">
        <v>0</v>
      </c>
      <c r="J14" s="4" t="b">
        <v>0</v>
      </c>
      <c r="K14" s="4" t="n">
        <v>0.5</v>
      </c>
      <c r="L14" s="4" t="b">
        <v>0</v>
      </c>
      <c r="M14" s="4" t="inlineStr">
        <is>
          <t>bodies</t>
        </is>
      </c>
      <c r="N14" s="4" t="n">
        <v>0.5</v>
      </c>
      <c r="O14" s="4" t="n">
        <v>0.3</v>
      </c>
      <c r="P14" s="4" t="n">
        <v>0.2</v>
      </c>
      <c r="Q14" s="4" t="inlineStr">
        <is>
          <t>Bodies are brought here, for gains still to be decided.</t>
        </is>
      </c>
    </row>
    <row r="15">
      <c r="A15" s="4" t="inlineStr">
        <is>
          <t>ScavengerRoom</t>
        </is>
      </c>
      <c r="B15" s="4" t="inlineStr">
        <is>
          <t>Scavenger Room</t>
        </is>
      </c>
      <c r="C15" s="4" t="b">
        <v>1</v>
      </c>
      <c r="D15" s="4" t="b">
        <v>1</v>
      </c>
      <c r="E15" s="4" t="n">
        <v>100</v>
      </c>
      <c r="F15" s="4" t="n">
        <v>50</v>
      </c>
      <c r="G15" s="18" t="inlineStr">
        <is>
          <t>2E8B8B</t>
        </is>
      </c>
      <c r="H15" s="4" t="inlineStr">
        <is>
          <t>Tunnel</t>
        </is>
      </c>
      <c r="I15" s="4" t="b">
        <v>0</v>
      </c>
      <c r="J15" s="4" t="b">
        <v>0</v>
      </c>
      <c r="K15" s="4" t="n">
        <v>0</v>
      </c>
      <c r="L15" s="4" t="b">
        <v>1</v>
      </c>
      <c r="M15" s="4" t="n"/>
      <c r="N15" s="4" t="n">
        <v>0.5</v>
      </c>
      <c r="O15" s="4" t="n">
        <v>0.3</v>
      </c>
      <c r="P15" s="4" t="n">
        <v>0.2</v>
      </c>
      <c r="Q15" s="4" t="inlineStr">
        <is>
          <t>Steals research or minions from enemy factions.</t>
        </is>
      </c>
    </row>
    <row r="16">
      <c r="A16" s="4" t="inlineStr">
        <is>
          <t>Heart</t>
        </is>
      </c>
      <c r="B16" s="4" t="inlineStr">
        <is>
          <t>Dungeon Heart</t>
        </is>
      </c>
      <c r="C16" s="4" t="b">
        <v>0</v>
      </c>
      <c r="D16" s="4" t="b">
        <v>0</v>
      </c>
      <c r="E16" s="4" t="n">
        <v>0</v>
      </c>
      <c r="F16" s="4" t="n">
        <v>0</v>
      </c>
      <c r="G16" s="19" t="inlineStr">
        <is>
          <t>BC4B8F</t>
        </is>
      </c>
      <c r="H16" s="4" t="inlineStr">
        <is>
          <t>None</t>
        </is>
      </c>
      <c r="I16" s="4" t="b">
        <v>0</v>
      </c>
      <c r="J16" s="4" t="b">
        <v>1</v>
      </c>
      <c r="K16" s="4" t="n">
        <v>0</v>
      </c>
      <c r="L16" s="4" t="b">
        <v>1</v>
      </c>
      <c r="M16" s="4" t="n"/>
      <c r="N16" s="4" t="n">
        <v>1</v>
      </c>
      <c r="O16" s="4" t="n">
        <v>0</v>
      </c>
      <c r="P16" s="4" t="n">
        <v>0</v>
      </c>
      <c r="Q16" s="4" t="inlineStr">
        <is>
          <t>The heart of the dungeon. Lose it and you lose.</t>
        </is>
      </c>
    </row>
    <row r="17">
      <c r="A17" s="4" t="inlineStr">
        <is>
          <t>Portal</t>
        </is>
      </c>
      <c r="B17" s="4" t="inlineStr">
        <is>
          <t>Portal</t>
        </is>
      </c>
      <c r="C17" s="4" t="b">
        <v>0</v>
      </c>
      <c r="D17" s="4" t="b">
        <v>0</v>
      </c>
      <c r="E17" s="4" t="n">
        <v>0</v>
      </c>
      <c r="F17" s="4" t="n">
        <v>0</v>
      </c>
      <c r="G17" s="20" t="inlineStr">
        <is>
          <t>81D9FF</t>
        </is>
      </c>
      <c r="H17" s="4" t="inlineStr">
        <is>
          <t>None</t>
        </is>
      </c>
      <c r="I17" s="4" t="b">
        <v>0</v>
      </c>
      <c r="J17" s="4" t="b">
        <v>1</v>
      </c>
      <c r="K17" s="4" t="n">
        <v>0</v>
      </c>
      <c r="L17" s="4" t="b">
        <v>1</v>
      </c>
      <c r="M17" s="4" t="n"/>
      <c r="N17" s="4" t="n">
        <v>1</v>
      </c>
      <c r="O17" s="4" t="n">
        <v>0</v>
      </c>
      <c r="P17" s="4" t="n">
        <v>0</v>
      </c>
      <c r="Q17" s="4" t="inlineStr">
        <is>
          <t>Summons minions to the dungeon.</t>
        </is>
      </c>
    </row>
    <row r="18">
      <c r="A18" s="4" t="inlineStr">
        <is>
          <t>HeroGate</t>
        </is>
      </c>
      <c r="B18" s="4" t="inlineStr">
        <is>
          <t>Hero Gate</t>
        </is>
      </c>
      <c r="C18" s="4" t="b">
        <v>0</v>
      </c>
      <c r="D18" s="4" t="b">
        <v>0</v>
      </c>
      <c r="E18" s="4" t="n">
        <v>0</v>
      </c>
      <c r="F18" s="4" t="n">
        <v>0</v>
      </c>
      <c r="G18" s="21" t="inlineStr">
        <is>
          <t>EEDD55</t>
        </is>
      </c>
      <c r="H18" s="4" t="inlineStr">
        <is>
          <t>None</t>
        </is>
      </c>
      <c r="I18" s="4" t="b">
        <v>0</v>
      </c>
      <c r="J18" s="4" t="b">
        <v>1</v>
      </c>
      <c r="K18" s="4" t="n">
        <v>0</v>
      </c>
      <c r="L18" s="4" t="b">
        <v>1</v>
      </c>
      <c r="M18" s="4" t="n"/>
      <c r="N18" s="4" t="n">
        <v>1</v>
      </c>
      <c r="O18" s="4" t="n">
        <v>0</v>
      </c>
      <c r="P18" s="4" t="n">
        <v>0</v>
      </c>
      <c r="Q18" s="4" t="inlineStr">
        <is>
          <t>Non-player structure that summons heroes into the dungeon.</t>
        </is>
      </c>
    </row>
  </sheetData>
  <dataValidations count="2">
    <dataValidation sqref="H2:H200" showDropDown="0" showInputMessage="0" showErrorMessage="0" allowBlank="0" type="list">
      <formula1>"Tunnel,Liquid,None"</formula1>
    </dataValidation>
    <dataValidation sqref="C2:C200 D2:D200 I2:I200 J2:J200 L2:L2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2" t="inlineStr">
        <is>
          <t>Room efficiency</t>
        </is>
      </c>
    </row>
    <row r="3">
      <c r="A3" s="23" t="inlineStr">
        <is>
          <t>Efficiency = BaseEfficiency + ShapeWeight × Shape + WallWeight × WallCoverage        (never below 0)</t>
        </is>
      </c>
    </row>
    <row r="4">
      <c r="A4" s="4" t="inlineStr"/>
    </row>
    <row r="5">
      <c r="A5" s="23" t="inlineStr">
        <is>
          <t>Shape = Compactness × Rectangularity          (0 to 1; a full rectangle close to square scores 1)</t>
        </is>
      </c>
    </row>
    <row r="6">
      <c r="A6" s="23" t="inlineStr">
        <is>
          <t xml:space="preserve">   Compactness    = MinPerimeter / Perimeter      a room hugging the least edge it can; corridors and sprawl score lower</t>
        </is>
      </c>
    </row>
    <row r="7">
      <c r="A7" s="23" t="inlineStr">
        <is>
          <t xml:space="preserve">   MinPerimeter   = 2 × ⌈2 × √Tiles⌉              the least perimeter any room of that many tiles can have</t>
        </is>
      </c>
    </row>
    <row r="8">
      <c r="A8" s="23" t="inlineStr">
        <is>
          <t xml:space="preserve">   Rectangularity = Tiles / bounding-box area     gaps and notches score lower</t>
        </is>
      </c>
    </row>
    <row r="9">
      <c r="A9" s="4" t="inlineStr"/>
    </row>
    <row r="10">
      <c r="A10" s="23" t="inlineStr">
        <is>
          <t>WallCoverage = WallEdges / Perimeter             (0 to 1)</t>
        </is>
      </c>
    </row>
    <row r="11">
      <c r="A11" s="23" t="inlineStr">
        <is>
          <t xml:space="preserve">   Perimeter = edges between a room tile and any tile that isn't part of that room</t>
        </is>
      </c>
    </row>
    <row r="12">
      <c r="A12" s="23" t="inlineStr">
        <is>
          <t xml:space="preserve">   WallEdges = those edges facing the owner's own reinforced Wall (doors will count too, once they exist)</t>
        </is>
      </c>
    </row>
    <row r="13">
      <c r="A13" s="4" t="inlineStr"/>
    </row>
    <row r="14">
      <c r="A14" s="4" t="inlineStr">
        <is>
          <t>With the standard weights (0.5 / 0.3 / 0.2) a sprawling, unwalled room works at about 50-65%, a neat open 3x3 at 80%,</t>
        </is>
      </c>
    </row>
    <row r="15">
      <c r="A15" s="4" t="inlineStr">
        <is>
          <t>and a fully walled 3x3 at 100%. Leave at least one edge open (or, later, a door) so minions can get in.</t>
        </is>
      </c>
    </row>
    <row r="17">
      <c r="A17" s="24" t="inlineStr">
        <is>
          <t>Calculator — edit the yellow cells</t>
        </is>
      </c>
    </row>
    <row r="18">
      <c r="A18" s="4" t="inlineStr">
        <is>
          <t>Tiles</t>
        </is>
      </c>
      <c r="B18" s="25" t="n">
        <v>9</v>
      </c>
    </row>
    <row r="19">
      <c r="A19" s="4" t="inlineStr">
        <is>
          <t>Bounding box width</t>
        </is>
      </c>
      <c r="B19" s="25" t="n">
        <v>3</v>
      </c>
    </row>
    <row r="20">
      <c r="A20" s="4" t="inlineStr">
        <is>
          <t>Bounding box height</t>
        </is>
      </c>
      <c r="B20" s="25" t="n">
        <v>3</v>
      </c>
    </row>
    <row r="21">
      <c r="A21" s="4" t="inlineStr">
        <is>
          <t>Perimeter</t>
        </is>
      </c>
      <c r="B21" s="25" t="n">
        <v>12</v>
      </c>
    </row>
    <row r="22">
      <c r="A22" s="4" t="inlineStr">
        <is>
          <t>Wall edges</t>
        </is>
      </c>
      <c r="B22" s="25" t="n">
        <v>6</v>
      </c>
    </row>
    <row r="23">
      <c r="A23" s="4" t="inlineStr">
        <is>
          <t>BaseEfficiency</t>
        </is>
      </c>
      <c r="B23" s="25" t="n">
        <v>0.5</v>
      </c>
    </row>
    <row r="24">
      <c r="A24" s="4" t="inlineStr">
        <is>
          <t>ShapeWeight</t>
        </is>
      </c>
      <c r="B24" s="25" t="n">
        <v>0.3</v>
      </c>
    </row>
    <row r="25">
      <c r="A25" s="4" t="inlineStr">
        <is>
          <t>WallWeight</t>
        </is>
      </c>
      <c r="B25" s="25" t="n">
        <v>0.2</v>
      </c>
    </row>
    <row r="27">
      <c r="A27" s="4" t="inlineStr">
        <is>
          <t>MinPerimeter</t>
        </is>
      </c>
      <c r="B27" s="26">
        <f>2*CEILING(2*SQRT(B18),1)</f>
        <v/>
      </c>
    </row>
    <row r="28">
      <c r="A28" s="4" t="inlineStr">
        <is>
          <t>Compactness</t>
        </is>
      </c>
      <c r="B28" s="27">
        <f>MIN(1,B27/B21)</f>
        <v/>
      </c>
    </row>
    <row r="29">
      <c r="A29" s="4" t="inlineStr">
        <is>
          <t>Rectangularity</t>
        </is>
      </c>
      <c r="B29" s="27">
        <f>B18/(B19*B20)</f>
        <v/>
      </c>
    </row>
    <row r="30">
      <c r="A30" s="4" t="inlineStr">
        <is>
          <t>Shape</t>
        </is>
      </c>
      <c r="B30" s="27">
        <f>B28*B29</f>
        <v/>
      </c>
    </row>
    <row r="31">
      <c r="A31" s="4" t="inlineStr">
        <is>
          <t>WallCoverage</t>
        </is>
      </c>
      <c r="B31" s="27">
        <f>B22/B21</f>
        <v/>
      </c>
    </row>
    <row r="32">
      <c r="A32" s="24" t="inlineStr">
        <is>
          <t>Efficiency</t>
        </is>
      </c>
      <c r="B32" s="28">
        <f>MAX(0,B23+B24*B30+B25*B31)</f>
        <v/>
      </c>
    </row>
    <row r="35">
      <c r="A35" s="24" t="inlineStr">
        <is>
          <t>Examples (standard weights 0.5 / 0.3 / 0.2; Treasury at 500 gold per tile)</t>
        </is>
      </c>
    </row>
    <row r="36">
      <c r="A36" s="24" t="inlineStr">
        <is>
          <t>Layout</t>
        </is>
      </c>
      <c r="B36" s="24" t="inlineStr">
        <is>
          <t>Tiles</t>
        </is>
      </c>
      <c r="C36" s="24" t="inlineStr">
        <is>
          <t>Width</t>
        </is>
      </c>
      <c r="D36" s="24" t="inlineStr">
        <is>
          <t>Height</t>
        </is>
      </c>
      <c r="E36" s="24" t="inlineStr">
        <is>
          <t>Perimeter</t>
        </is>
      </c>
      <c r="F36" s="24" t="inlineStr">
        <is>
          <t>Wall edges</t>
        </is>
      </c>
      <c r="G36" s="24" t="inlineStr">
        <is>
          <t>MinPerimeter</t>
        </is>
      </c>
      <c r="H36" s="24" t="inlineStr">
        <is>
          <t>Compactness</t>
        </is>
      </c>
      <c r="I36" s="24" t="inlineStr">
        <is>
          <t>Rectangularity</t>
        </is>
      </c>
      <c r="J36" s="24" t="inlineStr">
        <is>
          <t>Shape</t>
        </is>
      </c>
      <c r="K36" s="24" t="inlineStr">
        <is>
          <t>WallCoverage</t>
        </is>
      </c>
      <c r="L36" s="24" t="inlineStr">
        <is>
          <t>Efficiency</t>
        </is>
      </c>
      <c r="M36" s="24" t="inlineStr">
        <is>
          <t>Treasury gold</t>
        </is>
      </c>
    </row>
    <row r="37">
      <c r="A37" s="4" t="inlineStr">
        <is>
          <t>3x3, no walls</t>
        </is>
      </c>
      <c r="B37" s="4" t="n">
        <v>9</v>
      </c>
      <c r="C37" s="4" t="n">
        <v>3</v>
      </c>
      <c r="D37" s="4" t="n">
        <v>3</v>
      </c>
      <c r="E37" s="4" t="n">
        <v>12</v>
      </c>
      <c r="F37" s="4" t="n">
        <v>0</v>
      </c>
      <c r="G37" s="29">
        <f>2*CEILING(2*SQRT(B37),1)</f>
        <v/>
      </c>
      <c r="H37" s="27">
        <f>MIN(1,G37/E37)</f>
        <v/>
      </c>
      <c r="I37" s="27">
        <f>B37/(C37*D37)</f>
        <v/>
      </c>
      <c r="J37" s="27">
        <f>H37*I37</f>
        <v/>
      </c>
      <c r="K37" s="27">
        <f>F37/E37</f>
        <v/>
      </c>
      <c r="L37" s="28">
        <f>MAX(0,0.5+0.3*J37+0.2*K37)</f>
        <v/>
      </c>
      <c r="M37" s="30">
        <f>INT(B37*500*L37+0.0001)</f>
        <v/>
      </c>
    </row>
    <row r="38">
      <c r="A38" s="4" t="inlineStr">
        <is>
          <t>3x3, walled except 1 entrance</t>
        </is>
      </c>
      <c r="B38" s="4" t="n">
        <v>9</v>
      </c>
      <c r="C38" s="4" t="n">
        <v>3</v>
      </c>
      <c r="D38" s="4" t="n">
        <v>3</v>
      </c>
      <c r="E38" s="4" t="n">
        <v>12</v>
      </c>
      <c r="F38" s="4" t="n">
        <v>11</v>
      </c>
      <c r="G38" s="29">
        <f>2*CEILING(2*SQRT(B38),1)</f>
        <v/>
      </c>
      <c r="H38" s="27">
        <f>MIN(1,G38/E38)</f>
        <v/>
      </c>
      <c r="I38" s="27">
        <f>B38/(C38*D38)</f>
        <v/>
      </c>
      <c r="J38" s="27">
        <f>H38*I38</f>
        <v/>
      </c>
      <c r="K38" s="27">
        <f>F38/E38</f>
        <v/>
      </c>
      <c r="L38" s="28">
        <f>MAX(0,0.5+0.3*J38+0.2*K38)</f>
        <v/>
      </c>
      <c r="M38" s="30">
        <f>INT(B38*500*L38+0.0001)</f>
        <v/>
      </c>
    </row>
    <row r="39">
      <c r="A39" s="4" t="inlineStr">
        <is>
          <t>3x3, fully walled</t>
        </is>
      </c>
      <c r="B39" s="4" t="n">
        <v>9</v>
      </c>
      <c r="C39" s="4" t="n">
        <v>3</v>
      </c>
      <c r="D39" s="4" t="n">
        <v>3</v>
      </c>
      <c r="E39" s="4" t="n">
        <v>12</v>
      </c>
      <c r="F39" s="4" t="n">
        <v>12</v>
      </c>
      <c r="G39" s="29">
        <f>2*CEILING(2*SQRT(B39),1)</f>
        <v/>
      </c>
      <c r="H39" s="27">
        <f>MIN(1,G39/E39)</f>
        <v/>
      </c>
      <c r="I39" s="27">
        <f>B39/(C39*D39)</f>
        <v/>
      </c>
      <c r="J39" s="27">
        <f>H39*I39</f>
        <v/>
      </c>
      <c r="K39" s="27">
        <f>F39/E39</f>
        <v/>
      </c>
      <c r="L39" s="28">
        <f>MAX(0,0.5+0.3*J39+0.2*K39)</f>
        <v/>
      </c>
      <c r="M39" s="30">
        <f>INT(B39*500*L39+0.0001)</f>
        <v/>
      </c>
    </row>
    <row r="40">
      <c r="A40" s="4" t="inlineStr">
        <is>
          <t>1x9 corridor</t>
        </is>
      </c>
      <c r="B40" s="4" t="n">
        <v>9</v>
      </c>
      <c r="C40" s="4" t="n">
        <v>1</v>
      </c>
      <c r="D40" s="4" t="n">
        <v>9</v>
      </c>
      <c r="E40" s="4" t="n">
        <v>20</v>
      </c>
      <c r="F40" s="4" t="n">
        <v>0</v>
      </c>
      <c r="G40" s="29">
        <f>2*CEILING(2*SQRT(B40),1)</f>
        <v/>
      </c>
      <c r="H40" s="27">
        <f>MIN(1,G40/E40)</f>
        <v/>
      </c>
      <c r="I40" s="27">
        <f>B40/(C40*D40)</f>
        <v/>
      </c>
      <c r="J40" s="27">
        <f>H40*I40</f>
        <v/>
      </c>
      <c r="K40" s="27">
        <f>F40/E40</f>
        <v/>
      </c>
      <c r="L40" s="28">
        <f>MAX(0,0.5+0.3*J40+0.2*K40)</f>
        <v/>
      </c>
      <c r="M40" s="30">
        <f>INT(B40*500*L40+0.0001)</f>
        <v/>
      </c>
    </row>
    <row r="41">
      <c r="A41" s="4" t="inlineStr">
        <is>
          <t>3x3 missing a corner</t>
        </is>
      </c>
      <c r="B41" s="4" t="n">
        <v>8</v>
      </c>
      <c r="C41" s="4" t="n">
        <v>3</v>
      </c>
      <c r="D41" s="4" t="n">
        <v>3</v>
      </c>
      <c r="E41" s="4" t="n">
        <v>12</v>
      </c>
      <c r="F41" s="4" t="n">
        <v>0</v>
      </c>
      <c r="G41" s="29">
        <f>2*CEILING(2*SQRT(B41),1)</f>
        <v/>
      </c>
      <c r="H41" s="27">
        <f>MIN(1,G41/E41)</f>
        <v/>
      </c>
      <c r="I41" s="27">
        <f>B41/(C41*D41)</f>
        <v/>
      </c>
      <c r="J41" s="27">
        <f>H41*I41</f>
        <v/>
      </c>
      <c r="K41" s="27">
        <f>F41/E41</f>
        <v/>
      </c>
      <c r="L41" s="28">
        <f>MAX(0,0.5+0.3*J41+0.2*K41)</f>
        <v/>
      </c>
      <c r="M41" s="30">
        <f>INT(B41*500*L41+0.0001)</f>
        <v/>
      </c>
    </row>
    <row r="42">
      <c r="A42" s="4" t="inlineStr">
        <is>
          <t>9-tile staircase</t>
        </is>
      </c>
      <c r="B42" s="4" t="n">
        <v>9</v>
      </c>
      <c r="C42" s="4" t="n">
        <v>5</v>
      </c>
      <c r="D42" s="4" t="n">
        <v>5</v>
      </c>
      <c r="E42" s="4" t="n">
        <v>20</v>
      </c>
      <c r="F42" s="4" t="n">
        <v>0</v>
      </c>
      <c r="G42" s="29">
        <f>2*CEILING(2*SQRT(B42),1)</f>
        <v/>
      </c>
      <c r="H42" s="27">
        <f>MIN(1,G42/E42)</f>
        <v/>
      </c>
      <c r="I42" s="27">
        <f>B42/(C42*D42)</f>
        <v/>
      </c>
      <c r="J42" s="27">
        <f>H42*I42</f>
        <v/>
      </c>
      <c r="K42" s="27">
        <f>F42/E42</f>
        <v/>
      </c>
      <c r="L42" s="28">
        <f>MAX(0,0.5+0.3*J42+0.2*K42)</f>
        <v/>
      </c>
      <c r="M42" s="30">
        <f>INT(B42*500*L42+0.0001)</f>
        <v/>
      </c>
    </row>
    <row r="43">
      <c r="A43" s="4" t="inlineStr">
        <is>
          <t>5x5, no walls</t>
        </is>
      </c>
      <c r="B43" s="4" t="n">
        <v>25</v>
      </c>
      <c r="C43" s="4" t="n">
        <v>5</v>
      </c>
      <c r="D43" s="4" t="n">
        <v>5</v>
      </c>
      <c r="E43" s="4" t="n">
        <v>20</v>
      </c>
      <c r="F43" s="4" t="n">
        <v>0</v>
      </c>
      <c r="G43" s="29">
        <f>2*CEILING(2*SQRT(B43),1)</f>
        <v/>
      </c>
      <c r="H43" s="27">
        <f>MIN(1,G43/E43)</f>
        <v/>
      </c>
      <c r="I43" s="27">
        <f>B43/(C43*D43)</f>
        <v/>
      </c>
      <c r="J43" s="27">
        <f>H43*I43</f>
        <v/>
      </c>
      <c r="K43" s="27">
        <f>F43/E43</f>
        <v/>
      </c>
      <c r="L43" s="28">
        <f>MAX(0,0.5+0.3*J43+0.2*K43)</f>
        <v/>
      </c>
      <c r="M43" s="30">
        <f>INT(B43*500*L43+0.0001)</f>
        <v/>
      </c>
    </row>
    <row r="44">
      <c r="A44" s="4" t="inlineStr">
        <is>
          <t>5x5, fully walled</t>
        </is>
      </c>
      <c r="B44" s="4" t="n">
        <v>25</v>
      </c>
      <c r="C44" s="4" t="n">
        <v>5</v>
      </c>
      <c r="D44" s="4" t="n">
        <v>5</v>
      </c>
      <c r="E44" s="4" t="n">
        <v>20</v>
      </c>
      <c r="F44" s="4" t="n">
        <v>20</v>
      </c>
      <c r="G44" s="29">
        <f>2*CEILING(2*SQRT(B44),1)</f>
        <v/>
      </c>
      <c r="H44" s="27">
        <f>MIN(1,G44/E44)</f>
        <v/>
      </c>
      <c r="I44" s="27">
        <f>B44/(C44*D44)</f>
        <v/>
      </c>
      <c r="J44" s="27">
        <f>H44*I44</f>
        <v/>
      </c>
      <c r="K44" s="27">
        <f>F44/E44</f>
        <v/>
      </c>
      <c r="L44" s="28">
        <f>MAX(0,0.5+0.3*J44+0.2*K44)</f>
        <v/>
      </c>
      <c r="M44" s="30">
        <f>INT(B44*500*L44+0.0001)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2026-10-03T02:17:07Z</dcterms:created>
  <dcterms:modified xsi:type="dcterms:W3CDTF">2026-10-03T02:17:07Z</dcterms:modified>
</cp:coreProperties>
</file>