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purs\Documents\Making Things\Computer Games\Sunderland\Assets\ChrispyGaming\Data\"/>
    </mc:Choice>
  </mc:AlternateContent>
  <xr:revisionPtr revIDLastSave="0" documentId="13_ncr:1_{9DD2FF9C-DB92-4D30-BC9F-51F925D8F3D2}" xr6:coauthVersionLast="47" xr6:coauthVersionMax="47" xr10:uidLastSave="{00000000-0000-0000-0000-000000000000}"/>
  <bookViews>
    <workbookView xWindow="28680" yWindow="-120" windowWidth="29040" windowHeight="15720" firstSheet="1" activeTab="9" xr2:uid="{00000000-000D-0000-FFFF-FFFF00000000}"/>
  </bookViews>
  <sheets>
    <sheet name="ReadMe" sheetId="1" r:id="rId1"/>
    <sheet name="Stats" sheetId="2" r:id="rId2"/>
    <sheet name="LevelFormula" sheetId="3" r:id="rId3"/>
    <sheet name="DamageTypes" sheetId="4" r:id="rId4"/>
    <sheet name="Abilities" sheetId="5" r:id="rId5"/>
    <sheet name="01U_Data" sheetId="6" r:id="rId6"/>
    <sheet name="01U_Levels" sheetId="7" r:id="rId7"/>
    <sheet name="01U_Relations" sheetId="8" r:id="rId8"/>
    <sheet name="01H_Data" sheetId="10" r:id="rId9"/>
    <sheet name="01H_Levels" sheetId="11" r:id="rId10"/>
    <sheet name="01H_Relations" sheetId="12" r:id="rId11"/>
  </sheets>
  <definedNames>
    <definedName name="MaxLevel">LevelFormula!$B$20</definedName>
  </definedNames>
  <calcPr calcId="181029"/>
</workbook>
</file>

<file path=xl/calcChain.xml><?xml version="1.0" encoding="utf-8"?>
<calcChain xmlns="http://schemas.openxmlformats.org/spreadsheetml/2006/main">
  <c r="Q457" i="11" l="1"/>
  <c r="P457" i="11"/>
  <c r="O457" i="11"/>
  <c r="N457" i="11"/>
  <c r="M457" i="11"/>
  <c r="L457" i="11"/>
  <c r="K457" i="11"/>
  <c r="J457" i="11"/>
  <c r="I457" i="11"/>
  <c r="H457" i="11"/>
  <c r="Q456" i="11"/>
  <c r="P456" i="11"/>
  <c r="O456" i="11"/>
  <c r="N456" i="11"/>
  <c r="M456" i="11"/>
  <c r="L456" i="11"/>
  <c r="K456" i="11"/>
  <c r="J456" i="11"/>
  <c r="I456" i="11"/>
  <c r="H456" i="11"/>
  <c r="Q455" i="11"/>
  <c r="P455" i="11"/>
  <c r="O455" i="11"/>
  <c r="N455" i="11"/>
  <c r="M455" i="11"/>
  <c r="L455" i="11"/>
  <c r="K455" i="11"/>
  <c r="J455" i="11"/>
  <c r="I455" i="11"/>
  <c r="H455" i="11"/>
  <c r="Q454" i="11"/>
  <c r="P454" i="11"/>
  <c r="O454" i="11"/>
  <c r="N454" i="11"/>
  <c r="M454" i="11"/>
  <c r="L454" i="11"/>
  <c r="K454" i="11"/>
  <c r="J454" i="11"/>
  <c r="I454" i="11"/>
  <c r="H454" i="11"/>
  <c r="Q453" i="11"/>
  <c r="P453" i="11"/>
  <c r="O453" i="11"/>
  <c r="N453" i="11"/>
  <c r="M453" i="11"/>
  <c r="L453" i="11"/>
  <c r="K453" i="11"/>
  <c r="J453" i="11"/>
  <c r="I453" i="11"/>
  <c r="H453" i="11"/>
  <c r="Q452" i="11"/>
  <c r="P452" i="11"/>
  <c r="O452" i="11"/>
  <c r="N452" i="11"/>
  <c r="M452" i="11"/>
  <c r="L452" i="11"/>
  <c r="K452" i="11"/>
  <c r="J452" i="11"/>
  <c r="I452" i="11"/>
  <c r="H452" i="11"/>
  <c r="Q451" i="11"/>
  <c r="P451" i="11"/>
  <c r="O451" i="11"/>
  <c r="N451" i="11"/>
  <c r="M451" i="11"/>
  <c r="L451" i="11"/>
  <c r="K451" i="11"/>
  <c r="J451" i="11"/>
  <c r="I451" i="11"/>
  <c r="H451" i="11"/>
  <c r="Q450" i="11"/>
  <c r="P450" i="11"/>
  <c r="O450" i="11"/>
  <c r="N450" i="11"/>
  <c r="M450" i="11"/>
  <c r="L450" i="11"/>
  <c r="K450" i="11"/>
  <c r="J450" i="11"/>
  <c r="I450" i="11"/>
  <c r="H450" i="11"/>
  <c r="Q449" i="11"/>
  <c r="P449" i="11"/>
  <c r="O449" i="11"/>
  <c r="N449" i="11"/>
  <c r="M449" i="11"/>
  <c r="L449" i="11"/>
  <c r="K449" i="11"/>
  <c r="J449" i="11"/>
  <c r="I449" i="11"/>
  <c r="H449" i="11"/>
  <c r="Q448" i="11"/>
  <c r="P448" i="11"/>
  <c r="O448" i="11"/>
  <c r="N448" i="11"/>
  <c r="M448" i="11"/>
  <c r="L448" i="11"/>
  <c r="K448" i="11"/>
  <c r="J448" i="11"/>
  <c r="I448" i="11"/>
  <c r="H448" i="11"/>
  <c r="Q447" i="11"/>
  <c r="P447" i="11"/>
  <c r="O447" i="11"/>
  <c r="N447" i="11"/>
  <c r="M447" i="11"/>
  <c r="L447" i="11"/>
  <c r="K447" i="11"/>
  <c r="J447" i="11"/>
  <c r="I447" i="11"/>
  <c r="H447" i="11"/>
  <c r="Q446" i="11"/>
  <c r="P446" i="11"/>
  <c r="O446" i="11"/>
  <c r="N446" i="11"/>
  <c r="M446" i="11"/>
  <c r="L446" i="11"/>
  <c r="K446" i="11"/>
  <c r="J446" i="11"/>
  <c r="I446" i="11"/>
  <c r="H446" i="11"/>
  <c r="Q445" i="11"/>
  <c r="P445" i="11"/>
  <c r="O445" i="11"/>
  <c r="N445" i="11"/>
  <c r="M445" i="11"/>
  <c r="L445" i="11"/>
  <c r="K445" i="11"/>
  <c r="J445" i="11"/>
  <c r="I445" i="11"/>
  <c r="H445" i="11"/>
  <c r="Q444" i="11"/>
  <c r="P444" i="11"/>
  <c r="O444" i="11"/>
  <c r="N444" i="11"/>
  <c r="M444" i="11"/>
  <c r="L444" i="11"/>
  <c r="K444" i="11"/>
  <c r="J444" i="11"/>
  <c r="I444" i="11"/>
  <c r="H444" i="11"/>
  <c r="Q443" i="11"/>
  <c r="P443" i="11"/>
  <c r="O443" i="11"/>
  <c r="N443" i="11"/>
  <c r="M443" i="11"/>
  <c r="L443" i="11"/>
  <c r="K443" i="11"/>
  <c r="J443" i="11"/>
  <c r="I443" i="11"/>
  <c r="H443" i="11"/>
  <c r="Q442" i="11"/>
  <c r="P442" i="11"/>
  <c r="O442" i="11"/>
  <c r="N442" i="11"/>
  <c r="M442" i="11"/>
  <c r="L442" i="11"/>
  <c r="K442" i="11"/>
  <c r="J442" i="11"/>
  <c r="I442" i="11"/>
  <c r="H442" i="11"/>
  <c r="Q441" i="11"/>
  <c r="P441" i="11"/>
  <c r="O441" i="11"/>
  <c r="N441" i="11"/>
  <c r="M441" i="11"/>
  <c r="L441" i="11"/>
  <c r="K441" i="11"/>
  <c r="J441" i="11"/>
  <c r="I441" i="11"/>
  <c r="H441" i="11"/>
  <c r="Q440" i="11"/>
  <c r="P440" i="11"/>
  <c r="O440" i="11"/>
  <c r="N440" i="11"/>
  <c r="M440" i="11"/>
  <c r="L440" i="11"/>
  <c r="K440" i="11"/>
  <c r="J440" i="11"/>
  <c r="I440" i="11"/>
  <c r="H440" i="11"/>
  <c r="Q439" i="11"/>
  <c r="P439" i="11"/>
  <c r="O439" i="11"/>
  <c r="N439" i="11"/>
  <c r="M439" i="11"/>
  <c r="L439" i="11"/>
  <c r="K439" i="11"/>
  <c r="J439" i="11"/>
  <c r="I439" i="11"/>
  <c r="H439" i="11"/>
  <c r="Q438" i="11"/>
  <c r="P438" i="11"/>
  <c r="O438" i="11"/>
  <c r="N438" i="11"/>
  <c r="M438" i="11"/>
  <c r="L438" i="11"/>
  <c r="K438" i="11"/>
  <c r="J438" i="11"/>
  <c r="I438" i="11"/>
  <c r="H438" i="11"/>
  <c r="Q437" i="11"/>
  <c r="P437" i="11"/>
  <c r="O437" i="11"/>
  <c r="N437" i="11"/>
  <c r="M437" i="11"/>
  <c r="L437" i="11"/>
  <c r="K437" i="11"/>
  <c r="J437" i="11"/>
  <c r="I437" i="11"/>
  <c r="H437" i="11"/>
  <c r="Q436" i="11"/>
  <c r="P436" i="11"/>
  <c r="O436" i="11"/>
  <c r="N436" i="11"/>
  <c r="M436" i="11"/>
  <c r="L436" i="11"/>
  <c r="K436" i="11"/>
  <c r="J436" i="11"/>
  <c r="I436" i="11"/>
  <c r="H436" i="11"/>
  <c r="Q435" i="11"/>
  <c r="P435" i="11"/>
  <c r="O435" i="11"/>
  <c r="N435" i="11"/>
  <c r="M435" i="11"/>
  <c r="L435" i="11"/>
  <c r="K435" i="11"/>
  <c r="J435" i="11"/>
  <c r="I435" i="11"/>
  <c r="H435" i="11"/>
  <c r="Q434" i="11"/>
  <c r="P434" i="11"/>
  <c r="O434" i="11"/>
  <c r="N434" i="11"/>
  <c r="M434" i="11"/>
  <c r="L434" i="11"/>
  <c r="K434" i="11"/>
  <c r="J434" i="11"/>
  <c r="I434" i="11"/>
  <c r="H434" i="11"/>
  <c r="Q433" i="11"/>
  <c r="P433" i="11"/>
  <c r="O433" i="11"/>
  <c r="N433" i="11"/>
  <c r="M433" i="11"/>
  <c r="L433" i="11"/>
  <c r="K433" i="11"/>
  <c r="J433" i="11"/>
  <c r="I433" i="11"/>
  <c r="H433" i="11"/>
  <c r="Q432" i="11"/>
  <c r="P432" i="11"/>
  <c r="O432" i="11"/>
  <c r="N432" i="11"/>
  <c r="M432" i="11"/>
  <c r="L432" i="11"/>
  <c r="K432" i="11"/>
  <c r="J432" i="11"/>
  <c r="I432" i="11"/>
  <c r="H432" i="11"/>
  <c r="Q431" i="11"/>
  <c r="P431" i="11"/>
  <c r="O431" i="11"/>
  <c r="N431" i="11"/>
  <c r="M431" i="11"/>
  <c r="L431" i="11"/>
  <c r="K431" i="11"/>
  <c r="J431" i="11"/>
  <c r="I431" i="11"/>
  <c r="H431" i="11"/>
  <c r="Q430" i="11"/>
  <c r="P430" i="11"/>
  <c r="O430" i="11"/>
  <c r="N430" i="11"/>
  <c r="M430" i="11"/>
  <c r="L430" i="11"/>
  <c r="K430" i="11"/>
  <c r="J430" i="11"/>
  <c r="I430" i="11"/>
  <c r="H430" i="11"/>
  <c r="Q429" i="11"/>
  <c r="P429" i="11"/>
  <c r="O429" i="11"/>
  <c r="N429" i="11"/>
  <c r="M429" i="11"/>
  <c r="L429" i="11"/>
  <c r="K429" i="11"/>
  <c r="J429" i="11"/>
  <c r="I429" i="11"/>
  <c r="H429" i="11"/>
  <c r="Q428" i="11"/>
  <c r="P428" i="11"/>
  <c r="O428" i="11"/>
  <c r="N428" i="11"/>
  <c r="M428" i="11"/>
  <c r="L428" i="11"/>
  <c r="K428" i="11"/>
  <c r="J428" i="11"/>
  <c r="I428" i="11"/>
  <c r="H428" i="11"/>
  <c r="Q427" i="11"/>
  <c r="P427" i="11"/>
  <c r="O427" i="11"/>
  <c r="N427" i="11"/>
  <c r="M427" i="11"/>
  <c r="L427" i="11"/>
  <c r="K427" i="11"/>
  <c r="J427" i="11"/>
  <c r="I427" i="11"/>
  <c r="H427" i="11"/>
  <c r="Q426" i="11"/>
  <c r="P426" i="11"/>
  <c r="O426" i="11"/>
  <c r="N426" i="11"/>
  <c r="M426" i="11"/>
  <c r="L426" i="11"/>
  <c r="K426" i="11"/>
  <c r="J426" i="11"/>
  <c r="I426" i="11"/>
  <c r="H426" i="11"/>
  <c r="Q425" i="11"/>
  <c r="P425" i="11"/>
  <c r="O425" i="11"/>
  <c r="N425" i="11"/>
  <c r="M425" i="11"/>
  <c r="L425" i="11"/>
  <c r="K425" i="11"/>
  <c r="J425" i="11"/>
  <c r="I425" i="11"/>
  <c r="H425" i="11"/>
  <c r="Q424" i="11"/>
  <c r="P424" i="11"/>
  <c r="O424" i="11"/>
  <c r="N424" i="11"/>
  <c r="M424" i="11"/>
  <c r="L424" i="11"/>
  <c r="K424" i="11"/>
  <c r="J424" i="11"/>
  <c r="I424" i="11"/>
  <c r="H424" i="11"/>
  <c r="Q423" i="11"/>
  <c r="P423" i="11"/>
  <c r="O423" i="11"/>
  <c r="N423" i="11"/>
  <c r="M423" i="11"/>
  <c r="L423" i="11"/>
  <c r="K423" i="11"/>
  <c r="J423" i="11"/>
  <c r="I423" i="11"/>
  <c r="H423" i="11"/>
  <c r="Q422" i="11"/>
  <c r="P422" i="11"/>
  <c r="O422" i="11"/>
  <c r="N422" i="11"/>
  <c r="M422" i="11"/>
  <c r="L422" i="11"/>
  <c r="K422" i="11"/>
  <c r="J422" i="11"/>
  <c r="I422" i="11"/>
  <c r="H422" i="11"/>
  <c r="Q421" i="11"/>
  <c r="P421" i="11"/>
  <c r="O421" i="11"/>
  <c r="N421" i="11"/>
  <c r="M421" i="11"/>
  <c r="L421" i="11"/>
  <c r="K421" i="11"/>
  <c r="J421" i="11"/>
  <c r="I421" i="11"/>
  <c r="H421" i="11"/>
  <c r="Q420" i="11"/>
  <c r="P420" i="11"/>
  <c r="O420" i="11"/>
  <c r="N420" i="11"/>
  <c r="M420" i="11"/>
  <c r="L420" i="11"/>
  <c r="K420" i="11"/>
  <c r="J420" i="11"/>
  <c r="I420" i="11"/>
  <c r="H420" i="11"/>
  <c r="Q419" i="11"/>
  <c r="P419" i="11"/>
  <c r="O419" i="11"/>
  <c r="N419" i="11"/>
  <c r="M419" i="11"/>
  <c r="L419" i="11"/>
  <c r="K419" i="11"/>
  <c r="J419" i="11"/>
  <c r="I419" i="11"/>
  <c r="H419" i="11"/>
  <c r="Q418" i="11"/>
  <c r="P418" i="11"/>
  <c r="O418" i="11"/>
  <c r="N418" i="11"/>
  <c r="M418" i="11"/>
  <c r="L418" i="11"/>
  <c r="K418" i="11"/>
  <c r="J418" i="11"/>
  <c r="I418" i="11"/>
  <c r="H418" i="11"/>
  <c r="Q417" i="11"/>
  <c r="P417" i="11"/>
  <c r="O417" i="11"/>
  <c r="N417" i="11"/>
  <c r="M417" i="11"/>
  <c r="L417" i="11"/>
  <c r="K417" i="11"/>
  <c r="J417" i="11"/>
  <c r="I417" i="11"/>
  <c r="H417" i="11"/>
  <c r="Q416" i="11"/>
  <c r="P416" i="11"/>
  <c r="O416" i="11"/>
  <c r="N416" i="11"/>
  <c r="M416" i="11"/>
  <c r="L416" i="11"/>
  <c r="K416" i="11"/>
  <c r="J416" i="11"/>
  <c r="I416" i="11"/>
  <c r="H416" i="11"/>
  <c r="Q415" i="11"/>
  <c r="P415" i="11"/>
  <c r="O415" i="11"/>
  <c r="N415" i="11"/>
  <c r="M415" i="11"/>
  <c r="L415" i="11"/>
  <c r="K415" i="11"/>
  <c r="J415" i="11"/>
  <c r="I415" i="11"/>
  <c r="H415" i="11"/>
  <c r="Q414" i="11"/>
  <c r="P414" i="11"/>
  <c r="O414" i="11"/>
  <c r="N414" i="11"/>
  <c r="M414" i="11"/>
  <c r="L414" i="11"/>
  <c r="K414" i="11"/>
  <c r="J414" i="11"/>
  <c r="I414" i="11"/>
  <c r="H414" i="11"/>
  <c r="Q413" i="11"/>
  <c r="P413" i="11"/>
  <c r="O413" i="11"/>
  <c r="N413" i="11"/>
  <c r="M413" i="11"/>
  <c r="L413" i="11"/>
  <c r="K413" i="11"/>
  <c r="J413" i="11"/>
  <c r="I413" i="11"/>
  <c r="H413" i="11"/>
  <c r="Q412" i="11"/>
  <c r="P412" i="11"/>
  <c r="O412" i="11"/>
  <c r="N412" i="11"/>
  <c r="M412" i="11"/>
  <c r="L412" i="11"/>
  <c r="K412" i="11"/>
  <c r="J412" i="11"/>
  <c r="I412" i="11"/>
  <c r="H412" i="11"/>
  <c r="Q411" i="11"/>
  <c r="P411" i="11"/>
  <c r="O411" i="11"/>
  <c r="N411" i="11"/>
  <c r="M411" i="11"/>
  <c r="L411" i="11"/>
  <c r="K411" i="11"/>
  <c r="J411" i="11"/>
  <c r="I411" i="11"/>
  <c r="H411" i="11"/>
  <c r="Q410" i="11"/>
  <c r="P410" i="11"/>
  <c r="O410" i="11"/>
  <c r="N410" i="11"/>
  <c r="M410" i="11"/>
  <c r="L410" i="11"/>
  <c r="K410" i="11"/>
  <c r="J410" i="11"/>
  <c r="I410" i="11"/>
  <c r="H410" i="11"/>
  <c r="Q409" i="11"/>
  <c r="P409" i="11"/>
  <c r="O409" i="11"/>
  <c r="N409" i="11"/>
  <c r="M409" i="11"/>
  <c r="L409" i="11"/>
  <c r="K409" i="11"/>
  <c r="J409" i="11"/>
  <c r="I409" i="11"/>
  <c r="H409" i="11"/>
  <c r="Q408" i="11"/>
  <c r="P408" i="11"/>
  <c r="O408" i="11"/>
  <c r="N408" i="11"/>
  <c r="M408" i="11"/>
  <c r="L408" i="11"/>
  <c r="K408" i="11"/>
  <c r="J408" i="11"/>
  <c r="I408" i="11"/>
  <c r="H408" i="11"/>
  <c r="Q407" i="11"/>
  <c r="P407" i="11"/>
  <c r="O407" i="11"/>
  <c r="N407" i="11"/>
  <c r="M407" i="11"/>
  <c r="L407" i="11"/>
  <c r="K407" i="11"/>
  <c r="J407" i="11"/>
  <c r="I407" i="11"/>
  <c r="H407" i="11"/>
  <c r="Q406" i="11"/>
  <c r="P406" i="11"/>
  <c r="O406" i="11"/>
  <c r="N406" i="11"/>
  <c r="M406" i="11"/>
  <c r="L406" i="11"/>
  <c r="K406" i="11"/>
  <c r="J406" i="11"/>
  <c r="I406" i="11"/>
  <c r="H406" i="11"/>
  <c r="Q405" i="11"/>
  <c r="P405" i="11"/>
  <c r="O405" i="11"/>
  <c r="N405" i="11"/>
  <c r="M405" i="11"/>
  <c r="L405" i="11"/>
  <c r="K405" i="11"/>
  <c r="J405" i="11"/>
  <c r="I405" i="11"/>
  <c r="H405" i="11"/>
  <c r="Q404" i="11"/>
  <c r="P404" i="11"/>
  <c r="O404" i="11"/>
  <c r="N404" i="11"/>
  <c r="M404" i="11"/>
  <c r="L404" i="11"/>
  <c r="K404" i="11"/>
  <c r="J404" i="11"/>
  <c r="I404" i="11"/>
  <c r="H404" i="11"/>
  <c r="Q403" i="11"/>
  <c r="P403" i="11"/>
  <c r="O403" i="11"/>
  <c r="N403" i="11"/>
  <c r="M403" i="11"/>
  <c r="L403" i="11"/>
  <c r="K403" i="11"/>
  <c r="J403" i="11"/>
  <c r="I403" i="11"/>
  <c r="H403" i="11"/>
  <c r="Q402" i="11"/>
  <c r="P402" i="11"/>
  <c r="O402" i="11"/>
  <c r="N402" i="11"/>
  <c r="M402" i="11"/>
  <c r="L402" i="11"/>
  <c r="K402" i="11"/>
  <c r="J402" i="11"/>
  <c r="I402" i="11"/>
  <c r="H402" i="11"/>
  <c r="Q401" i="11"/>
  <c r="P401" i="11"/>
  <c r="O401" i="11"/>
  <c r="N401" i="11"/>
  <c r="M401" i="11"/>
  <c r="L401" i="11"/>
  <c r="K401" i="11"/>
  <c r="J401" i="11"/>
  <c r="I401" i="11"/>
  <c r="H401" i="11"/>
  <c r="Q400" i="11"/>
  <c r="P400" i="11"/>
  <c r="O400" i="11"/>
  <c r="N400" i="11"/>
  <c r="M400" i="11"/>
  <c r="L400" i="11"/>
  <c r="K400" i="11"/>
  <c r="J400" i="11"/>
  <c r="I400" i="11"/>
  <c r="H400" i="11"/>
  <c r="Q399" i="11"/>
  <c r="P399" i="11"/>
  <c r="O399" i="11"/>
  <c r="N399" i="11"/>
  <c r="M399" i="11"/>
  <c r="L399" i="11"/>
  <c r="K399" i="11"/>
  <c r="J399" i="11"/>
  <c r="I399" i="11"/>
  <c r="H399" i="11"/>
  <c r="Q398" i="11"/>
  <c r="P398" i="11"/>
  <c r="O398" i="11"/>
  <c r="N398" i="11"/>
  <c r="M398" i="11"/>
  <c r="L398" i="11"/>
  <c r="K398" i="11"/>
  <c r="J398" i="11"/>
  <c r="I398" i="11"/>
  <c r="H398" i="11"/>
  <c r="Q397" i="11"/>
  <c r="P397" i="11"/>
  <c r="O397" i="11"/>
  <c r="N397" i="11"/>
  <c r="M397" i="11"/>
  <c r="L397" i="11"/>
  <c r="K397" i="11"/>
  <c r="J397" i="11"/>
  <c r="I397" i="11"/>
  <c r="H397" i="11"/>
  <c r="Q396" i="11"/>
  <c r="P396" i="11"/>
  <c r="O396" i="11"/>
  <c r="N396" i="11"/>
  <c r="M396" i="11"/>
  <c r="L396" i="11"/>
  <c r="K396" i="11"/>
  <c r="J396" i="11"/>
  <c r="I396" i="11"/>
  <c r="H396" i="11"/>
  <c r="Q395" i="11"/>
  <c r="P395" i="11"/>
  <c r="O395" i="11"/>
  <c r="N395" i="11"/>
  <c r="M395" i="11"/>
  <c r="L395" i="11"/>
  <c r="K395" i="11"/>
  <c r="J395" i="11"/>
  <c r="I395" i="11"/>
  <c r="H395" i="11"/>
  <c r="Q394" i="11"/>
  <c r="P394" i="11"/>
  <c r="O394" i="11"/>
  <c r="N394" i="11"/>
  <c r="M394" i="11"/>
  <c r="L394" i="11"/>
  <c r="K394" i="11"/>
  <c r="J394" i="11"/>
  <c r="I394" i="11"/>
  <c r="H394" i="11"/>
  <c r="Q393" i="11"/>
  <c r="P393" i="11"/>
  <c r="O393" i="11"/>
  <c r="N393" i="11"/>
  <c r="M393" i="11"/>
  <c r="L393" i="11"/>
  <c r="K393" i="11"/>
  <c r="J393" i="11"/>
  <c r="I393" i="11"/>
  <c r="H393" i="11"/>
  <c r="Q392" i="11"/>
  <c r="P392" i="11"/>
  <c r="O392" i="11"/>
  <c r="N392" i="11"/>
  <c r="M392" i="11"/>
  <c r="L392" i="11"/>
  <c r="K392" i="11"/>
  <c r="J392" i="11"/>
  <c r="I392" i="11"/>
  <c r="H392" i="11"/>
  <c r="Q391" i="11"/>
  <c r="P391" i="11"/>
  <c r="O391" i="11"/>
  <c r="N391" i="11"/>
  <c r="M391" i="11"/>
  <c r="L391" i="11"/>
  <c r="K391" i="11"/>
  <c r="J391" i="11"/>
  <c r="I391" i="11"/>
  <c r="H391" i="11"/>
  <c r="Q390" i="11"/>
  <c r="P390" i="11"/>
  <c r="O390" i="11"/>
  <c r="N390" i="11"/>
  <c r="M390" i="11"/>
  <c r="L390" i="11"/>
  <c r="K390" i="11"/>
  <c r="J390" i="11"/>
  <c r="I390" i="11"/>
  <c r="H390" i="11"/>
  <c r="Q389" i="11"/>
  <c r="P389" i="11"/>
  <c r="O389" i="11"/>
  <c r="N389" i="11"/>
  <c r="M389" i="11"/>
  <c r="L389" i="11"/>
  <c r="K389" i="11"/>
  <c r="J389" i="11"/>
  <c r="I389" i="11"/>
  <c r="H389" i="11"/>
  <c r="Q388" i="11"/>
  <c r="P388" i="11"/>
  <c r="O388" i="11"/>
  <c r="N388" i="11"/>
  <c r="M388" i="11"/>
  <c r="L388" i="11"/>
  <c r="K388" i="11"/>
  <c r="J388" i="11"/>
  <c r="I388" i="11"/>
  <c r="H388" i="11"/>
  <c r="Q387" i="11"/>
  <c r="P387" i="11"/>
  <c r="O387" i="11"/>
  <c r="N387" i="11"/>
  <c r="M387" i="11"/>
  <c r="L387" i="11"/>
  <c r="K387" i="11"/>
  <c r="J387" i="11"/>
  <c r="I387" i="11"/>
  <c r="H387" i="11"/>
  <c r="Q386" i="11"/>
  <c r="P386" i="11"/>
  <c r="O386" i="11"/>
  <c r="N386" i="11"/>
  <c r="M386" i="11"/>
  <c r="L386" i="11"/>
  <c r="K386" i="11"/>
  <c r="J386" i="11"/>
  <c r="I386" i="11"/>
  <c r="H386" i="11"/>
  <c r="Q385" i="11"/>
  <c r="P385" i="11"/>
  <c r="O385" i="11"/>
  <c r="N385" i="11"/>
  <c r="M385" i="11"/>
  <c r="L385" i="11"/>
  <c r="K385" i="11"/>
  <c r="J385" i="11"/>
  <c r="I385" i="11"/>
  <c r="H385" i="11"/>
  <c r="Q384" i="11"/>
  <c r="P384" i="11"/>
  <c r="O384" i="11"/>
  <c r="N384" i="11"/>
  <c r="M384" i="11"/>
  <c r="L384" i="11"/>
  <c r="K384" i="11"/>
  <c r="J384" i="11"/>
  <c r="I384" i="11"/>
  <c r="H384" i="11"/>
  <c r="Q383" i="11"/>
  <c r="P383" i="11"/>
  <c r="O383" i="11"/>
  <c r="N383" i="11"/>
  <c r="M383" i="11"/>
  <c r="L383" i="11"/>
  <c r="K383" i="11"/>
  <c r="J383" i="11"/>
  <c r="I383" i="11"/>
  <c r="H383" i="11"/>
  <c r="Q382" i="11"/>
  <c r="P382" i="11"/>
  <c r="O382" i="11"/>
  <c r="N382" i="11"/>
  <c r="M382" i="11"/>
  <c r="L382" i="11"/>
  <c r="K382" i="11"/>
  <c r="J382" i="11"/>
  <c r="I382" i="11"/>
  <c r="H382" i="11"/>
  <c r="Q381" i="11"/>
  <c r="P381" i="11"/>
  <c r="O381" i="11"/>
  <c r="N381" i="11"/>
  <c r="M381" i="11"/>
  <c r="L381" i="11"/>
  <c r="K381" i="11"/>
  <c r="J381" i="11"/>
  <c r="I381" i="11"/>
  <c r="H381" i="11"/>
  <c r="Q380" i="11"/>
  <c r="P380" i="11"/>
  <c r="O380" i="11"/>
  <c r="N380" i="11"/>
  <c r="M380" i="11"/>
  <c r="L380" i="11"/>
  <c r="K380" i="11"/>
  <c r="J380" i="11"/>
  <c r="I380" i="11"/>
  <c r="H380" i="11"/>
  <c r="Q379" i="11"/>
  <c r="P379" i="11"/>
  <c r="O379" i="11"/>
  <c r="N379" i="11"/>
  <c r="M379" i="11"/>
  <c r="L379" i="11"/>
  <c r="K379" i="11"/>
  <c r="J379" i="11"/>
  <c r="I379" i="11"/>
  <c r="H379" i="11"/>
  <c r="Q378" i="11"/>
  <c r="P378" i="11"/>
  <c r="O378" i="11"/>
  <c r="N378" i="11"/>
  <c r="M378" i="11"/>
  <c r="L378" i="11"/>
  <c r="K378" i="11"/>
  <c r="J378" i="11"/>
  <c r="I378" i="11"/>
  <c r="H378" i="11"/>
  <c r="Q377" i="11"/>
  <c r="P377" i="11"/>
  <c r="O377" i="11"/>
  <c r="N377" i="11"/>
  <c r="M377" i="11"/>
  <c r="L377" i="11"/>
  <c r="K377" i="11"/>
  <c r="J377" i="11"/>
  <c r="I377" i="11"/>
  <c r="H377" i="11"/>
  <c r="Q376" i="11"/>
  <c r="P376" i="11"/>
  <c r="O376" i="11"/>
  <c r="N376" i="11"/>
  <c r="M376" i="11"/>
  <c r="L376" i="11"/>
  <c r="K376" i="11"/>
  <c r="J376" i="11"/>
  <c r="I376" i="11"/>
  <c r="H376" i="11"/>
  <c r="Q375" i="11"/>
  <c r="P375" i="11"/>
  <c r="O375" i="11"/>
  <c r="N375" i="11"/>
  <c r="M375" i="11"/>
  <c r="L375" i="11"/>
  <c r="K375" i="11"/>
  <c r="J375" i="11"/>
  <c r="I375" i="11"/>
  <c r="H375" i="11"/>
  <c r="Q374" i="11"/>
  <c r="P374" i="11"/>
  <c r="O374" i="11"/>
  <c r="N374" i="11"/>
  <c r="M374" i="11"/>
  <c r="L374" i="11"/>
  <c r="K374" i="11"/>
  <c r="J374" i="11"/>
  <c r="I374" i="11"/>
  <c r="H374" i="11"/>
  <c r="Q373" i="11"/>
  <c r="P373" i="11"/>
  <c r="O373" i="11"/>
  <c r="N373" i="11"/>
  <c r="M373" i="11"/>
  <c r="L373" i="11"/>
  <c r="K373" i="11"/>
  <c r="J373" i="11"/>
  <c r="I373" i="11"/>
  <c r="H373" i="11"/>
  <c r="Q372" i="11"/>
  <c r="P372" i="11"/>
  <c r="O372" i="11"/>
  <c r="N372" i="11"/>
  <c r="M372" i="11"/>
  <c r="L372" i="11"/>
  <c r="K372" i="11"/>
  <c r="J372" i="11"/>
  <c r="I372" i="11"/>
  <c r="H372" i="11"/>
  <c r="Q371" i="11"/>
  <c r="P371" i="11"/>
  <c r="O371" i="11"/>
  <c r="N371" i="11"/>
  <c r="M371" i="11"/>
  <c r="L371" i="11"/>
  <c r="K371" i="11"/>
  <c r="J371" i="11"/>
  <c r="I371" i="11"/>
  <c r="H371" i="11"/>
  <c r="Q370" i="11"/>
  <c r="P370" i="11"/>
  <c r="O370" i="11"/>
  <c r="N370" i="11"/>
  <c r="M370" i="11"/>
  <c r="L370" i="11"/>
  <c r="K370" i="11"/>
  <c r="J370" i="11"/>
  <c r="I370" i="11"/>
  <c r="H370" i="11"/>
  <c r="Q369" i="11"/>
  <c r="P369" i="11"/>
  <c r="O369" i="11"/>
  <c r="N369" i="11"/>
  <c r="M369" i="11"/>
  <c r="L369" i="11"/>
  <c r="K369" i="11"/>
  <c r="J369" i="11"/>
  <c r="I369" i="11"/>
  <c r="H369" i="11"/>
  <c r="Q368" i="11"/>
  <c r="P368" i="11"/>
  <c r="O368" i="11"/>
  <c r="N368" i="11"/>
  <c r="M368" i="11"/>
  <c r="L368" i="11"/>
  <c r="K368" i="11"/>
  <c r="J368" i="11"/>
  <c r="I368" i="11"/>
  <c r="H368" i="11"/>
  <c r="Q367" i="11"/>
  <c r="P367" i="11"/>
  <c r="O367" i="11"/>
  <c r="N367" i="11"/>
  <c r="M367" i="11"/>
  <c r="L367" i="11"/>
  <c r="K367" i="11"/>
  <c r="J367" i="11"/>
  <c r="I367" i="11"/>
  <c r="H367" i="11"/>
  <c r="Q366" i="11"/>
  <c r="P366" i="11"/>
  <c r="O366" i="11"/>
  <c r="N366" i="11"/>
  <c r="M366" i="11"/>
  <c r="L366" i="11"/>
  <c r="K366" i="11"/>
  <c r="J366" i="11"/>
  <c r="I366" i="11"/>
  <c r="H366" i="11"/>
  <c r="Q365" i="11"/>
  <c r="P365" i="11"/>
  <c r="O365" i="11"/>
  <c r="N365" i="11"/>
  <c r="M365" i="11"/>
  <c r="L365" i="11"/>
  <c r="K365" i="11"/>
  <c r="J365" i="11"/>
  <c r="I365" i="11"/>
  <c r="H365" i="11"/>
  <c r="Q364" i="11"/>
  <c r="P364" i="11"/>
  <c r="O364" i="11"/>
  <c r="N364" i="11"/>
  <c r="M364" i="11"/>
  <c r="L364" i="11"/>
  <c r="K364" i="11"/>
  <c r="J364" i="11"/>
  <c r="I364" i="11"/>
  <c r="H364" i="11"/>
  <c r="Q363" i="11"/>
  <c r="P363" i="11"/>
  <c r="O363" i="11"/>
  <c r="N363" i="11"/>
  <c r="M363" i="11"/>
  <c r="L363" i="11"/>
  <c r="K363" i="11"/>
  <c r="J363" i="11"/>
  <c r="I363" i="11"/>
  <c r="H363" i="11"/>
  <c r="Q362" i="11"/>
  <c r="P362" i="11"/>
  <c r="O362" i="11"/>
  <c r="N362" i="11"/>
  <c r="M362" i="11"/>
  <c r="L362" i="11"/>
  <c r="K362" i="11"/>
  <c r="J362" i="11"/>
  <c r="I362" i="11"/>
  <c r="H362" i="11"/>
  <c r="Q361" i="11"/>
  <c r="P361" i="11"/>
  <c r="O361" i="11"/>
  <c r="N361" i="11"/>
  <c r="M361" i="11"/>
  <c r="L361" i="11"/>
  <c r="K361" i="11"/>
  <c r="J361" i="11"/>
  <c r="I361" i="11"/>
  <c r="H361" i="11"/>
  <c r="Q360" i="11"/>
  <c r="P360" i="11"/>
  <c r="O360" i="11"/>
  <c r="N360" i="11"/>
  <c r="M360" i="11"/>
  <c r="L360" i="11"/>
  <c r="K360" i="11"/>
  <c r="J360" i="11"/>
  <c r="I360" i="11"/>
  <c r="H360" i="11"/>
  <c r="Q359" i="11"/>
  <c r="P359" i="11"/>
  <c r="O359" i="11"/>
  <c r="N359" i="11"/>
  <c r="M359" i="11"/>
  <c r="L359" i="11"/>
  <c r="K359" i="11"/>
  <c r="J359" i="11"/>
  <c r="I359" i="11"/>
  <c r="H359" i="11"/>
  <c r="Q358" i="11"/>
  <c r="P358" i="11"/>
  <c r="O358" i="11"/>
  <c r="N358" i="11"/>
  <c r="M358" i="11"/>
  <c r="L358" i="11"/>
  <c r="K358" i="11"/>
  <c r="J358" i="11"/>
  <c r="I358" i="11"/>
  <c r="H358" i="11"/>
  <c r="Q357" i="11"/>
  <c r="P357" i="11"/>
  <c r="O357" i="11"/>
  <c r="N357" i="11"/>
  <c r="M357" i="11"/>
  <c r="L357" i="11"/>
  <c r="K357" i="11"/>
  <c r="J357" i="11"/>
  <c r="I357" i="11"/>
  <c r="H357" i="11"/>
  <c r="Q356" i="11"/>
  <c r="P356" i="11"/>
  <c r="O356" i="11"/>
  <c r="N356" i="11"/>
  <c r="M356" i="11"/>
  <c r="L356" i="11"/>
  <c r="K356" i="11"/>
  <c r="J356" i="11"/>
  <c r="I356" i="11"/>
  <c r="H356" i="11"/>
  <c r="Q355" i="11"/>
  <c r="P355" i="11"/>
  <c r="O355" i="11"/>
  <c r="N355" i="11"/>
  <c r="M355" i="11"/>
  <c r="L355" i="11"/>
  <c r="K355" i="11"/>
  <c r="J355" i="11"/>
  <c r="I355" i="11"/>
  <c r="H355" i="11"/>
  <c r="Q354" i="11"/>
  <c r="P354" i="11"/>
  <c r="O354" i="11"/>
  <c r="N354" i="11"/>
  <c r="M354" i="11"/>
  <c r="L354" i="11"/>
  <c r="K354" i="11"/>
  <c r="J354" i="11"/>
  <c r="I354" i="11"/>
  <c r="H354" i="11"/>
  <c r="Q353" i="11"/>
  <c r="P353" i="11"/>
  <c r="O353" i="11"/>
  <c r="N353" i="11"/>
  <c r="M353" i="11"/>
  <c r="L353" i="11"/>
  <c r="K353" i="11"/>
  <c r="J353" i="11"/>
  <c r="I353" i="11"/>
  <c r="H353" i="11"/>
  <c r="Q352" i="11"/>
  <c r="P352" i="11"/>
  <c r="O352" i="11"/>
  <c r="N352" i="11"/>
  <c r="M352" i="11"/>
  <c r="L352" i="11"/>
  <c r="K352" i="11"/>
  <c r="J352" i="11"/>
  <c r="I352" i="11"/>
  <c r="H352" i="11"/>
  <c r="Q351" i="11"/>
  <c r="P351" i="11"/>
  <c r="O351" i="11"/>
  <c r="N351" i="11"/>
  <c r="M351" i="11"/>
  <c r="L351" i="11"/>
  <c r="K351" i="11"/>
  <c r="J351" i="11"/>
  <c r="I351" i="11"/>
  <c r="H351" i="11"/>
  <c r="Q350" i="11"/>
  <c r="P350" i="11"/>
  <c r="O350" i="11"/>
  <c r="N350" i="11"/>
  <c r="M350" i="11"/>
  <c r="L350" i="11"/>
  <c r="K350" i="11"/>
  <c r="J350" i="11"/>
  <c r="I350" i="11"/>
  <c r="H350" i="11"/>
  <c r="Q349" i="11"/>
  <c r="P349" i="11"/>
  <c r="O349" i="11"/>
  <c r="N349" i="11"/>
  <c r="M349" i="11"/>
  <c r="L349" i="11"/>
  <c r="K349" i="11"/>
  <c r="J349" i="11"/>
  <c r="I349" i="11"/>
  <c r="H349" i="11"/>
  <c r="Q348" i="11"/>
  <c r="P348" i="11"/>
  <c r="O348" i="11"/>
  <c r="N348" i="11"/>
  <c r="M348" i="11"/>
  <c r="L348" i="11"/>
  <c r="K348" i="11"/>
  <c r="J348" i="11"/>
  <c r="I348" i="11"/>
  <c r="H348" i="11"/>
  <c r="Q347" i="11"/>
  <c r="P347" i="11"/>
  <c r="O347" i="11"/>
  <c r="N347" i="11"/>
  <c r="M347" i="11"/>
  <c r="L347" i="11"/>
  <c r="K347" i="11"/>
  <c r="J347" i="11"/>
  <c r="I347" i="11"/>
  <c r="H347" i="11"/>
  <c r="Q346" i="11"/>
  <c r="P346" i="11"/>
  <c r="O346" i="11"/>
  <c r="N346" i="11"/>
  <c r="M346" i="11"/>
  <c r="L346" i="11"/>
  <c r="K346" i="11"/>
  <c r="J346" i="11"/>
  <c r="I346" i="11"/>
  <c r="H346" i="11"/>
  <c r="Q345" i="11"/>
  <c r="P345" i="11"/>
  <c r="O345" i="11"/>
  <c r="N345" i="11"/>
  <c r="M345" i="11"/>
  <c r="L345" i="11"/>
  <c r="K345" i="11"/>
  <c r="J345" i="11"/>
  <c r="I345" i="11"/>
  <c r="H345" i="11"/>
  <c r="Q344" i="11"/>
  <c r="P344" i="11"/>
  <c r="O344" i="11"/>
  <c r="N344" i="11"/>
  <c r="M344" i="11"/>
  <c r="L344" i="11"/>
  <c r="K344" i="11"/>
  <c r="J344" i="11"/>
  <c r="I344" i="11"/>
  <c r="H344" i="11"/>
  <c r="Q343" i="11"/>
  <c r="P343" i="11"/>
  <c r="O343" i="11"/>
  <c r="N343" i="11"/>
  <c r="M343" i="11"/>
  <c r="L343" i="11"/>
  <c r="K343" i="11"/>
  <c r="J343" i="11"/>
  <c r="I343" i="11"/>
  <c r="H343" i="11"/>
  <c r="Q342" i="11"/>
  <c r="P342" i="11"/>
  <c r="O342" i="11"/>
  <c r="N342" i="11"/>
  <c r="M342" i="11"/>
  <c r="L342" i="11"/>
  <c r="K342" i="11"/>
  <c r="J342" i="11"/>
  <c r="I342" i="11"/>
  <c r="H342" i="11"/>
  <c r="Q341" i="11"/>
  <c r="P341" i="11"/>
  <c r="O341" i="11"/>
  <c r="N341" i="11"/>
  <c r="M341" i="11"/>
  <c r="L341" i="11"/>
  <c r="K341" i="11"/>
  <c r="J341" i="11"/>
  <c r="I341" i="11"/>
  <c r="H341" i="11"/>
  <c r="Q340" i="11"/>
  <c r="P340" i="11"/>
  <c r="O340" i="11"/>
  <c r="N340" i="11"/>
  <c r="M340" i="11"/>
  <c r="L340" i="11"/>
  <c r="K340" i="11"/>
  <c r="J340" i="11"/>
  <c r="I340" i="11"/>
  <c r="H340" i="11"/>
  <c r="Q339" i="11"/>
  <c r="P339" i="11"/>
  <c r="O339" i="11"/>
  <c r="N339" i="11"/>
  <c r="M339" i="11"/>
  <c r="L339" i="11"/>
  <c r="K339" i="11"/>
  <c r="J339" i="11"/>
  <c r="I339" i="11"/>
  <c r="H339" i="11"/>
  <c r="Q338" i="11"/>
  <c r="P338" i="11"/>
  <c r="O338" i="11"/>
  <c r="N338" i="11"/>
  <c r="M338" i="11"/>
  <c r="L338" i="11"/>
  <c r="K338" i="11"/>
  <c r="J338" i="11"/>
  <c r="I338" i="11"/>
  <c r="H338" i="11"/>
  <c r="Q337" i="11"/>
  <c r="P337" i="11"/>
  <c r="O337" i="11"/>
  <c r="N337" i="11"/>
  <c r="M337" i="11"/>
  <c r="L337" i="11"/>
  <c r="K337" i="11"/>
  <c r="J337" i="11"/>
  <c r="I337" i="11"/>
  <c r="H337" i="11"/>
  <c r="Q336" i="11"/>
  <c r="P336" i="11"/>
  <c r="O336" i="11"/>
  <c r="N336" i="11"/>
  <c r="M336" i="11"/>
  <c r="L336" i="11"/>
  <c r="K336" i="11"/>
  <c r="J336" i="11"/>
  <c r="I336" i="11"/>
  <c r="H336" i="11"/>
  <c r="Q335" i="11"/>
  <c r="P335" i="11"/>
  <c r="O335" i="11"/>
  <c r="N335" i="11"/>
  <c r="M335" i="11"/>
  <c r="L335" i="11"/>
  <c r="K335" i="11"/>
  <c r="J335" i="11"/>
  <c r="I335" i="11"/>
  <c r="H335" i="11"/>
  <c r="Q334" i="11"/>
  <c r="P334" i="11"/>
  <c r="O334" i="11"/>
  <c r="N334" i="11"/>
  <c r="M334" i="11"/>
  <c r="L334" i="11"/>
  <c r="K334" i="11"/>
  <c r="J334" i="11"/>
  <c r="I334" i="11"/>
  <c r="H334" i="11"/>
  <c r="Q333" i="11"/>
  <c r="P333" i="11"/>
  <c r="O333" i="11"/>
  <c r="N333" i="11"/>
  <c r="M333" i="11"/>
  <c r="L333" i="11"/>
  <c r="K333" i="11"/>
  <c r="J333" i="11"/>
  <c r="I333" i="11"/>
  <c r="H333" i="11"/>
  <c r="Q332" i="11"/>
  <c r="P332" i="11"/>
  <c r="O332" i="11"/>
  <c r="N332" i="11"/>
  <c r="M332" i="11"/>
  <c r="L332" i="11"/>
  <c r="K332" i="11"/>
  <c r="J332" i="11"/>
  <c r="I332" i="11"/>
  <c r="H332" i="11"/>
  <c r="Q331" i="11"/>
  <c r="P331" i="11"/>
  <c r="O331" i="11"/>
  <c r="N331" i="11"/>
  <c r="M331" i="11"/>
  <c r="L331" i="11"/>
  <c r="K331" i="11"/>
  <c r="J331" i="11"/>
  <c r="I331" i="11"/>
  <c r="H331" i="11"/>
  <c r="Q330" i="11"/>
  <c r="P330" i="11"/>
  <c r="O330" i="11"/>
  <c r="N330" i="11"/>
  <c r="M330" i="11"/>
  <c r="L330" i="11"/>
  <c r="K330" i="11"/>
  <c r="J330" i="11"/>
  <c r="I330" i="11"/>
  <c r="H330" i="11"/>
  <c r="Q329" i="11"/>
  <c r="P329" i="11"/>
  <c r="O329" i="11"/>
  <c r="N329" i="11"/>
  <c r="M329" i="11"/>
  <c r="L329" i="11"/>
  <c r="K329" i="11"/>
  <c r="J329" i="11"/>
  <c r="I329" i="11"/>
  <c r="H329" i="11"/>
  <c r="Q328" i="11"/>
  <c r="P328" i="11"/>
  <c r="O328" i="11"/>
  <c r="N328" i="11"/>
  <c r="M328" i="11"/>
  <c r="L328" i="11"/>
  <c r="K328" i="11"/>
  <c r="J328" i="11"/>
  <c r="I328" i="11"/>
  <c r="H328" i="11"/>
  <c r="Q327" i="11"/>
  <c r="P327" i="11"/>
  <c r="O327" i="11"/>
  <c r="N327" i="11"/>
  <c r="M327" i="11"/>
  <c r="L327" i="11"/>
  <c r="K327" i="11"/>
  <c r="J327" i="11"/>
  <c r="I327" i="11"/>
  <c r="H327" i="11"/>
  <c r="Q326" i="11"/>
  <c r="P326" i="11"/>
  <c r="O326" i="11"/>
  <c r="N326" i="11"/>
  <c r="M326" i="11"/>
  <c r="L326" i="11"/>
  <c r="K326" i="11"/>
  <c r="J326" i="11"/>
  <c r="I326" i="11"/>
  <c r="H326" i="11"/>
  <c r="Q325" i="11"/>
  <c r="P325" i="11"/>
  <c r="O325" i="11"/>
  <c r="N325" i="11"/>
  <c r="M325" i="11"/>
  <c r="L325" i="11"/>
  <c r="K325" i="11"/>
  <c r="J325" i="11"/>
  <c r="I325" i="11"/>
  <c r="H325" i="11"/>
  <c r="Q324" i="11"/>
  <c r="P324" i="11"/>
  <c r="O324" i="11"/>
  <c r="N324" i="11"/>
  <c r="M324" i="11"/>
  <c r="L324" i="11"/>
  <c r="K324" i="11"/>
  <c r="J324" i="11"/>
  <c r="I324" i="11"/>
  <c r="H324" i="11"/>
  <c r="Q323" i="11"/>
  <c r="P323" i="11"/>
  <c r="O323" i="11"/>
  <c r="N323" i="11"/>
  <c r="M323" i="11"/>
  <c r="L323" i="11"/>
  <c r="K323" i="11"/>
  <c r="J323" i="11"/>
  <c r="I323" i="11"/>
  <c r="H323" i="11"/>
  <c r="Q322" i="11"/>
  <c r="P322" i="11"/>
  <c r="O322" i="11"/>
  <c r="N322" i="11"/>
  <c r="M322" i="11"/>
  <c r="L322" i="11"/>
  <c r="K322" i="11"/>
  <c r="J322" i="11"/>
  <c r="I322" i="11"/>
  <c r="H322" i="11"/>
  <c r="Q321" i="11"/>
  <c r="P321" i="11"/>
  <c r="O321" i="11"/>
  <c r="N321" i="11"/>
  <c r="M321" i="11"/>
  <c r="L321" i="11"/>
  <c r="K321" i="11"/>
  <c r="J321" i="11"/>
  <c r="I321" i="11"/>
  <c r="H321" i="11"/>
  <c r="Q320" i="11"/>
  <c r="P320" i="11"/>
  <c r="O320" i="11"/>
  <c r="N320" i="11"/>
  <c r="M320" i="11"/>
  <c r="L320" i="11"/>
  <c r="K320" i="11"/>
  <c r="J320" i="11"/>
  <c r="I320" i="11"/>
  <c r="H320" i="11"/>
  <c r="Q319" i="11"/>
  <c r="P319" i="11"/>
  <c r="O319" i="11"/>
  <c r="N319" i="11"/>
  <c r="M319" i="11"/>
  <c r="L319" i="11"/>
  <c r="K319" i="11"/>
  <c r="J319" i="11"/>
  <c r="I319" i="11"/>
  <c r="H319" i="11"/>
  <c r="Q318" i="11"/>
  <c r="P318" i="11"/>
  <c r="O318" i="11"/>
  <c r="N318" i="11"/>
  <c r="M318" i="11"/>
  <c r="L318" i="11"/>
  <c r="K318" i="11"/>
  <c r="J318" i="11"/>
  <c r="I318" i="11"/>
  <c r="H318" i="11"/>
  <c r="Q317" i="11"/>
  <c r="P317" i="11"/>
  <c r="O317" i="11"/>
  <c r="N317" i="11"/>
  <c r="M317" i="11"/>
  <c r="L317" i="11"/>
  <c r="K317" i="11"/>
  <c r="J317" i="11"/>
  <c r="I317" i="11"/>
  <c r="H317" i="11"/>
  <c r="Q316" i="11"/>
  <c r="P316" i="11"/>
  <c r="O316" i="11"/>
  <c r="N316" i="11"/>
  <c r="M316" i="11"/>
  <c r="L316" i="11"/>
  <c r="K316" i="11"/>
  <c r="J316" i="11"/>
  <c r="I316" i="11"/>
  <c r="H316" i="11"/>
  <c r="Q315" i="11"/>
  <c r="P315" i="11"/>
  <c r="O315" i="11"/>
  <c r="N315" i="11"/>
  <c r="M315" i="11"/>
  <c r="L315" i="11"/>
  <c r="K315" i="11"/>
  <c r="J315" i="11"/>
  <c r="I315" i="11"/>
  <c r="H315" i="11"/>
  <c r="Q314" i="11"/>
  <c r="P314" i="11"/>
  <c r="O314" i="11"/>
  <c r="N314" i="11"/>
  <c r="M314" i="11"/>
  <c r="L314" i="11"/>
  <c r="K314" i="11"/>
  <c r="J314" i="11"/>
  <c r="I314" i="11"/>
  <c r="H314" i="11"/>
  <c r="Q313" i="11"/>
  <c r="P313" i="11"/>
  <c r="O313" i="11"/>
  <c r="N313" i="11"/>
  <c r="M313" i="11"/>
  <c r="L313" i="11"/>
  <c r="K313" i="11"/>
  <c r="J313" i="11"/>
  <c r="I313" i="11"/>
  <c r="H313" i="11"/>
  <c r="Q312" i="11"/>
  <c r="P312" i="11"/>
  <c r="O312" i="11"/>
  <c r="N312" i="11"/>
  <c r="M312" i="11"/>
  <c r="L312" i="11"/>
  <c r="K312" i="11"/>
  <c r="J312" i="11"/>
  <c r="I312" i="11"/>
  <c r="H312" i="11"/>
  <c r="Q311" i="11"/>
  <c r="P311" i="11"/>
  <c r="O311" i="11"/>
  <c r="N311" i="11"/>
  <c r="M311" i="11"/>
  <c r="L311" i="11"/>
  <c r="K311" i="11"/>
  <c r="J311" i="11"/>
  <c r="I311" i="11"/>
  <c r="H311" i="11"/>
  <c r="Q310" i="11"/>
  <c r="P310" i="11"/>
  <c r="O310" i="11"/>
  <c r="N310" i="11"/>
  <c r="M310" i="11"/>
  <c r="L310" i="11"/>
  <c r="K310" i="11"/>
  <c r="J310" i="11"/>
  <c r="I310" i="11"/>
  <c r="H310" i="11"/>
  <c r="Q309" i="11"/>
  <c r="P309" i="11"/>
  <c r="O309" i="11"/>
  <c r="N309" i="11"/>
  <c r="M309" i="11"/>
  <c r="L309" i="11"/>
  <c r="K309" i="11"/>
  <c r="J309" i="11"/>
  <c r="I309" i="11"/>
  <c r="H309" i="11"/>
  <c r="Q308" i="11"/>
  <c r="P308" i="11"/>
  <c r="O308" i="11"/>
  <c r="N308" i="11"/>
  <c r="M308" i="11"/>
  <c r="L308" i="11"/>
  <c r="K308" i="11"/>
  <c r="J308" i="11"/>
  <c r="I308" i="11"/>
  <c r="H308" i="11"/>
  <c r="Q307" i="11"/>
  <c r="P307" i="11"/>
  <c r="O307" i="11"/>
  <c r="N307" i="11"/>
  <c r="M307" i="11"/>
  <c r="L307" i="11"/>
  <c r="K307" i="11"/>
  <c r="J307" i="11"/>
  <c r="I307" i="11"/>
  <c r="H307" i="11"/>
  <c r="Q306" i="11"/>
  <c r="P306" i="11"/>
  <c r="O306" i="11"/>
  <c r="N306" i="11"/>
  <c r="M306" i="11"/>
  <c r="L306" i="11"/>
  <c r="K306" i="11"/>
  <c r="J306" i="11"/>
  <c r="I306" i="11"/>
  <c r="H306" i="11"/>
  <c r="Q305" i="11"/>
  <c r="P305" i="11"/>
  <c r="O305" i="11"/>
  <c r="N305" i="11"/>
  <c r="M305" i="11"/>
  <c r="L305" i="11"/>
  <c r="K305" i="11"/>
  <c r="J305" i="11"/>
  <c r="I305" i="11"/>
  <c r="H305" i="11"/>
  <c r="Q304" i="11"/>
  <c r="P304" i="11"/>
  <c r="O304" i="11"/>
  <c r="N304" i="11"/>
  <c r="M304" i="11"/>
  <c r="L304" i="11"/>
  <c r="K304" i="11"/>
  <c r="J304" i="11"/>
  <c r="I304" i="11"/>
  <c r="H304" i="11"/>
  <c r="Q303" i="11"/>
  <c r="P303" i="11"/>
  <c r="O303" i="11"/>
  <c r="N303" i="11"/>
  <c r="M303" i="11"/>
  <c r="L303" i="11"/>
  <c r="K303" i="11"/>
  <c r="J303" i="11"/>
  <c r="I303" i="11"/>
  <c r="H303" i="11"/>
  <c r="Q302" i="11"/>
  <c r="P302" i="11"/>
  <c r="O302" i="11"/>
  <c r="N302" i="11"/>
  <c r="M302" i="11"/>
  <c r="L302" i="11"/>
  <c r="K302" i="11"/>
  <c r="J302" i="11"/>
  <c r="I302" i="11"/>
  <c r="H302" i="11"/>
  <c r="Q301" i="11"/>
  <c r="P301" i="11"/>
  <c r="O301" i="11"/>
  <c r="N301" i="11"/>
  <c r="M301" i="11"/>
  <c r="L301" i="11"/>
  <c r="K301" i="11"/>
  <c r="J301" i="11"/>
  <c r="I301" i="11"/>
  <c r="H301" i="11"/>
  <c r="Q300" i="11"/>
  <c r="P300" i="11"/>
  <c r="O300" i="11"/>
  <c r="N300" i="11"/>
  <c r="M300" i="11"/>
  <c r="L300" i="11"/>
  <c r="K300" i="11"/>
  <c r="J300" i="11"/>
  <c r="I300" i="11"/>
  <c r="H300" i="11"/>
  <c r="Q299" i="11"/>
  <c r="P299" i="11"/>
  <c r="O299" i="11"/>
  <c r="N299" i="11"/>
  <c r="M299" i="11"/>
  <c r="L299" i="11"/>
  <c r="K299" i="11"/>
  <c r="J299" i="11"/>
  <c r="I299" i="11"/>
  <c r="H299" i="11"/>
  <c r="Q298" i="11"/>
  <c r="P298" i="11"/>
  <c r="O298" i="11"/>
  <c r="N298" i="11"/>
  <c r="M298" i="11"/>
  <c r="L298" i="11"/>
  <c r="K298" i="11"/>
  <c r="J298" i="11"/>
  <c r="I298" i="11"/>
  <c r="H298" i="11"/>
  <c r="Q297" i="11"/>
  <c r="P297" i="11"/>
  <c r="O297" i="11"/>
  <c r="N297" i="11"/>
  <c r="M297" i="11"/>
  <c r="L297" i="11"/>
  <c r="K297" i="11"/>
  <c r="J297" i="11"/>
  <c r="I297" i="11"/>
  <c r="H297" i="11"/>
  <c r="Q296" i="11"/>
  <c r="P296" i="11"/>
  <c r="O296" i="11"/>
  <c r="N296" i="11"/>
  <c r="M296" i="11"/>
  <c r="L296" i="11"/>
  <c r="K296" i="11"/>
  <c r="J296" i="11"/>
  <c r="I296" i="11"/>
  <c r="H296" i="11"/>
  <c r="Q295" i="11"/>
  <c r="P295" i="11"/>
  <c r="O295" i="11"/>
  <c r="N295" i="11"/>
  <c r="M295" i="11"/>
  <c r="L295" i="11"/>
  <c r="K295" i="11"/>
  <c r="J295" i="11"/>
  <c r="I295" i="11"/>
  <c r="H295" i="11"/>
  <c r="Q294" i="11"/>
  <c r="P294" i="11"/>
  <c r="O294" i="11"/>
  <c r="N294" i="11"/>
  <c r="M294" i="11"/>
  <c r="L294" i="11"/>
  <c r="K294" i="11"/>
  <c r="J294" i="11"/>
  <c r="I294" i="11"/>
  <c r="H294" i="11"/>
  <c r="Q293" i="11"/>
  <c r="P293" i="11"/>
  <c r="O293" i="11"/>
  <c r="N293" i="11"/>
  <c r="M293" i="11"/>
  <c r="L293" i="11"/>
  <c r="K293" i="11"/>
  <c r="J293" i="11"/>
  <c r="I293" i="11"/>
  <c r="H293" i="11"/>
  <c r="Q292" i="11"/>
  <c r="P292" i="11"/>
  <c r="O292" i="11"/>
  <c r="N292" i="11"/>
  <c r="M292" i="11"/>
  <c r="L292" i="11"/>
  <c r="K292" i="11"/>
  <c r="J292" i="11"/>
  <c r="I292" i="11"/>
  <c r="H292" i="11"/>
  <c r="Q291" i="11"/>
  <c r="P291" i="11"/>
  <c r="O291" i="11"/>
  <c r="N291" i="11"/>
  <c r="M291" i="11"/>
  <c r="L291" i="11"/>
  <c r="K291" i="11"/>
  <c r="J291" i="11"/>
  <c r="I291" i="11"/>
  <c r="H291" i="11"/>
  <c r="Q290" i="11"/>
  <c r="P290" i="11"/>
  <c r="O290" i="11"/>
  <c r="N290" i="11"/>
  <c r="M290" i="11"/>
  <c r="L290" i="11"/>
  <c r="K290" i="11"/>
  <c r="J290" i="11"/>
  <c r="I290" i="11"/>
  <c r="H290" i="11"/>
  <c r="Q289" i="11"/>
  <c r="P289" i="11"/>
  <c r="O289" i="11"/>
  <c r="N289" i="11"/>
  <c r="M289" i="11"/>
  <c r="L289" i="11"/>
  <c r="K289" i="11"/>
  <c r="J289" i="11"/>
  <c r="I289" i="11"/>
  <c r="H289" i="11"/>
  <c r="Q288" i="11"/>
  <c r="P288" i="11"/>
  <c r="O288" i="11"/>
  <c r="N288" i="11"/>
  <c r="M288" i="11"/>
  <c r="L288" i="11"/>
  <c r="K288" i="11"/>
  <c r="J288" i="11"/>
  <c r="I288" i="11"/>
  <c r="H288" i="11"/>
  <c r="Q287" i="11"/>
  <c r="P287" i="11"/>
  <c r="O287" i="11"/>
  <c r="N287" i="11"/>
  <c r="M287" i="11"/>
  <c r="L287" i="11"/>
  <c r="K287" i="11"/>
  <c r="J287" i="11"/>
  <c r="I287" i="11"/>
  <c r="H287" i="11"/>
  <c r="Q286" i="11"/>
  <c r="P286" i="11"/>
  <c r="O286" i="11"/>
  <c r="N286" i="11"/>
  <c r="M286" i="11"/>
  <c r="L286" i="11"/>
  <c r="K286" i="11"/>
  <c r="J286" i="11"/>
  <c r="I286" i="11"/>
  <c r="H286" i="11"/>
  <c r="Q285" i="11"/>
  <c r="P285" i="11"/>
  <c r="O285" i="11"/>
  <c r="N285" i="11"/>
  <c r="M285" i="11"/>
  <c r="L285" i="11"/>
  <c r="K285" i="11"/>
  <c r="J285" i="11"/>
  <c r="I285" i="11"/>
  <c r="H285" i="11"/>
  <c r="Q284" i="11"/>
  <c r="P284" i="11"/>
  <c r="O284" i="11"/>
  <c r="N284" i="11"/>
  <c r="M284" i="11"/>
  <c r="L284" i="11"/>
  <c r="K284" i="11"/>
  <c r="J284" i="11"/>
  <c r="I284" i="11"/>
  <c r="H284" i="11"/>
  <c r="Q283" i="11"/>
  <c r="P283" i="11"/>
  <c r="O283" i="11"/>
  <c r="N283" i="11"/>
  <c r="M283" i="11"/>
  <c r="L283" i="11"/>
  <c r="K283" i="11"/>
  <c r="J283" i="11"/>
  <c r="I283" i="11"/>
  <c r="H283" i="11"/>
  <c r="Q282" i="11"/>
  <c r="P282" i="11"/>
  <c r="O282" i="11"/>
  <c r="N282" i="11"/>
  <c r="M282" i="11"/>
  <c r="L282" i="11"/>
  <c r="K282" i="11"/>
  <c r="J282" i="11"/>
  <c r="I282" i="11"/>
  <c r="H282" i="11"/>
  <c r="Q281" i="11"/>
  <c r="P281" i="11"/>
  <c r="O281" i="11"/>
  <c r="N281" i="11"/>
  <c r="M281" i="11"/>
  <c r="L281" i="11"/>
  <c r="K281" i="11"/>
  <c r="J281" i="11"/>
  <c r="I281" i="11"/>
  <c r="H281" i="11"/>
  <c r="Q280" i="11"/>
  <c r="P280" i="11"/>
  <c r="O280" i="11"/>
  <c r="N280" i="11"/>
  <c r="M280" i="11"/>
  <c r="L280" i="11"/>
  <c r="K280" i="11"/>
  <c r="J280" i="11"/>
  <c r="I280" i="11"/>
  <c r="H280" i="11"/>
  <c r="Q279" i="11"/>
  <c r="P279" i="11"/>
  <c r="O279" i="11"/>
  <c r="N279" i="11"/>
  <c r="M279" i="11"/>
  <c r="L279" i="11"/>
  <c r="K279" i="11"/>
  <c r="J279" i="11"/>
  <c r="I279" i="11"/>
  <c r="H279" i="11"/>
  <c r="Q278" i="11"/>
  <c r="P278" i="11"/>
  <c r="O278" i="11"/>
  <c r="N278" i="11"/>
  <c r="M278" i="11"/>
  <c r="L278" i="11"/>
  <c r="K278" i="11"/>
  <c r="J278" i="11"/>
  <c r="I278" i="11"/>
  <c r="H278" i="11"/>
  <c r="Q277" i="11"/>
  <c r="P277" i="11"/>
  <c r="O277" i="11"/>
  <c r="N277" i="11"/>
  <c r="M277" i="11"/>
  <c r="L277" i="11"/>
  <c r="K277" i="11"/>
  <c r="J277" i="11"/>
  <c r="I277" i="11"/>
  <c r="H277" i="11"/>
  <c r="Q276" i="11"/>
  <c r="P276" i="11"/>
  <c r="O276" i="11"/>
  <c r="N276" i="11"/>
  <c r="M276" i="11"/>
  <c r="L276" i="11"/>
  <c r="K276" i="11"/>
  <c r="J276" i="11"/>
  <c r="I276" i="11"/>
  <c r="H276" i="11"/>
  <c r="Q275" i="11"/>
  <c r="P275" i="11"/>
  <c r="O275" i="11"/>
  <c r="N275" i="11"/>
  <c r="M275" i="11"/>
  <c r="L275" i="11"/>
  <c r="K275" i="11"/>
  <c r="J275" i="11"/>
  <c r="I275" i="11"/>
  <c r="H275" i="11"/>
  <c r="Q274" i="11"/>
  <c r="P274" i="11"/>
  <c r="O274" i="11"/>
  <c r="N274" i="11"/>
  <c r="M274" i="11"/>
  <c r="L274" i="11"/>
  <c r="K274" i="11"/>
  <c r="J274" i="11"/>
  <c r="I274" i="11"/>
  <c r="H274" i="11"/>
  <c r="Q273" i="11"/>
  <c r="P273" i="11"/>
  <c r="O273" i="11"/>
  <c r="N273" i="11"/>
  <c r="M273" i="11"/>
  <c r="L273" i="11"/>
  <c r="K273" i="11"/>
  <c r="J273" i="11"/>
  <c r="I273" i="11"/>
  <c r="H273" i="11"/>
  <c r="Q272" i="11"/>
  <c r="P272" i="11"/>
  <c r="O272" i="11"/>
  <c r="N272" i="11"/>
  <c r="M272" i="11"/>
  <c r="L272" i="11"/>
  <c r="K272" i="11"/>
  <c r="J272" i="11"/>
  <c r="I272" i="11"/>
  <c r="H272" i="11"/>
  <c r="Q271" i="11"/>
  <c r="P271" i="11"/>
  <c r="O271" i="11"/>
  <c r="N271" i="11"/>
  <c r="M271" i="11"/>
  <c r="L271" i="11"/>
  <c r="K271" i="11"/>
  <c r="J271" i="11"/>
  <c r="I271" i="11"/>
  <c r="H271" i="11"/>
  <c r="Q270" i="11"/>
  <c r="P270" i="11"/>
  <c r="O270" i="11"/>
  <c r="N270" i="11"/>
  <c r="M270" i="11"/>
  <c r="L270" i="11"/>
  <c r="K270" i="11"/>
  <c r="J270" i="11"/>
  <c r="I270" i="11"/>
  <c r="H270" i="11"/>
  <c r="Q269" i="11"/>
  <c r="P269" i="11"/>
  <c r="O269" i="11"/>
  <c r="N269" i="11"/>
  <c r="M269" i="11"/>
  <c r="L269" i="11"/>
  <c r="K269" i="11"/>
  <c r="J269" i="11"/>
  <c r="I269" i="11"/>
  <c r="H269" i="11"/>
  <c r="Q268" i="11"/>
  <c r="P268" i="11"/>
  <c r="O268" i="11"/>
  <c r="N268" i="11"/>
  <c r="M268" i="11"/>
  <c r="L268" i="11"/>
  <c r="K268" i="11"/>
  <c r="J268" i="11"/>
  <c r="I268" i="11"/>
  <c r="H268" i="11"/>
  <c r="Q267" i="11"/>
  <c r="P267" i="11"/>
  <c r="O267" i="11"/>
  <c r="N267" i="11"/>
  <c r="M267" i="11"/>
  <c r="L267" i="11"/>
  <c r="K267" i="11"/>
  <c r="J267" i="11"/>
  <c r="I267" i="11"/>
  <c r="H267" i="11"/>
  <c r="Q266" i="11"/>
  <c r="P266" i="11"/>
  <c r="O266" i="11"/>
  <c r="N266" i="11"/>
  <c r="M266" i="11"/>
  <c r="L266" i="11"/>
  <c r="K266" i="11"/>
  <c r="J266" i="11"/>
  <c r="I266" i="11"/>
  <c r="H266" i="11"/>
  <c r="Q265" i="11"/>
  <c r="P265" i="11"/>
  <c r="O265" i="11"/>
  <c r="N265" i="11"/>
  <c r="M265" i="11"/>
  <c r="L265" i="11"/>
  <c r="K265" i="11"/>
  <c r="J265" i="11"/>
  <c r="I265" i="11"/>
  <c r="H265" i="11"/>
  <c r="Q264" i="11"/>
  <c r="P264" i="11"/>
  <c r="O264" i="11"/>
  <c r="N264" i="11"/>
  <c r="M264" i="11"/>
  <c r="L264" i="11"/>
  <c r="K264" i="11"/>
  <c r="J264" i="11"/>
  <c r="I264" i="11"/>
  <c r="H264" i="11"/>
  <c r="Q263" i="11"/>
  <c r="P263" i="11"/>
  <c r="O263" i="11"/>
  <c r="N263" i="11"/>
  <c r="M263" i="11"/>
  <c r="L263" i="11"/>
  <c r="K263" i="11"/>
  <c r="J263" i="11"/>
  <c r="I263" i="11"/>
  <c r="H263" i="11"/>
  <c r="Q262" i="11"/>
  <c r="P262" i="11"/>
  <c r="O262" i="11"/>
  <c r="N262" i="11"/>
  <c r="M262" i="11"/>
  <c r="L262" i="11"/>
  <c r="K262" i="11"/>
  <c r="J262" i="11"/>
  <c r="I262" i="11"/>
  <c r="H262" i="11"/>
  <c r="Q261" i="11"/>
  <c r="P261" i="11"/>
  <c r="O261" i="11"/>
  <c r="N261" i="11"/>
  <c r="M261" i="11"/>
  <c r="L261" i="11"/>
  <c r="K261" i="11"/>
  <c r="J261" i="11"/>
  <c r="I261" i="11"/>
  <c r="H261" i="11"/>
  <c r="Q260" i="11"/>
  <c r="P260" i="11"/>
  <c r="O260" i="11"/>
  <c r="N260" i="11"/>
  <c r="M260" i="11"/>
  <c r="L260" i="11"/>
  <c r="K260" i="11"/>
  <c r="J260" i="11"/>
  <c r="I260" i="11"/>
  <c r="H260" i="11"/>
  <c r="Q259" i="11"/>
  <c r="P259" i="11"/>
  <c r="O259" i="11"/>
  <c r="N259" i="11"/>
  <c r="M259" i="11"/>
  <c r="L259" i="11"/>
  <c r="K259" i="11"/>
  <c r="J259" i="11"/>
  <c r="I259" i="11"/>
  <c r="H259" i="11"/>
  <c r="Q258" i="11"/>
  <c r="P258" i="11"/>
  <c r="O258" i="11"/>
  <c r="N258" i="11"/>
  <c r="M258" i="11"/>
  <c r="L258" i="11"/>
  <c r="K258" i="11"/>
  <c r="J258" i="11"/>
  <c r="I258" i="11"/>
  <c r="H258" i="11"/>
  <c r="Q257" i="11"/>
  <c r="P257" i="11"/>
  <c r="O257" i="11"/>
  <c r="N257" i="11"/>
  <c r="M257" i="11"/>
  <c r="L257" i="11"/>
  <c r="K257" i="11"/>
  <c r="J257" i="11"/>
  <c r="I257" i="11"/>
  <c r="H257" i="11"/>
  <c r="Q256" i="11"/>
  <c r="P256" i="11"/>
  <c r="O256" i="11"/>
  <c r="N256" i="11"/>
  <c r="M256" i="11"/>
  <c r="L256" i="11"/>
  <c r="K256" i="11"/>
  <c r="J256" i="11"/>
  <c r="I256" i="11"/>
  <c r="H256" i="11"/>
  <c r="Q255" i="11"/>
  <c r="P255" i="11"/>
  <c r="O255" i="11"/>
  <c r="N255" i="11"/>
  <c r="M255" i="11"/>
  <c r="L255" i="11"/>
  <c r="K255" i="11"/>
  <c r="J255" i="11"/>
  <c r="I255" i="11"/>
  <c r="H255" i="11"/>
  <c r="Q254" i="11"/>
  <c r="P254" i="11"/>
  <c r="O254" i="11"/>
  <c r="N254" i="11"/>
  <c r="M254" i="11"/>
  <c r="L254" i="11"/>
  <c r="K254" i="11"/>
  <c r="J254" i="11"/>
  <c r="I254" i="11"/>
  <c r="H254" i="11"/>
  <c r="Q253" i="11"/>
  <c r="P253" i="11"/>
  <c r="O253" i="11"/>
  <c r="N253" i="11"/>
  <c r="M253" i="11"/>
  <c r="L253" i="11"/>
  <c r="K253" i="11"/>
  <c r="J253" i="11"/>
  <c r="I253" i="11"/>
  <c r="H253" i="11"/>
  <c r="Q252" i="11"/>
  <c r="P252" i="11"/>
  <c r="O252" i="11"/>
  <c r="N252" i="11"/>
  <c r="M252" i="11"/>
  <c r="L252" i="11"/>
  <c r="K252" i="11"/>
  <c r="J252" i="11"/>
  <c r="I252" i="11"/>
  <c r="H252" i="11"/>
  <c r="Q251" i="11"/>
  <c r="P251" i="11"/>
  <c r="O251" i="11"/>
  <c r="N251" i="11"/>
  <c r="M251" i="11"/>
  <c r="L251" i="11"/>
  <c r="K251" i="11"/>
  <c r="J251" i="11"/>
  <c r="I251" i="11"/>
  <c r="H251" i="11"/>
  <c r="Q250" i="11"/>
  <c r="P250" i="11"/>
  <c r="O250" i="11"/>
  <c r="N250" i="11"/>
  <c r="M250" i="11"/>
  <c r="L250" i="11"/>
  <c r="K250" i="11"/>
  <c r="J250" i="11"/>
  <c r="I250" i="11"/>
  <c r="H250" i="11"/>
  <c r="Q249" i="11"/>
  <c r="P249" i="11"/>
  <c r="O249" i="11"/>
  <c r="N249" i="11"/>
  <c r="M249" i="11"/>
  <c r="L249" i="11"/>
  <c r="K249" i="11"/>
  <c r="J249" i="11"/>
  <c r="I249" i="11"/>
  <c r="H249" i="11"/>
  <c r="Q248" i="11"/>
  <c r="P248" i="11"/>
  <c r="O248" i="11"/>
  <c r="N248" i="11"/>
  <c r="M248" i="11"/>
  <c r="L248" i="11"/>
  <c r="K248" i="11"/>
  <c r="J248" i="11"/>
  <c r="I248" i="11"/>
  <c r="H248" i="11"/>
  <c r="Q247" i="11"/>
  <c r="P247" i="11"/>
  <c r="O247" i="11"/>
  <c r="N247" i="11"/>
  <c r="M247" i="11"/>
  <c r="L247" i="11"/>
  <c r="K247" i="11"/>
  <c r="J247" i="11"/>
  <c r="I247" i="11"/>
  <c r="H247" i="11"/>
  <c r="Q246" i="11"/>
  <c r="P246" i="11"/>
  <c r="O246" i="11"/>
  <c r="N246" i="11"/>
  <c r="M246" i="11"/>
  <c r="L246" i="11"/>
  <c r="K246" i="11"/>
  <c r="J246" i="11"/>
  <c r="I246" i="11"/>
  <c r="H246" i="11"/>
  <c r="Q245" i="11"/>
  <c r="P245" i="11"/>
  <c r="O245" i="11"/>
  <c r="N245" i="11"/>
  <c r="M245" i="11"/>
  <c r="L245" i="11"/>
  <c r="K245" i="11"/>
  <c r="J245" i="11"/>
  <c r="I245" i="11"/>
  <c r="H245" i="11"/>
  <c r="Q244" i="11"/>
  <c r="P244" i="11"/>
  <c r="O244" i="11"/>
  <c r="N244" i="11"/>
  <c r="M244" i="11"/>
  <c r="L244" i="11"/>
  <c r="K244" i="11"/>
  <c r="J244" i="11"/>
  <c r="I244" i="11"/>
  <c r="H244" i="11"/>
  <c r="Q243" i="11"/>
  <c r="P243" i="11"/>
  <c r="O243" i="11"/>
  <c r="N243" i="11"/>
  <c r="M243" i="11"/>
  <c r="L243" i="11"/>
  <c r="K243" i="11"/>
  <c r="J243" i="11"/>
  <c r="I243" i="11"/>
  <c r="H243" i="11"/>
  <c r="Q242" i="11"/>
  <c r="P242" i="11"/>
  <c r="O242" i="11"/>
  <c r="N242" i="11"/>
  <c r="M242" i="11"/>
  <c r="L242" i="11"/>
  <c r="K242" i="11"/>
  <c r="J242" i="11"/>
  <c r="I242" i="11"/>
  <c r="H242" i="11"/>
  <c r="Q241" i="11"/>
  <c r="P241" i="11"/>
  <c r="O241" i="11"/>
  <c r="N241" i="11"/>
  <c r="M241" i="11"/>
  <c r="L241" i="11"/>
  <c r="K241" i="11"/>
  <c r="J241" i="11"/>
  <c r="I241" i="11"/>
  <c r="H241" i="11"/>
  <c r="Q240" i="11"/>
  <c r="P240" i="11"/>
  <c r="O240" i="11"/>
  <c r="N240" i="11"/>
  <c r="M240" i="11"/>
  <c r="L240" i="11"/>
  <c r="K240" i="11"/>
  <c r="J240" i="11"/>
  <c r="I240" i="11"/>
  <c r="H240" i="11"/>
  <c r="Q239" i="11"/>
  <c r="P239" i="11"/>
  <c r="O239" i="11"/>
  <c r="N239" i="11"/>
  <c r="M239" i="11"/>
  <c r="L239" i="11"/>
  <c r="K239" i="11"/>
  <c r="J239" i="11"/>
  <c r="I239" i="11"/>
  <c r="H239" i="11"/>
  <c r="Q238" i="11"/>
  <c r="P238" i="11"/>
  <c r="O238" i="11"/>
  <c r="N238" i="11"/>
  <c r="M238" i="11"/>
  <c r="L238" i="11"/>
  <c r="K238" i="11"/>
  <c r="J238" i="11"/>
  <c r="I238" i="11"/>
  <c r="H238" i="11"/>
  <c r="Q237" i="11"/>
  <c r="P237" i="11"/>
  <c r="O237" i="11"/>
  <c r="N237" i="11"/>
  <c r="M237" i="11"/>
  <c r="L237" i="11"/>
  <c r="K237" i="11"/>
  <c r="J237" i="11"/>
  <c r="I237" i="11"/>
  <c r="H237" i="11"/>
  <c r="Q236" i="11"/>
  <c r="P236" i="11"/>
  <c r="O236" i="11"/>
  <c r="N236" i="11"/>
  <c r="M236" i="11"/>
  <c r="L236" i="11"/>
  <c r="K236" i="11"/>
  <c r="J236" i="11"/>
  <c r="I236" i="11"/>
  <c r="H236" i="11"/>
  <c r="Q235" i="11"/>
  <c r="P235" i="11"/>
  <c r="O235" i="11"/>
  <c r="N235" i="11"/>
  <c r="M235" i="11"/>
  <c r="L235" i="11"/>
  <c r="K235" i="11"/>
  <c r="J235" i="11"/>
  <c r="I235" i="11"/>
  <c r="H235" i="11"/>
  <c r="Q234" i="11"/>
  <c r="P234" i="11"/>
  <c r="O234" i="11"/>
  <c r="N234" i="11"/>
  <c r="M234" i="11"/>
  <c r="L234" i="11"/>
  <c r="K234" i="11"/>
  <c r="J234" i="11"/>
  <c r="I234" i="11"/>
  <c r="H234" i="11"/>
  <c r="Q233" i="11"/>
  <c r="P233" i="11"/>
  <c r="O233" i="11"/>
  <c r="N233" i="11"/>
  <c r="M233" i="11"/>
  <c r="L233" i="11"/>
  <c r="K233" i="11"/>
  <c r="J233" i="11"/>
  <c r="I233" i="11"/>
  <c r="H233" i="11"/>
  <c r="Q232" i="11"/>
  <c r="P232" i="11"/>
  <c r="O232" i="11"/>
  <c r="N232" i="11"/>
  <c r="M232" i="11"/>
  <c r="L232" i="11"/>
  <c r="K232" i="11"/>
  <c r="J232" i="11"/>
  <c r="I232" i="11"/>
  <c r="H232" i="11"/>
  <c r="Q231" i="11"/>
  <c r="P231" i="11"/>
  <c r="O231" i="11"/>
  <c r="N231" i="11"/>
  <c r="M231" i="11"/>
  <c r="L231" i="11"/>
  <c r="K231" i="11"/>
  <c r="J231" i="11"/>
  <c r="I231" i="11"/>
  <c r="H231" i="11"/>
  <c r="Q230" i="11"/>
  <c r="P230" i="11"/>
  <c r="O230" i="11"/>
  <c r="N230" i="11"/>
  <c r="M230" i="11"/>
  <c r="L230" i="11"/>
  <c r="K230" i="11"/>
  <c r="J230" i="11"/>
  <c r="I230" i="11"/>
  <c r="H230" i="11"/>
  <c r="Q229" i="11"/>
  <c r="P229" i="11"/>
  <c r="O229" i="11"/>
  <c r="N229" i="11"/>
  <c r="M229" i="11"/>
  <c r="L229" i="11"/>
  <c r="K229" i="11"/>
  <c r="J229" i="11"/>
  <c r="I229" i="11"/>
  <c r="H229" i="11"/>
  <c r="Q228" i="11"/>
  <c r="P228" i="11"/>
  <c r="O228" i="11"/>
  <c r="N228" i="11"/>
  <c r="M228" i="11"/>
  <c r="L228" i="11"/>
  <c r="K228" i="11"/>
  <c r="J228" i="11"/>
  <c r="I228" i="11"/>
  <c r="H228" i="11"/>
  <c r="Q227" i="11"/>
  <c r="P227" i="11"/>
  <c r="O227" i="11"/>
  <c r="N227" i="11"/>
  <c r="M227" i="11"/>
  <c r="L227" i="11"/>
  <c r="K227" i="11"/>
  <c r="J227" i="11"/>
  <c r="I227" i="11"/>
  <c r="H227" i="11"/>
  <c r="Q226" i="11"/>
  <c r="P226" i="11"/>
  <c r="O226" i="11"/>
  <c r="N226" i="11"/>
  <c r="M226" i="11"/>
  <c r="L226" i="11"/>
  <c r="K226" i="11"/>
  <c r="J226" i="11"/>
  <c r="I226" i="11"/>
  <c r="H226" i="11"/>
  <c r="Q225" i="11"/>
  <c r="P225" i="11"/>
  <c r="O225" i="11"/>
  <c r="N225" i="11"/>
  <c r="M225" i="11"/>
  <c r="L225" i="11"/>
  <c r="K225" i="11"/>
  <c r="J225" i="11"/>
  <c r="I225" i="11"/>
  <c r="H225" i="11"/>
  <c r="Q224" i="11"/>
  <c r="P224" i="11"/>
  <c r="O224" i="11"/>
  <c r="N224" i="11"/>
  <c r="M224" i="11"/>
  <c r="L224" i="11"/>
  <c r="K224" i="11"/>
  <c r="J224" i="11"/>
  <c r="I224" i="11"/>
  <c r="H224" i="11"/>
  <c r="Q223" i="11"/>
  <c r="P223" i="11"/>
  <c r="O223" i="11"/>
  <c r="N223" i="11"/>
  <c r="M223" i="11"/>
  <c r="L223" i="11"/>
  <c r="K223" i="11"/>
  <c r="J223" i="11"/>
  <c r="I223" i="11"/>
  <c r="H223" i="11"/>
  <c r="Q222" i="11"/>
  <c r="P222" i="11"/>
  <c r="O222" i="11"/>
  <c r="N222" i="11"/>
  <c r="M222" i="11"/>
  <c r="L222" i="11"/>
  <c r="K222" i="11"/>
  <c r="J222" i="11"/>
  <c r="I222" i="11"/>
  <c r="H222" i="11"/>
  <c r="Q221" i="11"/>
  <c r="P221" i="11"/>
  <c r="O221" i="11"/>
  <c r="N221" i="11"/>
  <c r="M221" i="11"/>
  <c r="L221" i="11"/>
  <c r="K221" i="11"/>
  <c r="J221" i="11"/>
  <c r="I221" i="11"/>
  <c r="H221" i="11"/>
  <c r="Q220" i="11"/>
  <c r="P220" i="11"/>
  <c r="O220" i="11"/>
  <c r="N220" i="11"/>
  <c r="M220" i="11"/>
  <c r="L220" i="11"/>
  <c r="K220" i="11"/>
  <c r="J220" i="11"/>
  <c r="I220" i="11"/>
  <c r="H220" i="11"/>
  <c r="Q219" i="11"/>
  <c r="P219" i="11"/>
  <c r="O219" i="11"/>
  <c r="N219" i="11"/>
  <c r="M219" i="11"/>
  <c r="L219" i="11"/>
  <c r="K219" i="11"/>
  <c r="J219" i="11"/>
  <c r="I219" i="11"/>
  <c r="H219" i="11"/>
  <c r="Q218" i="11"/>
  <c r="P218" i="11"/>
  <c r="O218" i="11"/>
  <c r="N218" i="11"/>
  <c r="M218" i="11"/>
  <c r="L218" i="11"/>
  <c r="K218" i="11"/>
  <c r="J218" i="11"/>
  <c r="I218" i="11"/>
  <c r="H218" i="11"/>
  <c r="Q217" i="11"/>
  <c r="P217" i="11"/>
  <c r="O217" i="11"/>
  <c r="N217" i="11"/>
  <c r="M217" i="11"/>
  <c r="L217" i="11"/>
  <c r="K217" i="11"/>
  <c r="J217" i="11"/>
  <c r="I217" i="11"/>
  <c r="H217" i="11"/>
  <c r="Q216" i="11"/>
  <c r="P216" i="11"/>
  <c r="O216" i="11"/>
  <c r="N216" i="11"/>
  <c r="M216" i="11"/>
  <c r="L216" i="11"/>
  <c r="K216" i="11"/>
  <c r="J216" i="11"/>
  <c r="I216" i="11"/>
  <c r="H216" i="11"/>
  <c r="Q215" i="11"/>
  <c r="P215" i="11"/>
  <c r="O215" i="11"/>
  <c r="N215" i="11"/>
  <c r="M215" i="11"/>
  <c r="L215" i="11"/>
  <c r="K215" i="11"/>
  <c r="J215" i="11"/>
  <c r="I215" i="11"/>
  <c r="H215" i="11"/>
  <c r="Q214" i="11"/>
  <c r="P214" i="11"/>
  <c r="O214" i="11"/>
  <c r="N214" i="11"/>
  <c r="M214" i="11"/>
  <c r="L214" i="11"/>
  <c r="K214" i="11"/>
  <c r="J214" i="11"/>
  <c r="I214" i="11"/>
  <c r="H214" i="11"/>
  <c r="Q213" i="11"/>
  <c r="P213" i="11"/>
  <c r="O213" i="11"/>
  <c r="N213" i="11"/>
  <c r="M213" i="11"/>
  <c r="L213" i="11"/>
  <c r="K213" i="11"/>
  <c r="J213" i="11"/>
  <c r="I213" i="11"/>
  <c r="H213" i="11"/>
  <c r="Q212" i="11"/>
  <c r="P212" i="11"/>
  <c r="O212" i="11"/>
  <c r="N212" i="11"/>
  <c r="M212" i="11"/>
  <c r="L212" i="11"/>
  <c r="K212" i="11"/>
  <c r="J212" i="11"/>
  <c r="I212" i="11"/>
  <c r="H212" i="11"/>
  <c r="Q211" i="11"/>
  <c r="P211" i="11"/>
  <c r="O211" i="11"/>
  <c r="N211" i="11"/>
  <c r="M211" i="11"/>
  <c r="L211" i="11"/>
  <c r="K211" i="11"/>
  <c r="J211" i="11"/>
  <c r="I211" i="11"/>
  <c r="H211" i="11"/>
  <c r="Q210" i="11"/>
  <c r="P210" i="11"/>
  <c r="O210" i="11"/>
  <c r="N210" i="11"/>
  <c r="M210" i="11"/>
  <c r="L210" i="11"/>
  <c r="K210" i="11"/>
  <c r="J210" i="11"/>
  <c r="I210" i="11"/>
  <c r="H210" i="11"/>
  <c r="Q209" i="11"/>
  <c r="P209" i="11"/>
  <c r="O209" i="11"/>
  <c r="N209" i="11"/>
  <c r="M209" i="11"/>
  <c r="L209" i="11"/>
  <c r="K209" i="11"/>
  <c r="J209" i="11"/>
  <c r="I209" i="11"/>
  <c r="H209" i="11"/>
  <c r="Q208" i="11"/>
  <c r="P208" i="11"/>
  <c r="O208" i="11"/>
  <c r="N208" i="11"/>
  <c r="M208" i="11"/>
  <c r="L208" i="11"/>
  <c r="K208" i="11"/>
  <c r="J208" i="11"/>
  <c r="I208" i="11"/>
  <c r="H208" i="11"/>
  <c r="Q207" i="11"/>
  <c r="P207" i="11"/>
  <c r="O207" i="11"/>
  <c r="N207" i="11"/>
  <c r="M207" i="11"/>
  <c r="L207" i="11"/>
  <c r="K207" i="11"/>
  <c r="J207" i="11"/>
  <c r="I207" i="11"/>
  <c r="H207" i="11"/>
  <c r="Q206" i="11"/>
  <c r="P206" i="11"/>
  <c r="O206" i="11"/>
  <c r="N206" i="11"/>
  <c r="M206" i="11"/>
  <c r="L206" i="11"/>
  <c r="K206" i="11"/>
  <c r="J206" i="11"/>
  <c r="I206" i="11"/>
  <c r="H206" i="11"/>
  <c r="Q205" i="11"/>
  <c r="P205" i="11"/>
  <c r="O205" i="11"/>
  <c r="N205" i="11"/>
  <c r="M205" i="11"/>
  <c r="L205" i="11"/>
  <c r="K205" i="11"/>
  <c r="J205" i="11"/>
  <c r="I205" i="11"/>
  <c r="H205" i="11"/>
  <c r="Q204" i="11"/>
  <c r="P204" i="11"/>
  <c r="O204" i="11"/>
  <c r="N204" i="11"/>
  <c r="M204" i="11"/>
  <c r="L204" i="11"/>
  <c r="K204" i="11"/>
  <c r="J204" i="11"/>
  <c r="I204" i="11"/>
  <c r="H204" i="11"/>
  <c r="Q203" i="11"/>
  <c r="P203" i="11"/>
  <c r="O203" i="11"/>
  <c r="N203" i="11"/>
  <c r="M203" i="11"/>
  <c r="L203" i="11"/>
  <c r="K203" i="11"/>
  <c r="J203" i="11"/>
  <c r="I203" i="11"/>
  <c r="H203" i="11"/>
  <c r="Q202" i="11"/>
  <c r="P202" i="11"/>
  <c r="O202" i="11"/>
  <c r="N202" i="11"/>
  <c r="M202" i="11"/>
  <c r="L202" i="11"/>
  <c r="K202" i="11"/>
  <c r="J202" i="11"/>
  <c r="I202" i="11"/>
  <c r="H202" i="11"/>
  <c r="Q201" i="11"/>
  <c r="P201" i="11"/>
  <c r="O201" i="11"/>
  <c r="N201" i="11"/>
  <c r="M201" i="11"/>
  <c r="L201" i="11"/>
  <c r="K201" i="11"/>
  <c r="J201" i="11"/>
  <c r="I201" i="11"/>
  <c r="H201" i="11"/>
  <c r="Q200" i="11"/>
  <c r="P200" i="11"/>
  <c r="O200" i="11"/>
  <c r="N200" i="11"/>
  <c r="M200" i="11"/>
  <c r="L200" i="11"/>
  <c r="K200" i="11"/>
  <c r="J200" i="11"/>
  <c r="I200" i="11"/>
  <c r="H200" i="11"/>
  <c r="Q199" i="11"/>
  <c r="P199" i="11"/>
  <c r="O199" i="11"/>
  <c r="N199" i="11"/>
  <c r="M199" i="11"/>
  <c r="L199" i="11"/>
  <c r="K199" i="11"/>
  <c r="J199" i="11"/>
  <c r="I199" i="11"/>
  <c r="H199" i="11"/>
  <c r="Q198" i="11"/>
  <c r="P198" i="11"/>
  <c r="O198" i="11"/>
  <c r="N198" i="11"/>
  <c r="M198" i="11"/>
  <c r="L198" i="11"/>
  <c r="K198" i="11"/>
  <c r="J198" i="11"/>
  <c r="I198" i="11"/>
  <c r="H198" i="11"/>
  <c r="Q197" i="11"/>
  <c r="P197" i="11"/>
  <c r="O197" i="11"/>
  <c r="N197" i="11"/>
  <c r="M197" i="11"/>
  <c r="L197" i="11"/>
  <c r="K197" i="11"/>
  <c r="J197" i="11"/>
  <c r="I197" i="11"/>
  <c r="H197" i="11"/>
  <c r="Q196" i="11"/>
  <c r="P196" i="11"/>
  <c r="O196" i="11"/>
  <c r="N196" i="11"/>
  <c r="M196" i="11"/>
  <c r="L196" i="11"/>
  <c r="K196" i="11"/>
  <c r="J196" i="11"/>
  <c r="I196" i="11"/>
  <c r="H196" i="11"/>
  <c r="Q195" i="11"/>
  <c r="P195" i="11"/>
  <c r="O195" i="11"/>
  <c r="N195" i="11"/>
  <c r="M195" i="11"/>
  <c r="L195" i="11"/>
  <c r="K195" i="11"/>
  <c r="J195" i="11"/>
  <c r="I195" i="11"/>
  <c r="H195" i="11"/>
  <c r="Q194" i="11"/>
  <c r="P194" i="11"/>
  <c r="O194" i="11"/>
  <c r="N194" i="11"/>
  <c r="M194" i="11"/>
  <c r="L194" i="11"/>
  <c r="K194" i="11"/>
  <c r="J194" i="11"/>
  <c r="I194" i="11"/>
  <c r="H194" i="11"/>
  <c r="Q193" i="11"/>
  <c r="P193" i="11"/>
  <c r="O193" i="11"/>
  <c r="N193" i="11"/>
  <c r="M193" i="11"/>
  <c r="L193" i="11"/>
  <c r="K193" i="11"/>
  <c r="J193" i="11"/>
  <c r="I193" i="11"/>
  <c r="H193" i="11"/>
  <c r="Q192" i="11"/>
  <c r="P192" i="11"/>
  <c r="O192" i="11"/>
  <c r="N192" i="11"/>
  <c r="M192" i="11"/>
  <c r="L192" i="11"/>
  <c r="K192" i="11"/>
  <c r="J192" i="11"/>
  <c r="I192" i="11"/>
  <c r="H192" i="11"/>
  <c r="Q191" i="11"/>
  <c r="P191" i="11"/>
  <c r="O191" i="11"/>
  <c r="N191" i="11"/>
  <c r="M191" i="11"/>
  <c r="L191" i="11"/>
  <c r="K191" i="11"/>
  <c r="J191" i="11"/>
  <c r="I191" i="11"/>
  <c r="H191" i="11"/>
  <c r="Q190" i="11"/>
  <c r="P190" i="11"/>
  <c r="O190" i="11"/>
  <c r="N190" i="11"/>
  <c r="M190" i="11"/>
  <c r="L190" i="11"/>
  <c r="K190" i="11"/>
  <c r="J190" i="11"/>
  <c r="I190" i="11"/>
  <c r="H190" i="11"/>
  <c r="Q189" i="11"/>
  <c r="P189" i="11"/>
  <c r="O189" i="11"/>
  <c r="N189" i="11"/>
  <c r="M189" i="11"/>
  <c r="L189" i="11"/>
  <c r="K189" i="11"/>
  <c r="J189" i="11"/>
  <c r="I189" i="11"/>
  <c r="H189" i="11"/>
  <c r="Q188" i="11"/>
  <c r="P188" i="11"/>
  <c r="O188" i="11"/>
  <c r="N188" i="11"/>
  <c r="M188" i="11"/>
  <c r="L188" i="11"/>
  <c r="K188" i="11"/>
  <c r="J188" i="11"/>
  <c r="I188" i="11"/>
  <c r="H188" i="11"/>
  <c r="Q187" i="11"/>
  <c r="P187" i="11"/>
  <c r="O187" i="11"/>
  <c r="N187" i="11"/>
  <c r="M187" i="11"/>
  <c r="L187" i="11"/>
  <c r="K187" i="11"/>
  <c r="J187" i="11"/>
  <c r="I187" i="11"/>
  <c r="H187" i="11"/>
  <c r="Q186" i="11"/>
  <c r="P186" i="11"/>
  <c r="O186" i="11"/>
  <c r="N186" i="11"/>
  <c r="M186" i="11"/>
  <c r="L186" i="11"/>
  <c r="K186" i="11"/>
  <c r="J186" i="11"/>
  <c r="I186" i="11"/>
  <c r="H186" i="11"/>
  <c r="Q185" i="11"/>
  <c r="P185" i="11"/>
  <c r="O185" i="11"/>
  <c r="N185" i="11"/>
  <c r="M185" i="11"/>
  <c r="L185" i="11"/>
  <c r="K185" i="11"/>
  <c r="J185" i="11"/>
  <c r="I185" i="11"/>
  <c r="H185" i="11"/>
  <c r="Q184" i="11"/>
  <c r="P184" i="11"/>
  <c r="O184" i="11"/>
  <c r="N184" i="11"/>
  <c r="M184" i="11"/>
  <c r="L184" i="11"/>
  <c r="K184" i="11"/>
  <c r="J184" i="11"/>
  <c r="I184" i="11"/>
  <c r="H184" i="11"/>
  <c r="Q183" i="11"/>
  <c r="P183" i="11"/>
  <c r="O183" i="11"/>
  <c r="N183" i="11"/>
  <c r="M183" i="11"/>
  <c r="L183" i="11"/>
  <c r="K183" i="11"/>
  <c r="J183" i="11"/>
  <c r="I183" i="11"/>
  <c r="H183" i="11"/>
  <c r="Q182" i="11"/>
  <c r="P182" i="11"/>
  <c r="O182" i="11"/>
  <c r="N182" i="11"/>
  <c r="M182" i="11"/>
  <c r="L182" i="11"/>
  <c r="K182" i="11"/>
  <c r="J182" i="11"/>
  <c r="I182" i="11"/>
  <c r="H182" i="11"/>
  <c r="Q181" i="11"/>
  <c r="P181" i="11"/>
  <c r="O181" i="11"/>
  <c r="N181" i="11"/>
  <c r="M181" i="11"/>
  <c r="L181" i="11"/>
  <c r="K181" i="11"/>
  <c r="J181" i="11"/>
  <c r="I181" i="11"/>
  <c r="H181" i="11"/>
  <c r="Q180" i="11"/>
  <c r="P180" i="11"/>
  <c r="O180" i="11"/>
  <c r="N180" i="11"/>
  <c r="M180" i="11"/>
  <c r="L180" i="11"/>
  <c r="K180" i="11"/>
  <c r="J180" i="11"/>
  <c r="I180" i="11"/>
  <c r="H180" i="11"/>
  <c r="Q179" i="11"/>
  <c r="P179" i="11"/>
  <c r="O179" i="11"/>
  <c r="N179" i="11"/>
  <c r="M179" i="11"/>
  <c r="L179" i="11"/>
  <c r="K179" i="11"/>
  <c r="J179" i="11"/>
  <c r="I179" i="11"/>
  <c r="H179" i="11"/>
  <c r="Q178" i="11"/>
  <c r="P178" i="11"/>
  <c r="O178" i="11"/>
  <c r="N178" i="11"/>
  <c r="M178" i="11"/>
  <c r="L178" i="11"/>
  <c r="K178" i="11"/>
  <c r="J178" i="11"/>
  <c r="I178" i="11"/>
  <c r="H178" i="11"/>
  <c r="Q177" i="11"/>
  <c r="P177" i="11"/>
  <c r="O177" i="11"/>
  <c r="N177" i="11"/>
  <c r="M177" i="11"/>
  <c r="L177" i="11"/>
  <c r="K177" i="11"/>
  <c r="J177" i="11"/>
  <c r="I177" i="11"/>
  <c r="H177" i="11"/>
  <c r="Q176" i="11"/>
  <c r="P176" i="11"/>
  <c r="O176" i="11"/>
  <c r="N176" i="11"/>
  <c r="M176" i="11"/>
  <c r="L176" i="11"/>
  <c r="K176" i="11"/>
  <c r="J176" i="11"/>
  <c r="I176" i="11"/>
  <c r="H176" i="11"/>
  <c r="Q175" i="11"/>
  <c r="P175" i="11"/>
  <c r="O175" i="11"/>
  <c r="N175" i="11"/>
  <c r="M175" i="11"/>
  <c r="L175" i="11"/>
  <c r="K175" i="11"/>
  <c r="J175" i="11"/>
  <c r="I175" i="11"/>
  <c r="H175" i="11"/>
  <c r="Q174" i="11"/>
  <c r="P174" i="11"/>
  <c r="O174" i="11"/>
  <c r="N174" i="11"/>
  <c r="M174" i="11"/>
  <c r="L174" i="11"/>
  <c r="K174" i="11"/>
  <c r="J174" i="11"/>
  <c r="I174" i="11"/>
  <c r="H174" i="11"/>
  <c r="Q173" i="11"/>
  <c r="P173" i="11"/>
  <c r="O173" i="11"/>
  <c r="N173" i="11"/>
  <c r="M173" i="11"/>
  <c r="L173" i="11"/>
  <c r="K173" i="11"/>
  <c r="J173" i="11"/>
  <c r="I173" i="11"/>
  <c r="H173" i="11"/>
  <c r="Q172" i="11"/>
  <c r="P172" i="11"/>
  <c r="O172" i="11"/>
  <c r="N172" i="11"/>
  <c r="M172" i="11"/>
  <c r="L172" i="11"/>
  <c r="K172" i="11"/>
  <c r="J172" i="11"/>
  <c r="I172" i="11"/>
  <c r="H172" i="11"/>
  <c r="Q171" i="11"/>
  <c r="P171" i="11"/>
  <c r="O171" i="11"/>
  <c r="N171" i="11"/>
  <c r="M171" i="11"/>
  <c r="L171" i="11"/>
  <c r="K171" i="11"/>
  <c r="J171" i="11"/>
  <c r="I171" i="11"/>
  <c r="H171" i="11"/>
  <c r="Q170" i="11"/>
  <c r="P170" i="11"/>
  <c r="O170" i="11"/>
  <c r="N170" i="11"/>
  <c r="M170" i="11"/>
  <c r="L170" i="11"/>
  <c r="K170" i="11"/>
  <c r="J170" i="11"/>
  <c r="I170" i="11"/>
  <c r="H170" i="11"/>
  <c r="Q169" i="11"/>
  <c r="P169" i="11"/>
  <c r="O169" i="11"/>
  <c r="N169" i="11"/>
  <c r="M169" i="11"/>
  <c r="L169" i="11"/>
  <c r="K169" i="11"/>
  <c r="J169" i="11"/>
  <c r="I169" i="11"/>
  <c r="H169" i="11"/>
  <c r="Q168" i="11"/>
  <c r="P168" i="11"/>
  <c r="O168" i="11"/>
  <c r="N168" i="11"/>
  <c r="M168" i="11"/>
  <c r="L168" i="11"/>
  <c r="K168" i="11"/>
  <c r="J168" i="11"/>
  <c r="I168" i="11"/>
  <c r="H168" i="11"/>
  <c r="Q167" i="11"/>
  <c r="P167" i="11"/>
  <c r="O167" i="11"/>
  <c r="N167" i="11"/>
  <c r="M167" i="11"/>
  <c r="L167" i="11"/>
  <c r="K167" i="11"/>
  <c r="J167" i="11"/>
  <c r="I167" i="11"/>
  <c r="H167" i="11"/>
  <c r="Q166" i="11"/>
  <c r="P166" i="11"/>
  <c r="O166" i="11"/>
  <c r="N166" i="11"/>
  <c r="M166" i="11"/>
  <c r="L166" i="11"/>
  <c r="K166" i="11"/>
  <c r="J166" i="11"/>
  <c r="I166" i="11"/>
  <c r="H166" i="11"/>
  <c r="Q165" i="11"/>
  <c r="P165" i="11"/>
  <c r="O165" i="11"/>
  <c r="N165" i="11"/>
  <c r="M165" i="11"/>
  <c r="L165" i="11"/>
  <c r="K165" i="11"/>
  <c r="J165" i="11"/>
  <c r="I165" i="11"/>
  <c r="H165" i="11"/>
  <c r="Q164" i="11"/>
  <c r="P164" i="11"/>
  <c r="O164" i="11"/>
  <c r="N164" i="11"/>
  <c r="M164" i="11"/>
  <c r="L164" i="11"/>
  <c r="K164" i="11"/>
  <c r="J164" i="11"/>
  <c r="I164" i="11"/>
  <c r="H164" i="11"/>
  <c r="Q163" i="11"/>
  <c r="P163" i="11"/>
  <c r="O163" i="11"/>
  <c r="N163" i="11"/>
  <c r="M163" i="11"/>
  <c r="L163" i="11"/>
  <c r="K163" i="11"/>
  <c r="J163" i="11"/>
  <c r="I163" i="11"/>
  <c r="H163" i="11"/>
  <c r="Q162" i="11"/>
  <c r="P162" i="11"/>
  <c r="O162" i="11"/>
  <c r="N162" i="11"/>
  <c r="M162" i="11"/>
  <c r="L162" i="11"/>
  <c r="K162" i="11"/>
  <c r="J162" i="11"/>
  <c r="I162" i="11"/>
  <c r="H162" i="11"/>
  <c r="Q161" i="11"/>
  <c r="P161" i="11"/>
  <c r="O161" i="11"/>
  <c r="N161" i="11"/>
  <c r="M161" i="11"/>
  <c r="L161" i="11"/>
  <c r="K161" i="11"/>
  <c r="J161" i="11"/>
  <c r="I161" i="11"/>
  <c r="H161" i="11"/>
  <c r="Q160" i="11"/>
  <c r="P160" i="11"/>
  <c r="O160" i="11"/>
  <c r="N160" i="11"/>
  <c r="M160" i="11"/>
  <c r="L160" i="11"/>
  <c r="K160" i="11"/>
  <c r="J160" i="11"/>
  <c r="I160" i="11"/>
  <c r="H160" i="11"/>
  <c r="Q159" i="11"/>
  <c r="P159" i="11"/>
  <c r="O159" i="11"/>
  <c r="N159" i="11"/>
  <c r="M159" i="11"/>
  <c r="L159" i="11"/>
  <c r="K159" i="11"/>
  <c r="J159" i="11"/>
  <c r="I159" i="11"/>
  <c r="H159" i="11"/>
  <c r="Q158" i="11"/>
  <c r="P158" i="11"/>
  <c r="O158" i="11"/>
  <c r="N158" i="11"/>
  <c r="M158" i="11"/>
  <c r="L158" i="11"/>
  <c r="K158" i="11"/>
  <c r="J158" i="11"/>
  <c r="I158" i="11"/>
  <c r="H158" i="11"/>
  <c r="Q157" i="11"/>
  <c r="P157" i="11"/>
  <c r="O157" i="11"/>
  <c r="N157" i="11"/>
  <c r="M157" i="11"/>
  <c r="L157" i="11"/>
  <c r="K157" i="11"/>
  <c r="J157" i="11"/>
  <c r="I157" i="11"/>
  <c r="H157" i="11"/>
  <c r="Q156" i="11"/>
  <c r="P156" i="11"/>
  <c r="O156" i="11"/>
  <c r="N156" i="11"/>
  <c r="M156" i="11"/>
  <c r="L156" i="11"/>
  <c r="K156" i="11"/>
  <c r="J156" i="11"/>
  <c r="I156" i="11"/>
  <c r="H156" i="11"/>
  <c r="Q155" i="11"/>
  <c r="P155" i="11"/>
  <c r="O155" i="11"/>
  <c r="N155" i="11"/>
  <c r="M155" i="11"/>
  <c r="L155" i="11"/>
  <c r="K155" i="11"/>
  <c r="J155" i="11"/>
  <c r="I155" i="11"/>
  <c r="H155" i="11"/>
  <c r="Q154" i="11"/>
  <c r="P154" i="11"/>
  <c r="O154" i="11"/>
  <c r="N154" i="11"/>
  <c r="M154" i="11"/>
  <c r="L154" i="11"/>
  <c r="K154" i="11"/>
  <c r="J154" i="11"/>
  <c r="I154" i="11"/>
  <c r="H154" i="11"/>
  <c r="Q153" i="11"/>
  <c r="P153" i="11"/>
  <c r="O153" i="11"/>
  <c r="N153" i="11"/>
  <c r="M153" i="11"/>
  <c r="L153" i="11"/>
  <c r="K153" i="11"/>
  <c r="J153" i="11"/>
  <c r="I153" i="11"/>
  <c r="H153" i="11"/>
  <c r="Q152" i="11"/>
  <c r="P152" i="11"/>
  <c r="O152" i="11"/>
  <c r="N152" i="11"/>
  <c r="M152" i="11"/>
  <c r="L152" i="11"/>
  <c r="K152" i="11"/>
  <c r="J152" i="11"/>
  <c r="I152" i="11"/>
  <c r="H152" i="11"/>
  <c r="Q151" i="11"/>
  <c r="P151" i="11"/>
  <c r="O151" i="11"/>
  <c r="N151" i="11"/>
  <c r="M151" i="11"/>
  <c r="L151" i="11"/>
  <c r="K151" i="11"/>
  <c r="J151" i="11"/>
  <c r="I151" i="11"/>
  <c r="H151" i="11"/>
  <c r="Q150" i="11"/>
  <c r="P150" i="11"/>
  <c r="O150" i="11"/>
  <c r="N150" i="11"/>
  <c r="M150" i="11"/>
  <c r="L150" i="11"/>
  <c r="K150" i="11"/>
  <c r="J150" i="11"/>
  <c r="I150" i="11"/>
  <c r="H150" i="11"/>
  <c r="Q149" i="11"/>
  <c r="P149" i="11"/>
  <c r="O149" i="11"/>
  <c r="N149" i="11"/>
  <c r="M149" i="11"/>
  <c r="L149" i="11"/>
  <c r="K149" i="11"/>
  <c r="J149" i="11"/>
  <c r="I149" i="11"/>
  <c r="H149" i="11"/>
  <c r="Q148" i="11"/>
  <c r="P148" i="11"/>
  <c r="O148" i="11"/>
  <c r="N148" i="11"/>
  <c r="M148" i="11"/>
  <c r="L148" i="11"/>
  <c r="K148" i="11"/>
  <c r="J148" i="11"/>
  <c r="I148" i="11"/>
  <c r="H148" i="11"/>
  <c r="Q147" i="11"/>
  <c r="P147" i="11"/>
  <c r="O147" i="11"/>
  <c r="N147" i="11"/>
  <c r="M147" i="11"/>
  <c r="L147" i="11"/>
  <c r="K147" i="11"/>
  <c r="J147" i="11"/>
  <c r="I147" i="11"/>
  <c r="H147" i="11"/>
  <c r="Q146" i="11"/>
  <c r="P146" i="11"/>
  <c r="O146" i="11"/>
  <c r="N146" i="11"/>
  <c r="M146" i="11"/>
  <c r="L146" i="11"/>
  <c r="K146" i="11"/>
  <c r="J146" i="11"/>
  <c r="I146" i="11"/>
  <c r="H146" i="11"/>
  <c r="Q145" i="11"/>
  <c r="P145" i="11"/>
  <c r="O145" i="11"/>
  <c r="N145" i="11"/>
  <c r="M145" i="11"/>
  <c r="L145" i="11"/>
  <c r="K145" i="11"/>
  <c r="J145" i="11"/>
  <c r="I145" i="11"/>
  <c r="H145" i="11"/>
  <c r="Q144" i="11"/>
  <c r="P144" i="11"/>
  <c r="O144" i="11"/>
  <c r="N144" i="11"/>
  <c r="M144" i="11"/>
  <c r="L144" i="11"/>
  <c r="K144" i="11"/>
  <c r="J144" i="11"/>
  <c r="I144" i="11"/>
  <c r="H144" i="11"/>
  <c r="Q143" i="11"/>
  <c r="P143" i="11"/>
  <c r="O143" i="11"/>
  <c r="N143" i="11"/>
  <c r="M143" i="11"/>
  <c r="L143" i="11"/>
  <c r="K143" i="11"/>
  <c r="J143" i="11"/>
  <c r="I143" i="11"/>
  <c r="H143" i="11"/>
  <c r="Q142" i="11"/>
  <c r="P142" i="11"/>
  <c r="O142" i="11"/>
  <c r="N142" i="11"/>
  <c r="M142" i="11"/>
  <c r="L142" i="11"/>
  <c r="K142" i="11"/>
  <c r="J142" i="11"/>
  <c r="I142" i="11"/>
  <c r="H142" i="11"/>
  <c r="Q141" i="11"/>
  <c r="P141" i="11"/>
  <c r="O141" i="11"/>
  <c r="N141" i="11"/>
  <c r="M141" i="11"/>
  <c r="L141" i="11"/>
  <c r="K141" i="11"/>
  <c r="J141" i="11"/>
  <c r="I141" i="11"/>
  <c r="H141" i="11"/>
  <c r="Q140" i="11"/>
  <c r="P140" i="11"/>
  <c r="O140" i="11"/>
  <c r="N140" i="11"/>
  <c r="M140" i="11"/>
  <c r="L140" i="11"/>
  <c r="K140" i="11"/>
  <c r="J140" i="11"/>
  <c r="I140" i="11"/>
  <c r="H140" i="11"/>
  <c r="Q139" i="11"/>
  <c r="P139" i="11"/>
  <c r="O139" i="11"/>
  <c r="N139" i="11"/>
  <c r="M139" i="11"/>
  <c r="L139" i="11"/>
  <c r="K139" i="11"/>
  <c r="J139" i="11"/>
  <c r="I139" i="11"/>
  <c r="H139" i="11"/>
  <c r="Q138" i="11"/>
  <c r="P138" i="11"/>
  <c r="O138" i="11"/>
  <c r="N138" i="11"/>
  <c r="M138" i="11"/>
  <c r="L138" i="11"/>
  <c r="K138" i="11"/>
  <c r="J138" i="11"/>
  <c r="I138" i="11"/>
  <c r="H138" i="11"/>
  <c r="Q137" i="11"/>
  <c r="P137" i="11"/>
  <c r="O137" i="11"/>
  <c r="N137" i="11"/>
  <c r="M137" i="11"/>
  <c r="L137" i="11"/>
  <c r="K137" i="11"/>
  <c r="J137" i="11"/>
  <c r="I137" i="11"/>
  <c r="H137" i="11"/>
  <c r="Q136" i="11"/>
  <c r="P136" i="11"/>
  <c r="O136" i="11"/>
  <c r="N136" i="11"/>
  <c r="M136" i="11"/>
  <c r="L136" i="11"/>
  <c r="K136" i="11"/>
  <c r="J136" i="11"/>
  <c r="I136" i="11"/>
  <c r="H136" i="11"/>
  <c r="Q135" i="11"/>
  <c r="P135" i="11"/>
  <c r="O135" i="11"/>
  <c r="N135" i="11"/>
  <c r="M135" i="11"/>
  <c r="L135" i="11"/>
  <c r="K135" i="11"/>
  <c r="J135" i="11"/>
  <c r="I135" i="11"/>
  <c r="H135" i="11"/>
  <c r="Q134" i="11"/>
  <c r="P134" i="11"/>
  <c r="O134" i="11"/>
  <c r="N134" i="11"/>
  <c r="M134" i="11"/>
  <c r="L134" i="11"/>
  <c r="K134" i="11"/>
  <c r="J134" i="11"/>
  <c r="I134" i="11"/>
  <c r="H134" i="11"/>
  <c r="Q133" i="11"/>
  <c r="P133" i="11"/>
  <c r="O133" i="11"/>
  <c r="N133" i="11"/>
  <c r="M133" i="11"/>
  <c r="L133" i="11"/>
  <c r="K133" i="11"/>
  <c r="J133" i="11"/>
  <c r="I133" i="11"/>
  <c r="H133" i="11"/>
  <c r="Q132" i="11"/>
  <c r="P132" i="11"/>
  <c r="O132" i="11"/>
  <c r="N132" i="11"/>
  <c r="M132" i="11"/>
  <c r="L132" i="11"/>
  <c r="K132" i="11"/>
  <c r="J132" i="11"/>
  <c r="I132" i="11"/>
  <c r="H132" i="11"/>
  <c r="Q131" i="11"/>
  <c r="P131" i="11"/>
  <c r="O131" i="11"/>
  <c r="N131" i="11"/>
  <c r="M131" i="11"/>
  <c r="L131" i="11"/>
  <c r="K131" i="11"/>
  <c r="J131" i="11"/>
  <c r="I131" i="11"/>
  <c r="H131" i="11"/>
  <c r="Q130" i="11"/>
  <c r="P130" i="11"/>
  <c r="O130" i="11"/>
  <c r="N130" i="11"/>
  <c r="M130" i="11"/>
  <c r="L130" i="11"/>
  <c r="K130" i="11"/>
  <c r="J130" i="11"/>
  <c r="I130" i="11"/>
  <c r="H130" i="11"/>
  <c r="Q129" i="11"/>
  <c r="P129" i="11"/>
  <c r="O129" i="11"/>
  <c r="N129" i="11"/>
  <c r="M129" i="11"/>
  <c r="L129" i="11"/>
  <c r="K129" i="11"/>
  <c r="J129" i="11"/>
  <c r="I129" i="11"/>
  <c r="H129" i="11"/>
  <c r="Q128" i="11"/>
  <c r="P128" i="11"/>
  <c r="O128" i="11"/>
  <c r="N128" i="11"/>
  <c r="M128" i="11"/>
  <c r="L128" i="11"/>
  <c r="K128" i="11"/>
  <c r="J128" i="11"/>
  <c r="I128" i="11"/>
  <c r="H128" i="11"/>
  <c r="Q127" i="11"/>
  <c r="P127" i="11"/>
  <c r="O127" i="11"/>
  <c r="N127" i="11"/>
  <c r="M127" i="11"/>
  <c r="L127" i="11"/>
  <c r="K127" i="11"/>
  <c r="J127" i="11"/>
  <c r="I127" i="11"/>
  <c r="H127" i="11"/>
  <c r="Q126" i="11"/>
  <c r="P126" i="11"/>
  <c r="O126" i="11"/>
  <c r="N126" i="11"/>
  <c r="M126" i="11"/>
  <c r="L126" i="11"/>
  <c r="K126" i="11"/>
  <c r="J126" i="11"/>
  <c r="I126" i="11"/>
  <c r="H126" i="11"/>
  <c r="Q125" i="11"/>
  <c r="P125" i="11"/>
  <c r="O125" i="11"/>
  <c r="N125" i="11"/>
  <c r="M125" i="11"/>
  <c r="L125" i="11"/>
  <c r="K125" i="11"/>
  <c r="J125" i="11"/>
  <c r="I125" i="11"/>
  <c r="H125" i="11"/>
  <c r="Q124" i="11"/>
  <c r="P124" i="11"/>
  <c r="O124" i="11"/>
  <c r="N124" i="11"/>
  <c r="M124" i="11"/>
  <c r="L124" i="11"/>
  <c r="K124" i="11"/>
  <c r="J124" i="11"/>
  <c r="I124" i="11"/>
  <c r="H124" i="11"/>
  <c r="Q123" i="11"/>
  <c r="P123" i="11"/>
  <c r="O123" i="11"/>
  <c r="N123" i="11"/>
  <c r="M123" i="11"/>
  <c r="L123" i="11"/>
  <c r="K123" i="11"/>
  <c r="J123" i="11"/>
  <c r="I123" i="11"/>
  <c r="H123" i="11"/>
  <c r="Q122" i="11"/>
  <c r="P122" i="11"/>
  <c r="O122" i="11"/>
  <c r="N122" i="11"/>
  <c r="M122" i="11"/>
  <c r="L122" i="11"/>
  <c r="K122" i="11"/>
  <c r="J122" i="11"/>
  <c r="I122" i="11"/>
  <c r="H122" i="11"/>
  <c r="Q121" i="11"/>
  <c r="P121" i="11"/>
  <c r="O121" i="11"/>
  <c r="N121" i="11"/>
  <c r="M121" i="11"/>
  <c r="L121" i="11"/>
  <c r="K121" i="11"/>
  <c r="J121" i="11"/>
  <c r="I121" i="11"/>
  <c r="H121" i="11"/>
  <c r="Q120" i="11"/>
  <c r="P120" i="11"/>
  <c r="O120" i="11"/>
  <c r="N120" i="11"/>
  <c r="M120" i="11"/>
  <c r="L120" i="11"/>
  <c r="K120" i="11"/>
  <c r="J120" i="11"/>
  <c r="I120" i="11"/>
  <c r="H120" i="11"/>
  <c r="Q119" i="11"/>
  <c r="P119" i="11"/>
  <c r="O119" i="11"/>
  <c r="N119" i="11"/>
  <c r="M119" i="11"/>
  <c r="L119" i="11"/>
  <c r="K119" i="11"/>
  <c r="J119" i="11"/>
  <c r="I119" i="11"/>
  <c r="H119" i="11"/>
  <c r="Q118" i="11"/>
  <c r="P118" i="11"/>
  <c r="O118" i="11"/>
  <c r="N118" i="11"/>
  <c r="M118" i="11"/>
  <c r="L118" i="11"/>
  <c r="K118" i="11"/>
  <c r="J118" i="11"/>
  <c r="I118" i="11"/>
  <c r="H118" i="11"/>
  <c r="Q117" i="11"/>
  <c r="P117" i="11"/>
  <c r="O117" i="11"/>
  <c r="N117" i="11"/>
  <c r="M117" i="11"/>
  <c r="L117" i="11"/>
  <c r="K117" i="11"/>
  <c r="J117" i="11"/>
  <c r="I117" i="11"/>
  <c r="H117" i="11"/>
  <c r="Q116" i="11"/>
  <c r="P116" i="11"/>
  <c r="O116" i="11"/>
  <c r="N116" i="11"/>
  <c r="M116" i="11"/>
  <c r="L116" i="11"/>
  <c r="K116" i="11"/>
  <c r="J116" i="11"/>
  <c r="I116" i="11"/>
  <c r="H116" i="11"/>
  <c r="Q115" i="11"/>
  <c r="P115" i="11"/>
  <c r="O115" i="11"/>
  <c r="N115" i="11"/>
  <c r="M115" i="11"/>
  <c r="L115" i="11"/>
  <c r="K115" i="11"/>
  <c r="J115" i="11"/>
  <c r="I115" i="11"/>
  <c r="H115" i="11"/>
  <c r="Q114" i="11"/>
  <c r="P114" i="11"/>
  <c r="O114" i="11"/>
  <c r="N114" i="11"/>
  <c r="M114" i="11"/>
  <c r="L114" i="11"/>
  <c r="K114" i="11"/>
  <c r="J114" i="11"/>
  <c r="I114" i="11"/>
  <c r="H114" i="11"/>
  <c r="Q113" i="11"/>
  <c r="P113" i="11"/>
  <c r="O113" i="11"/>
  <c r="N113" i="11"/>
  <c r="M113" i="11"/>
  <c r="L113" i="11"/>
  <c r="K113" i="11"/>
  <c r="J113" i="11"/>
  <c r="I113" i="11"/>
  <c r="H113" i="11"/>
  <c r="Q112" i="11"/>
  <c r="P112" i="11"/>
  <c r="O112" i="11"/>
  <c r="N112" i="11"/>
  <c r="M112" i="11"/>
  <c r="L112" i="11"/>
  <c r="K112" i="11"/>
  <c r="J112" i="11"/>
  <c r="I112" i="11"/>
  <c r="H112" i="11"/>
  <c r="Q111" i="11"/>
  <c r="P111" i="11"/>
  <c r="O111" i="11"/>
  <c r="N111" i="11"/>
  <c r="M111" i="11"/>
  <c r="L111" i="11"/>
  <c r="K111" i="11"/>
  <c r="J111" i="11"/>
  <c r="I111" i="11"/>
  <c r="H111" i="11"/>
  <c r="Q110" i="11"/>
  <c r="P110" i="11"/>
  <c r="O110" i="11"/>
  <c r="N110" i="11"/>
  <c r="M110" i="11"/>
  <c r="L110" i="11"/>
  <c r="K110" i="11"/>
  <c r="J110" i="11"/>
  <c r="I110" i="11"/>
  <c r="H110" i="11"/>
  <c r="Q109" i="11"/>
  <c r="P109" i="11"/>
  <c r="O109" i="11"/>
  <c r="N109" i="11"/>
  <c r="M109" i="11"/>
  <c r="L109" i="11"/>
  <c r="K109" i="11"/>
  <c r="J109" i="11"/>
  <c r="I109" i="11"/>
  <c r="H109" i="11"/>
  <c r="Q108" i="11"/>
  <c r="P108" i="11"/>
  <c r="O108" i="11"/>
  <c r="N108" i="11"/>
  <c r="M108" i="11"/>
  <c r="L108" i="11"/>
  <c r="K108" i="11"/>
  <c r="J108" i="11"/>
  <c r="I108" i="11"/>
  <c r="H108" i="11"/>
  <c r="Q107" i="11"/>
  <c r="P107" i="11"/>
  <c r="O107" i="11"/>
  <c r="N107" i="11"/>
  <c r="M107" i="11"/>
  <c r="L107" i="11"/>
  <c r="K107" i="11"/>
  <c r="J107" i="11"/>
  <c r="I107" i="11"/>
  <c r="H107" i="11"/>
  <c r="Q106" i="11"/>
  <c r="P106" i="11"/>
  <c r="O106" i="11"/>
  <c r="N106" i="11"/>
  <c r="M106" i="11"/>
  <c r="L106" i="11"/>
  <c r="K106" i="11"/>
  <c r="J106" i="11"/>
  <c r="I106" i="11"/>
  <c r="H106" i="11"/>
  <c r="Q105" i="11"/>
  <c r="P105" i="11"/>
  <c r="O105" i="11"/>
  <c r="N105" i="11"/>
  <c r="M105" i="11"/>
  <c r="L105" i="11"/>
  <c r="K105" i="11"/>
  <c r="J105" i="11"/>
  <c r="I105" i="11"/>
  <c r="H105" i="11"/>
  <c r="Q104" i="11"/>
  <c r="P104" i="11"/>
  <c r="O104" i="11"/>
  <c r="N104" i="11"/>
  <c r="M104" i="11"/>
  <c r="L104" i="11"/>
  <c r="K104" i="11"/>
  <c r="J104" i="11"/>
  <c r="I104" i="11"/>
  <c r="H104" i="11"/>
  <c r="Q103" i="11"/>
  <c r="P103" i="11"/>
  <c r="O103" i="11"/>
  <c r="N103" i="11"/>
  <c r="M103" i="11"/>
  <c r="L103" i="11"/>
  <c r="K103" i="11"/>
  <c r="J103" i="11"/>
  <c r="I103" i="11"/>
  <c r="H103" i="11"/>
  <c r="Q102" i="11"/>
  <c r="P102" i="11"/>
  <c r="O102" i="11"/>
  <c r="N102" i="11"/>
  <c r="M102" i="11"/>
  <c r="L102" i="11"/>
  <c r="K102" i="11"/>
  <c r="J102" i="11"/>
  <c r="I102" i="11"/>
  <c r="H102" i="11"/>
  <c r="Q101" i="11"/>
  <c r="P101" i="11"/>
  <c r="O101" i="11"/>
  <c r="N101" i="11"/>
  <c r="M101" i="11"/>
  <c r="L101" i="11"/>
  <c r="K101" i="11"/>
  <c r="J101" i="11"/>
  <c r="I101" i="11"/>
  <c r="H101" i="11"/>
  <c r="Q100" i="11"/>
  <c r="P100" i="11"/>
  <c r="O100" i="11"/>
  <c r="N100" i="11"/>
  <c r="M100" i="11"/>
  <c r="L100" i="11"/>
  <c r="K100" i="11"/>
  <c r="J100" i="11"/>
  <c r="I100" i="11"/>
  <c r="H100" i="11"/>
  <c r="Q99" i="11"/>
  <c r="P99" i="11"/>
  <c r="O99" i="11"/>
  <c r="N99" i="11"/>
  <c r="M99" i="11"/>
  <c r="L99" i="11"/>
  <c r="K99" i="11"/>
  <c r="J99" i="11"/>
  <c r="I99" i="11"/>
  <c r="H99" i="11"/>
  <c r="Q98" i="11"/>
  <c r="P98" i="11"/>
  <c r="O98" i="11"/>
  <c r="N98" i="11"/>
  <c r="M98" i="11"/>
  <c r="L98" i="11"/>
  <c r="K98" i="11"/>
  <c r="J98" i="11"/>
  <c r="I98" i="11"/>
  <c r="H98" i="11"/>
  <c r="Q97" i="11"/>
  <c r="P97" i="11"/>
  <c r="O97" i="11"/>
  <c r="N97" i="11"/>
  <c r="M97" i="11"/>
  <c r="L97" i="11"/>
  <c r="K97" i="11"/>
  <c r="J97" i="11"/>
  <c r="I97" i="11"/>
  <c r="H97" i="11"/>
  <c r="Q96" i="11"/>
  <c r="P96" i="11"/>
  <c r="O96" i="11"/>
  <c r="N96" i="11"/>
  <c r="M96" i="11"/>
  <c r="L96" i="11"/>
  <c r="K96" i="11"/>
  <c r="J96" i="11"/>
  <c r="I96" i="11"/>
  <c r="H96" i="11"/>
  <c r="Q95" i="11"/>
  <c r="P95" i="11"/>
  <c r="O95" i="11"/>
  <c r="N95" i="11"/>
  <c r="M95" i="11"/>
  <c r="L95" i="11"/>
  <c r="K95" i="11"/>
  <c r="J95" i="11"/>
  <c r="I95" i="11"/>
  <c r="H95" i="11"/>
  <c r="Q94" i="11"/>
  <c r="P94" i="11"/>
  <c r="O94" i="11"/>
  <c r="N94" i="11"/>
  <c r="M94" i="11"/>
  <c r="L94" i="11"/>
  <c r="K94" i="11"/>
  <c r="J94" i="11"/>
  <c r="I94" i="11"/>
  <c r="H94" i="11"/>
  <c r="Q93" i="11"/>
  <c r="P93" i="11"/>
  <c r="O93" i="11"/>
  <c r="N93" i="11"/>
  <c r="M93" i="11"/>
  <c r="L93" i="11"/>
  <c r="K93" i="11"/>
  <c r="J93" i="11"/>
  <c r="I93" i="11"/>
  <c r="H93" i="11"/>
  <c r="Q92" i="11"/>
  <c r="P92" i="11"/>
  <c r="O92" i="11"/>
  <c r="N92" i="11"/>
  <c r="M92" i="11"/>
  <c r="L92" i="11"/>
  <c r="K92" i="11"/>
  <c r="J92" i="11"/>
  <c r="I92" i="11"/>
  <c r="H92" i="11"/>
  <c r="Q91" i="11"/>
  <c r="P91" i="11"/>
  <c r="O91" i="11"/>
  <c r="N91" i="11"/>
  <c r="M91" i="11"/>
  <c r="L91" i="11"/>
  <c r="K91" i="11"/>
  <c r="J91" i="11"/>
  <c r="I91" i="11"/>
  <c r="H91" i="11"/>
  <c r="Q90" i="11"/>
  <c r="P90" i="11"/>
  <c r="O90" i="11"/>
  <c r="N90" i="11"/>
  <c r="M90" i="11"/>
  <c r="L90" i="11"/>
  <c r="K90" i="11"/>
  <c r="J90" i="11"/>
  <c r="I90" i="11"/>
  <c r="H90" i="11"/>
  <c r="Q89" i="11"/>
  <c r="P89" i="11"/>
  <c r="O89" i="11"/>
  <c r="N89" i="11"/>
  <c r="M89" i="11"/>
  <c r="L89" i="11"/>
  <c r="K89" i="11"/>
  <c r="J89" i="11"/>
  <c r="I89" i="11"/>
  <c r="H89" i="11"/>
  <c r="Q88" i="11"/>
  <c r="P88" i="11"/>
  <c r="O88" i="11"/>
  <c r="N88" i="11"/>
  <c r="M88" i="11"/>
  <c r="L88" i="11"/>
  <c r="K88" i="11"/>
  <c r="J88" i="11"/>
  <c r="I88" i="11"/>
  <c r="H88" i="11"/>
  <c r="Q87" i="11"/>
  <c r="P87" i="11"/>
  <c r="O87" i="11"/>
  <c r="N87" i="11"/>
  <c r="M87" i="11"/>
  <c r="L87" i="11"/>
  <c r="K87" i="11"/>
  <c r="J87" i="11"/>
  <c r="I87" i="11"/>
  <c r="H87" i="11"/>
  <c r="Q86" i="11"/>
  <c r="P86" i="11"/>
  <c r="O86" i="11"/>
  <c r="N86" i="11"/>
  <c r="M86" i="11"/>
  <c r="L86" i="11"/>
  <c r="K86" i="11"/>
  <c r="J86" i="11"/>
  <c r="I86" i="11"/>
  <c r="H86" i="11"/>
  <c r="Q85" i="11"/>
  <c r="P85" i="11"/>
  <c r="O85" i="11"/>
  <c r="N85" i="11"/>
  <c r="M85" i="11"/>
  <c r="L85" i="11"/>
  <c r="K85" i="11"/>
  <c r="J85" i="11"/>
  <c r="I85" i="11"/>
  <c r="H85" i="11"/>
  <c r="Q84" i="11"/>
  <c r="P84" i="11"/>
  <c r="O84" i="11"/>
  <c r="N84" i="11"/>
  <c r="M84" i="11"/>
  <c r="L84" i="11"/>
  <c r="K84" i="11"/>
  <c r="J84" i="11"/>
  <c r="I84" i="11"/>
  <c r="H84" i="11"/>
  <c r="Q83" i="11"/>
  <c r="P83" i="11"/>
  <c r="O83" i="11"/>
  <c r="N83" i="11"/>
  <c r="M83" i="11"/>
  <c r="L83" i="11"/>
  <c r="K83" i="11"/>
  <c r="J83" i="11"/>
  <c r="I83" i="11"/>
  <c r="H83" i="11"/>
  <c r="Q82" i="11"/>
  <c r="P82" i="11"/>
  <c r="O82" i="11"/>
  <c r="N82" i="11"/>
  <c r="M82" i="11"/>
  <c r="L82" i="11"/>
  <c r="K82" i="11"/>
  <c r="J82" i="11"/>
  <c r="I82" i="11"/>
  <c r="H82" i="11"/>
  <c r="Q81" i="11"/>
  <c r="P81" i="11"/>
  <c r="O81" i="11"/>
  <c r="N81" i="11"/>
  <c r="M81" i="11"/>
  <c r="L81" i="11"/>
  <c r="K81" i="11"/>
  <c r="J81" i="11"/>
  <c r="I81" i="11"/>
  <c r="H81" i="11"/>
  <c r="Q80" i="11"/>
  <c r="P80" i="11"/>
  <c r="O80" i="11"/>
  <c r="N80" i="11"/>
  <c r="M80" i="11"/>
  <c r="L80" i="11"/>
  <c r="K80" i="11"/>
  <c r="J80" i="11"/>
  <c r="I80" i="11"/>
  <c r="H80" i="11"/>
  <c r="Q79" i="11"/>
  <c r="P79" i="11"/>
  <c r="O79" i="11"/>
  <c r="N79" i="11"/>
  <c r="M79" i="11"/>
  <c r="L79" i="11"/>
  <c r="K79" i="11"/>
  <c r="J79" i="11"/>
  <c r="I79" i="11"/>
  <c r="H79" i="11"/>
  <c r="Q78" i="11"/>
  <c r="P78" i="11"/>
  <c r="O78" i="11"/>
  <c r="N78" i="11"/>
  <c r="M78" i="11"/>
  <c r="L78" i="11"/>
  <c r="K78" i="11"/>
  <c r="J78" i="11"/>
  <c r="I78" i="11"/>
  <c r="H78" i="11"/>
  <c r="Q77" i="11"/>
  <c r="P77" i="11"/>
  <c r="O77" i="11"/>
  <c r="N77" i="11"/>
  <c r="M77" i="11"/>
  <c r="L77" i="11"/>
  <c r="K77" i="11"/>
  <c r="J77" i="11"/>
  <c r="I77" i="11"/>
  <c r="H77" i="11"/>
  <c r="Q76" i="11"/>
  <c r="P76" i="11"/>
  <c r="O76" i="11"/>
  <c r="N76" i="11"/>
  <c r="M76" i="11"/>
  <c r="L76" i="11"/>
  <c r="K76" i="11"/>
  <c r="J76" i="11"/>
  <c r="I76" i="11"/>
  <c r="H76" i="11"/>
  <c r="Q75" i="11"/>
  <c r="P75" i="11"/>
  <c r="O75" i="11"/>
  <c r="N75" i="11"/>
  <c r="M75" i="11"/>
  <c r="L75" i="11"/>
  <c r="K75" i="11"/>
  <c r="J75" i="11"/>
  <c r="I75" i="11"/>
  <c r="H75" i="11"/>
  <c r="Q74" i="11"/>
  <c r="P74" i="11"/>
  <c r="O74" i="11"/>
  <c r="N74" i="11"/>
  <c r="M74" i="11"/>
  <c r="L74" i="11"/>
  <c r="K74" i="11"/>
  <c r="J74" i="11"/>
  <c r="I74" i="11"/>
  <c r="H74" i="11"/>
  <c r="Q73" i="11"/>
  <c r="P73" i="11"/>
  <c r="O73" i="11"/>
  <c r="N73" i="11"/>
  <c r="M73" i="11"/>
  <c r="L73" i="11"/>
  <c r="K73" i="11"/>
  <c r="J73" i="11"/>
  <c r="I73" i="11"/>
  <c r="H73" i="11"/>
  <c r="Q72" i="11"/>
  <c r="P72" i="11"/>
  <c r="O72" i="11"/>
  <c r="N72" i="11"/>
  <c r="M72" i="11"/>
  <c r="L72" i="11"/>
  <c r="K72" i="11"/>
  <c r="J72" i="11"/>
  <c r="I72" i="11"/>
  <c r="H72" i="11"/>
  <c r="Q71" i="11"/>
  <c r="P71" i="11"/>
  <c r="O71" i="11"/>
  <c r="N71" i="11"/>
  <c r="M71" i="11"/>
  <c r="L71" i="11"/>
  <c r="K71" i="11"/>
  <c r="J71" i="11"/>
  <c r="I71" i="11"/>
  <c r="H71" i="11"/>
  <c r="Q70" i="11"/>
  <c r="P70" i="11"/>
  <c r="O70" i="11"/>
  <c r="N70" i="11"/>
  <c r="M70" i="11"/>
  <c r="L70" i="11"/>
  <c r="K70" i="11"/>
  <c r="J70" i="11"/>
  <c r="I70" i="11"/>
  <c r="H70" i="11"/>
  <c r="Q69" i="11"/>
  <c r="P69" i="11"/>
  <c r="O69" i="11"/>
  <c r="N69" i="11"/>
  <c r="M69" i="11"/>
  <c r="L69" i="11"/>
  <c r="K69" i="11"/>
  <c r="J69" i="11"/>
  <c r="I69" i="11"/>
  <c r="H69" i="11"/>
  <c r="Q68" i="11"/>
  <c r="P68" i="11"/>
  <c r="O68" i="11"/>
  <c r="N68" i="11"/>
  <c r="M68" i="11"/>
  <c r="L68" i="11"/>
  <c r="K68" i="11"/>
  <c r="J68" i="11"/>
  <c r="I68" i="11"/>
  <c r="H68" i="11"/>
  <c r="Q67" i="11"/>
  <c r="P67" i="11"/>
  <c r="O67" i="11"/>
  <c r="N67" i="11"/>
  <c r="M67" i="11"/>
  <c r="L67" i="11"/>
  <c r="K67" i="11"/>
  <c r="J67" i="11"/>
  <c r="I67" i="11"/>
  <c r="H67" i="11"/>
  <c r="Q66" i="11"/>
  <c r="P66" i="11"/>
  <c r="O66" i="11"/>
  <c r="N66" i="11"/>
  <c r="M66" i="11"/>
  <c r="L66" i="11"/>
  <c r="K66" i="11"/>
  <c r="J66" i="11"/>
  <c r="I66" i="11"/>
  <c r="H66" i="11"/>
  <c r="Q65" i="11"/>
  <c r="P65" i="11"/>
  <c r="O65" i="11"/>
  <c r="N65" i="11"/>
  <c r="M65" i="11"/>
  <c r="L65" i="11"/>
  <c r="K65" i="11"/>
  <c r="J65" i="11"/>
  <c r="I65" i="11"/>
  <c r="H65" i="11"/>
  <c r="Q64" i="11"/>
  <c r="P64" i="11"/>
  <c r="O64" i="11"/>
  <c r="N64" i="11"/>
  <c r="M64" i="11"/>
  <c r="L64" i="11"/>
  <c r="K64" i="11"/>
  <c r="J64" i="11"/>
  <c r="I64" i="11"/>
  <c r="H64" i="11"/>
  <c r="Q63" i="11"/>
  <c r="P63" i="11"/>
  <c r="O63" i="11"/>
  <c r="N63" i="11"/>
  <c r="M63" i="11"/>
  <c r="L63" i="11"/>
  <c r="K63" i="11"/>
  <c r="J63" i="11"/>
  <c r="I63" i="11"/>
  <c r="H63" i="11"/>
  <c r="Q62" i="11"/>
  <c r="P62" i="11"/>
  <c r="O62" i="11"/>
  <c r="N62" i="11"/>
  <c r="M62" i="11"/>
  <c r="L62" i="11"/>
  <c r="K62" i="11"/>
  <c r="J62" i="11"/>
  <c r="I62" i="11"/>
  <c r="H62" i="11"/>
  <c r="Q61" i="11"/>
  <c r="P61" i="11"/>
  <c r="O61" i="11"/>
  <c r="N61" i="11"/>
  <c r="M61" i="11"/>
  <c r="L61" i="11"/>
  <c r="K61" i="11"/>
  <c r="J61" i="11"/>
  <c r="I61" i="11"/>
  <c r="H61" i="11"/>
  <c r="Q60" i="11"/>
  <c r="P60" i="11"/>
  <c r="O60" i="11"/>
  <c r="N60" i="11"/>
  <c r="M60" i="11"/>
  <c r="L60" i="11"/>
  <c r="K60" i="11"/>
  <c r="J60" i="11"/>
  <c r="I60" i="11"/>
  <c r="H60" i="11"/>
  <c r="Q59" i="11"/>
  <c r="P59" i="11"/>
  <c r="O59" i="11"/>
  <c r="N59" i="11"/>
  <c r="M59" i="11"/>
  <c r="L59" i="11"/>
  <c r="K59" i="11"/>
  <c r="J59" i="11"/>
  <c r="I59" i="11"/>
  <c r="H59" i="11"/>
  <c r="Q58" i="11"/>
  <c r="P58" i="11"/>
  <c r="O58" i="11"/>
  <c r="N58" i="11"/>
  <c r="M58" i="11"/>
  <c r="L58" i="11"/>
  <c r="K58" i="11"/>
  <c r="J58" i="11"/>
  <c r="I58" i="11"/>
  <c r="H58" i="11"/>
  <c r="Q57" i="11"/>
  <c r="P57" i="11"/>
  <c r="O57" i="11"/>
  <c r="N57" i="11"/>
  <c r="M57" i="11"/>
  <c r="L57" i="11"/>
  <c r="K57" i="11"/>
  <c r="J57" i="11"/>
  <c r="I57" i="11"/>
  <c r="H57" i="11"/>
  <c r="Q56" i="11"/>
  <c r="P56" i="11"/>
  <c r="O56" i="11"/>
  <c r="N56" i="11"/>
  <c r="M56" i="11"/>
  <c r="L56" i="11"/>
  <c r="K56" i="11"/>
  <c r="J56" i="11"/>
  <c r="I56" i="11"/>
  <c r="H56" i="11"/>
  <c r="Q55" i="11"/>
  <c r="P55" i="11"/>
  <c r="O55" i="11"/>
  <c r="N55" i="11"/>
  <c r="M55" i="11"/>
  <c r="L55" i="11"/>
  <c r="K55" i="11"/>
  <c r="J55" i="11"/>
  <c r="I55" i="11"/>
  <c r="H55" i="11"/>
  <c r="Q54" i="11"/>
  <c r="P54" i="11"/>
  <c r="O54" i="11"/>
  <c r="N54" i="11"/>
  <c r="M54" i="11"/>
  <c r="L54" i="11"/>
  <c r="K54" i="11"/>
  <c r="J54" i="11"/>
  <c r="I54" i="11"/>
  <c r="H54" i="11"/>
  <c r="Q53" i="11"/>
  <c r="P53" i="11"/>
  <c r="O53" i="11"/>
  <c r="N53" i="11"/>
  <c r="M53" i="11"/>
  <c r="L53" i="11"/>
  <c r="K53" i="11"/>
  <c r="J53" i="11"/>
  <c r="I53" i="11"/>
  <c r="H53" i="11"/>
  <c r="Q52" i="11"/>
  <c r="P52" i="11"/>
  <c r="O52" i="11"/>
  <c r="N52" i="11"/>
  <c r="M52" i="11"/>
  <c r="L52" i="11"/>
  <c r="K52" i="11"/>
  <c r="J52" i="11"/>
  <c r="I52" i="11"/>
  <c r="H52" i="11"/>
  <c r="Q51" i="11"/>
  <c r="P51" i="11"/>
  <c r="O51" i="11"/>
  <c r="N51" i="11"/>
  <c r="M51" i="11"/>
  <c r="L51" i="11"/>
  <c r="K51" i="11"/>
  <c r="J51" i="11"/>
  <c r="I51" i="11"/>
  <c r="H51" i="11"/>
  <c r="Q50" i="11"/>
  <c r="P50" i="11"/>
  <c r="O50" i="11"/>
  <c r="N50" i="11"/>
  <c r="M50" i="11"/>
  <c r="L50" i="11"/>
  <c r="K50" i="11"/>
  <c r="J50" i="11"/>
  <c r="I50" i="11"/>
  <c r="H50" i="11"/>
  <c r="Q49" i="11"/>
  <c r="P49" i="11"/>
  <c r="O49" i="11"/>
  <c r="N49" i="11"/>
  <c r="M49" i="11"/>
  <c r="L49" i="11"/>
  <c r="K49" i="11"/>
  <c r="J49" i="11"/>
  <c r="I49" i="11"/>
  <c r="H49" i="11"/>
  <c r="Q48" i="11"/>
  <c r="P48" i="11"/>
  <c r="O48" i="11"/>
  <c r="N48" i="11"/>
  <c r="M48" i="11"/>
  <c r="L48" i="11"/>
  <c r="K48" i="11"/>
  <c r="J48" i="11"/>
  <c r="I48" i="11"/>
  <c r="H48" i="11"/>
  <c r="Q47" i="11"/>
  <c r="P47" i="11"/>
  <c r="O47" i="11"/>
  <c r="N47" i="11"/>
  <c r="M47" i="11"/>
  <c r="L47" i="11"/>
  <c r="K47" i="11"/>
  <c r="J47" i="11"/>
  <c r="I47" i="11"/>
  <c r="H47" i="11"/>
  <c r="Q46" i="11"/>
  <c r="P46" i="11"/>
  <c r="O46" i="11"/>
  <c r="N46" i="11"/>
  <c r="M46" i="11"/>
  <c r="L46" i="11"/>
  <c r="K46" i="11"/>
  <c r="J46" i="11"/>
  <c r="I46" i="11"/>
  <c r="H46" i="11"/>
  <c r="Q45" i="11"/>
  <c r="P45" i="11"/>
  <c r="O45" i="11"/>
  <c r="N45" i="11"/>
  <c r="M45" i="11"/>
  <c r="L45" i="11"/>
  <c r="K45" i="11"/>
  <c r="J45" i="11"/>
  <c r="I45" i="11"/>
  <c r="H45" i="11"/>
  <c r="Q44" i="11"/>
  <c r="P44" i="11"/>
  <c r="O44" i="11"/>
  <c r="N44" i="11"/>
  <c r="M44" i="11"/>
  <c r="L44" i="11"/>
  <c r="K44" i="11"/>
  <c r="J44" i="11"/>
  <c r="I44" i="11"/>
  <c r="H44" i="11"/>
  <c r="Q43" i="11"/>
  <c r="P43" i="11"/>
  <c r="O43" i="11"/>
  <c r="N43" i="11"/>
  <c r="M43" i="11"/>
  <c r="L43" i="11"/>
  <c r="K43" i="11"/>
  <c r="J43" i="11"/>
  <c r="I43" i="11"/>
  <c r="H43" i="11"/>
  <c r="Q42" i="11"/>
  <c r="P42" i="11"/>
  <c r="O42" i="11"/>
  <c r="N42" i="11"/>
  <c r="M42" i="11"/>
  <c r="L42" i="11"/>
  <c r="K42" i="11"/>
  <c r="J42" i="11"/>
  <c r="I42" i="11"/>
  <c r="H42" i="11"/>
  <c r="Q41" i="11"/>
  <c r="P41" i="11"/>
  <c r="O41" i="11"/>
  <c r="N41" i="11"/>
  <c r="M41" i="11"/>
  <c r="L41" i="11"/>
  <c r="K41" i="11"/>
  <c r="J41" i="11"/>
  <c r="I41" i="11"/>
  <c r="H41" i="11"/>
  <c r="Q40" i="11"/>
  <c r="P40" i="11"/>
  <c r="O40" i="11"/>
  <c r="N40" i="11"/>
  <c r="M40" i="11"/>
  <c r="L40" i="11"/>
  <c r="K40" i="11"/>
  <c r="J40" i="11"/>
  <c r="I40" i="11"/>
  <c r="H40" i="11"/>
  <c r="Q39" i="11"/>
  <c r="P39" i="11"/>
  <c r="O39" i="11"/>
  <c r="N39" i="11"/>
  <c r="M39" i="11"/>
  <c r="L39" i="11"/>
  <c r="K39" i="11"/>
  <c r="J39" i="11"/>
  <c r="I39" i="11"/>
  <c r="H39" i="11"/>
  <c r="Q38" i="11"/>
  <c r="P38" i="11"/>
  <c r="O38" i="11"/>
  <c r="N38" i="11"/>
  <c r="M38" i="11"/>
  <c r="L38" i="11"/>
  <c r="K38" i="11"/>
  <c r="J38" i="11"/>
  <c r="I38" i="11"/>
  <c r="H38" i="11"/>
  <c r="Q37" i="11"/>
  <c r="P37" i="11"/>
  <c r="O37" i="11"/>
  <c r="N37" i="11"/>
  <c r="M37" i="11"/>
  <c r="L37" i="11"/>
  <c r="K37" i="11"/>
  <c r="J37" i="11"/>
  <c r="I37" i="11"/>
  <c r="H37" i="11"/>
  <c r="Q36" i="11"/>
  <c r="P36" i="11"/>
  <c r="O36" i="11"/>
  <c r="N36" i="11"/>
  <c r="M36" i="11"/>
  <c r="L36" i="11"/>
  <c r="K36" i="11"/>
  <c r="J36" i="11"/>
  <c r="I36" i="11"/>
  <c r="H36" i="11"/>
  <c r="Q35" i="11"/>
  <c r="P35" i="11"/>
  <c r="O35" i="11"/>
  <c r="N35" i="11"/>
  <c r="M35" i="11"/>
  <c r="L35" i="11"/>
  <c r="K35" i="11"/>
  <c r="J35" i="11"/>
  <c r="I35" i="11"/>
  <c r="H35" i="11"/>
  <c r="Q34" i="11"/>
  <c r="P34" i="11"/>
  <c r="O34" i="11"/>
  <c r="N34" i="11"/>
  <c r="M34" i="11"/>
  <c r="L34" i="11"/>
  <c r="K34" i="11"/>
  <c r="J34" i="11"/>
  <c r="I34" i="11"/>
  <c r="H34" i="11"/>
  <c r="Q33" i="11"/>
  <c r="P33" i="11"/>
  <c r="O33" i="11"/>
  <c r="N33" i="11"/>
  <c r="M33" i="11"/>
  <c r="L33" i="11"/>
  <c r="K33" i="11"/>
  <c r="J33" i="11"/>
  <c r="I33" i="11"/>
  <c r="H33" i="11"/>
  <c r="Q32" i="11"/>
  <c r="P32" i="11"/>
  <c r="O32" i="11"/>
  <c r="N32" i="11"/>
  <c r="M32" i="11"/>
  <c r="L32" i="11"/>
  <c r="K32" i="11"/>
  <c r="J32" i="11"/>
  <c r="I32" i="11"/>
  <c r="H32" i="11"/>
  <c r="Q31" i="11"/>
  <c r="P31" i="11"/>
  <c r="O31" i="11"/>
  <c r="N31" i="11"/>
  <c r="M31" i="11"/>
  <c r="L31" i="11"/>
  <c r="K31" i="11"/>
  <c r="J31" i="11"/>
  <c r="I31" i="11"/>
  <c r="H31" i="11"/>
  <c r="Q30" i="11"/>
  <c r="P30" i="11"/>
  <c r="O30" i="11"/>
  <c r="N30" i="11"/>
  <c r="M30" i="11"/>
  <c r="L30" i="11"/>
  <c r="K30" i="11"/>
  <c r="J30" i="11"/>
  <c r="I30" i="11"/>
  <c r="H30" i="11"/>
  <c r="Q29" i="11"/>
  <c r="P29" i="11"/>
  <c r="O29" i="11"/>
  <c r="N29" i="11"/>
  <c r="M29" i="11"/>
  <c r="L29" i="11"/>
  <c r="K29" i="11"/>
  <c r="J29" i="11"/>
  <c r="I29" i="11"/>
  <c r="H29" i="11"/>
  <c r="Q28" i="11"/>
  <c r="P28" i="11"/>
  <c r="O28" i="11"/>
  <c r="N28" i="11"/>
  <c r="M28" i="11"/>
  <c r="L28" i="11"/>
  <c r="K28" i="11"/>
  <c r="J28" i="11"/>
  <c r="I28" i="11"/>
  <c r="H28" i="11"/>
  <c r="Q27" i="11"/>
  <c r="P27" i="11"/>
  <c r="O27" i="11"/>
  <c r="N27" i="11"/>
  <c r="M27" i="11"/>
  <c r="L27" i="11"/>
  <c r="K27" i="11"/>
  <c r="J27" i="11"/>
  <c r="I27" i="11"/>
  <c r="H27" i="11"/>
  <c r="Q26" i="11"/>
  <c r="P26" i="11"/>
  <c r="O26" i="11"/>
  <c r="N26" i="11"/>
  <c r="M26" i="11"/>
  <c r="L26" i="11"/>
  <c r="K26" i="11"/>
  <c r="J26" i="11"/>
  <c r="I26" i="11"/>
  <c r="H26" i="11"/>
  <c r="Q25" i="11"/>
  <c r="P25" i="11"/>
  <c r="O25" i="11"/>
  <c r="N25" i="11"/>
  <c r="M25" i="11"/>
  <c r="L25" i="11"/>
  <c r="K25" i="11"/>
  <c r="J25" i="11"/>
  <c r="I25" i="11"/>
  <c r="H25" i="11"/>
  <c r="Q24" i="11"/>
  <c r="P24" i="11"/>
  <c r="O24" i="11"/>
  <c r="N24" i="11"/>
  <c r="M24" i="11"/>
  <c r="L24" i="11"/>
  <c r="K24" i="11"/>
  <c r="J24" i="11"/>
  <c r="I24" i="11"/>
  <c r="H24" i="11"/>
  <c r="Q23" i="11"/>
  <c r="P23" i="11"/>
  <c r="O23" i="11"/>
  <c r="N23" i="11"/>
  <c r="M23" i="11"/>
  <c r="L23" i="11"/>
  <c r="K23" i="11"/>
  <c r="J23" i="11"/>
  <c r="I23" i="11"/>
  <c r="H23" i="11"/>
  <c r="Q22" i="11"/>
  <c r="P22" i="11"/>
  <c r="O22" i="11"/>
  <c r="N22" i="11"/>
  <c r="M22" i="11"/>
  <c r="L22" i="11"/>
  <c r="K22" i="11"/>
  <c r="J22" i="11"/>
  <c r="I22" i="11"/>
  <c r="H22" i="11"/>
  <c r="Q21" i="11"/>
  <c r="P21" i="11"/>
  <c r="O21" i="11"/>
  <c r="N21" i="11"/>
  <c r="M21" i="11"/>
  <c r="L21" i="11"/>
  <c r="K21" i="11"/>
  <c r="J21" i="11"/>
  <c r="I21" i="11"/>
  <c r="H21" i="11"/>
  <c r="Q20" i="11"/>
  <c r="P20" i="11"/>
  <c r="O20" i="11"/>
  <c r="N20" i="11"/>
  <c r="M20" i="11"/>
  <c r="L20" i="11"/>
  <c r="K20" i="11"/>
  <c r="J20" i="11"/>
  <c r="I20" i="11"/>
  <c r="H20" i="11"/>
  <c r="Q19" i="11"/>
  <c r="P19" i="11"/>
  <c r="O19" i="11"/>
  <c r="N19" i="11"/>
  <c r="M19" i="11"/>
  <c r="L19" i="11"/>
  <c r="K19" i="11"/>
  <c r="J19" i="11"/>
  <c r="I19" i="11"/>
  <c r="H19" i="11"/>
  <c r="Q18" i="11"/>
  <c r="P18" i="11"/>
  <c r="O18" i="11"/>
  <c r="N18" i="11"/>
  <c r="M18" i="11"/>
  <c r="L18" i="11"/>
  <c r="K18" i="11"/>
  <c r="J18" i="11"/>
  <c r="I18" i="11"/>
  <c r="H18" i="11"/>
  <c r="Q17" i="11"/>
  <c r="P17" i="11"/>
  <c r="O17" i="11"/>
  <c r="N17" i="11"/>
  <c r="M17" i="11"/>
  <c r="L17" i="11"/>
  <c r="K17" i="11"/>
  <c r="J17" i="11"/>
  <c r="I17" i="11"/>
  <c r="H17" i="11"/>
  <c r="Q16" i="11"/>
  <c r="P16" i="11"/>
  <c r="O16" i="11"/>
  <c r="N16" i="11"/>
  <c r="M16" i="11"/>
  <c r="L16" i="11"/>
  <c r="K16" i="11"/>
  <c r="J16" i="11"/>
  <c r="I16" i="11"/>
  <c r="H16" i="11"/>
  <c r="Q15" i="11"/>
  <c r="P15" i="11"/>
  <c r="O15" i="11"/>
  <c r="N15" i="11"/>
  <c r="M15" i="11"/>
  <c r="L15" i="11"/>
  <c r="K15" i="11"/>
  <c r="J15" i="11"/>
  <c r="I15" i="11"/>
  <c r="H15" i="11"/>
  <c r="Q14" i="11"/>
  <c r="P14" i="11"/>
  <c r="O14" i="11"/>
  <c r="N14" i="11"/>
  <c r="M14" i="11"/>
  <c r="L14" i="11"/>
  <c r="K14" i="11"/>
  <c r="J14" i="11"/>
  <c r="I14" i="11"/>
  <c r="H14" i="11"/>
  <c r="Q13" i="11"/>
  <c r="P13" i="11"/>
  <c r="O13" i="11"/>
  <c r="N13" i="11"/>
  <c r="M13" i="11"/>
  <c r="L13" i="11"/>
  <c r="K13" i="11"/>
  <c r="J13" i="11"/>
  <c r="I13" i="11"/>
  <c r="H13" i="11"/>
  <c r="Q12" i="11"/>
  <c r="P12" i="11"/>
  <c r="O12" i="11"/>
  <c r="N12" i="11"/>
  <c r="M12" i="11"/>
  <c r="L12" i="11"/>
  <c r="K12" i="11"/>
  <c r="J12" i="11"/>
  <c r="I12" i="11"/>
  <c r="H12" i="11"/>
  <c r="Q11" i="11"/>
  <c r="P11" i="11"/>
  <c r="O11" i="11"/>
  <c r="N11" i="11"/>
  <c r="M11" i="11"/>
  <c r="L11" i="11"/>
  <c r="K11" i="11"/>
  <c r="J11" i="11"/>
  <c r="I11" i="11"/>
  <c r="H11" i="11"/>
  <c r="Q10" i="11"/>
  <c r="P10" i="11"/>
  <c r="O10" i="11"/>
  <c r="N10" i="11"/>
  <c r="M10" i="11"/>
  <c r="L10" i="11"/>
  <c r="K10" i="11"/>
  <c r="J10" i="11"/>
  <c r="I10" i="11"/>
  <c r="H10" i="11"/>
  <c r="Q9" i="11"/>
  <c r="P9" i="11"/>
  <c r="O9" i="11"/>
  <c r="N9" i="11"/>
  <c r="M9" i="11"/>
  <c r="L9" i="11"/>
  <c r="K9" i="11"/>
  <c r="J9" i="11"/>
  <c r="I9" i="11"/>
  <c r="H9" i="11"/>
  <c r="Q8" i="11"/>
  <c r="P8" i="11"/>
  <c r="O8" i="11"/>
  <c r="N8" i="11"/>
  <c r="M8" i="11"/>
  <c r="L8" i="11"/>
  <c r="K8" i="11"/>
  <c r="J8" i="11"/>
  <c r="I8" i="11"/>
  <c r="H8" i="11"/>
  <c r="Q7" i="11"/>
  <c r="P7" i="11"/>
  <c r="O7" i="11"/>
  <c r="N7" i="11"/>
  <c r="M7" i="11"/>
  <c r="L7" i="11"/>
  <c r="K7" i="11"/>
  <c r="J7" i="11"/>
  <c r="I7" i="11"/>
  <c r="H7" i="11"/>
  <c r="Q6" i="11"/>
  <c r="P6" i="11"/>
  <c r="O6" i="11"/>
  <c r="N6" i="11"/>
  <c r="M6" i="11"/>
  <c r="L6" i="11"/>
  <c r="K6" i="11"/>
  <c r="J6" i="11"/>
  <c r="I6" i="11"/>
  <c r="H6" i="11"/>
  <c r="Q5" i="11"/>
  <c r="P5" i="11"/>
  <c r="O5" i="11"/>
  <c r="N5" i="11"/>
  <c r="M5" i="11"/>
  <c r="L5" i="11"/>
  <c r="K5" i="11"/>
  <c r="J5" i="11"/>
  <c r="I5" i="11"/>
  <c r="H5" i="11"/>
  <c r="Q4" i="11"/>
  <c r="P4" i="11"/>
  <c r="O4" i="11"/>
  <c r="N4" i="11"/>
  <c r="M4" i="11"/>
  <c r="L4" i="11"/>
  <c r="K4" i="11"/>
  <c r="J4" i="11"/>
  <c r="I4" i="11"/>
  <c r="H4" i="11"/>
  <c r="Q3" i="11"/>
  <c r="P3" i="11"/>
  <c r="O3" i="11"/>
  <c r="N3" i="11"/>
  <c r="M3" i="11"/>
  <c r="L3" i="11"/>
  <c r="K3" i="11"/>
  <c r="J3" i="11"/>
  <c r="I3" i="11"/>
  <c r="H3" i="11"/>
  <c r="Q2" i="11"/>
  <c r="P2" i="11"/>
  <c r="O2" i="11"/>
  <c r="N2" i="11"/>
  <c r="M2" i="11"/>
  <c r="L2" i="11"/>
  <c r="K2" i="11"/>
  <c r="J2" i="11"/>
  <c r="I2" i="11"/>
  <c r="H2" i="11"/>
  <c r="Q362" i="7"/>
  <c r="P362" i="7"/>
  <c r="O362" i="7"/>
  <c r="N362" i="7"/>
  <c r="M362" i="7"/>
  <c r="L362" i="7"/>
  <c r="K362" i="7"/>
  <c r="J362" i="7"/>
  <c r="I362" i="7"/>
  <c r="H362" i="7"/>
  <c r="Q361" i="7"/>
  <c r="P361" i="7"/>
  <c r="O361" i="7"/>
  <c r="N361" i="7"/>
  <c r="M361" i="7"/>
  <c r="L361" i="7"/>
  <c r="K361" i="7"/>
  <c r="J361" i="7"/>
  <c r="I361" i="7"/>
  <c r="H361" i="7"/>
  <c r="Q360" i="7"/>
  <c r="P360" i="7"/>
  <c r="O360" i="7"/>
  <c r="N360" i="7"/>
  <c r="M360" i="7"/>
  <c r="L360" i="7"/>
  <c r="K360" i="7"/>
  <c r="J360" i="7"/>
  <c r="I360" i="7"/>
  <c r="H360" i="7"/>
  <c r="Q359" i="7"/>
  <c r="P359" i="7"/>
  <c r="O359" i="7"/>
  <c r="N359" i="7"/>
  <c r="M359" i="7"/>
  <c r="L359" i="7"/>
  <c r="K359" i="7"/>
  <c r="J359" i="7"/>
  <c r="I359" i="7"/>
  <c r="H359" i="7"/>
  <c r="Q358" i="7"/>
  <c r="P358" i="7"/>
  <c r="O358" i="7"/>
  <c r="N358" i="7"/>
  <c r="M358" i="7"/>
  <c r="L358" i="7"/>
  <c r="K358" i="7"/>
  <c r="J358" i="7"/>
  <c r="I358" i="7"/>
  <c r="H358" i="7"/>
  <c r="Q357" i="7"/>
  <c r="P357" i="7"/>
  <c r="O357" i="7"/>
  <c r="N357" i="7"/>
  <c r="M357" i="7"/>
  <c r="L357" i="7"/>
  <c r="K357" i="7"/>
  <c r="J357" i="7"/>
  <c r="I357" i="7"/>
  <c r="H357" i="7"/>
  <c r="Q356" i="7"/>
  <c r="P356" i="7"/>
  <c r="O356" i="7"/>
  <c r="N356" i="7"/>
  <c r="M356" i="7"/>
  <c r="L356" i="7"/>
  <c r="K356" i="7"/>
  <c r="J356" i="7"/>
  <c r="I356" i="7"/>
  <c r="H356" i="7"/>
  <c r="Q355" i="7"/>
  <c r="P355" i="7"/>
  <c r="O355" i="7"/>
  <c r="N355" i="7"/>
  <c r="M355" i="7"/>
  <c r="L355" i="7"/>
  <c r="K355" i="7"/>
  <c r="J355" i="7"/>
  <c r="I355" i="7"/>
  <c r="H355" i="7"/>
  <c r="Q354" i="7"/>
  <c r="P354" i="7"/>
  <c r="O354" i="7"/>
  <c r="N354" i="7"/>
  <c r="M354" i="7"/>
  <c r="L354" i="7"/>
  <c r="K354" i="7"/>
  <c r="J354" i="7"/>
  <c r="I354" i="7"/>
  <c r="H354" i="7"/>
  <c r="Q353" i="7"/>
  <c r="P353" i="7"/>
  <c r="O353" i="7"/>
  <c r="N353" i="7"/>
  <c r="M353" i="7"/>
  <c r="L353" i="7"/>
  <c r="K353" i="7"/>
  <c r="J353" i="7"/>
  <c r="I353" i="7"/>
  <c r="H353" i="7"/>
  <c r="Q352" i="7"/>
  <c r="P352" i="7"/>
  <c r="O352" i="7"/>
  <c r="N352" i="7"/>
  <c r="M352" i="7"/>
  <c r="L352" i="7"/>
  <c r="K352" i="7"/>
  <c r="J352" i="7"/>
  <c r="I352" i="7"/>
  <c r="H352" i="7"/>
  <c r="Q351" i="7"/>
  <c r="P351" i="7"/>
  <c r="O351" i="7"/>
  <c r="N351" i="7"/>
  <c r="M351" i="7"/>
  <c r="L351" i="7"/>
  <c r="K351" i="7"/>
  <c r="J351" i="7"/>
  <c r="I351" i="7"/>
  <c r="H351" i="7"/>
  <c r="Q350" i="7"/>
  <c r="P350" i="7"/>
  <c r="O350" i="7"/>
  <c r="N350" i="7"/>
  <c r="M350" i="7"/>
  <c r="L350" i="7"/>
  <c r="K350" i="7"/>
  <c r="J350" i="7"/>
  <c r="I350" i="7"/>
  <c r="H350" i="7"/>
  <c r="Q349" i="7"/>
  <c r="P349" i="7"/>
  <c r="O349" i="7"/>
  <c r="N349" i="7"/>
  <c r="M349" i="7"/>
  <c r="L349" i="7"/>
  <c r="K349" i="7"/>
  <c r="J349" i="7"/>
  <c r="I349" i="7"/>
  <c r="H349" i="7"/>
  <c r="Q348" i="7"/>
  <c r="P348" i="7"/>
  <c r="O348" i="7"/>
  <c r="N348" i="7"/>
  <c r="M348" i="7"/>
  <c r="L348" i="7"/>
  <c r="K348" i="7"/>
  <c r="J348" i="7"/>
  <c r="I348" i="7"/>
  <c r="H348" i="7"/>
  <c r="Q347" i="7"/>
  <c r="P347" i="7"/>
  <c r="O347" i="7"/>
  <c r="N347" i="7"/>
  <c r="M347" i="7"/>
  <c r="L347" i="7"/>
  <c r="K347" i="7"/>
  <c r="J347" i="7"/>
  <c r="I347" i="7"/>
  <c r="H347" i="7"/>
  <c r="Q346" i="7"/>
  <c r="P346" i="7"/>
  <c r="O346" i="7"/>
  <c r="N346" i="7"/>
  <c r="M346" i="7"/>
  <c r="L346" i="7"/>
  <c r="K346" i="7"/>
  <c r="J346" i="7"/>
  <c r="I346" i="7"/>
  <c r="H346" i="7"/>
  <c r="Q345" i="7"/>
  <c r="P345" i="7"/>
  <c r="O345" i="7"/>
  <c r="N345" i="7"/>
  <c r="M345" i="7"/>
  <c r="L345" i="7"/>
  <c r="K345" i="7"/>
  <c r="J345" i="7"/>
  <c r="I345" i="7"/>
  <c r="H345" i="7"/>
  <c r="Q344" i="7"/>
  <c r="P344" i="7"/>
  <c r="O344" i="7"/>
  <c r="N344" i="7"/>
  <c r="M344" i="7"/>
  <c r="L344" i="7"/>
  <c r="K344" i="7"/>
  <c r="J344" i="7"/>
  <c r="I344" i="7"/>
  <c r="H344" i="7"/>
  <c r="Q343" i="7"/>
  <c r="P343" i="7"/>
  <c r="O343" i="7"/>
  <c r="N343" i="7"/>
  <c r="M343" i="7"/>
  <c r="L343" i="7"/>
  <c r="K343" i="7"/>
  <c r="J343" i="7"/>
  <c r="I343" i="7"/>
  <c r="H343" i="7"/>
  <c r="Q342" i="7"/>
  <c r="P342" i="7"/>
  <c r="O342" i="7"/>
  <c r="N342" i="7"/>
  <c r="M342" i="7"/>
  <c r="L342" i="7"/>
  <c r="K342" i="7"/>
  <c r="J342" i="7"/>
  <c r="I342" i="7"/>
  <c r="H342" i="7"/>
  <c r="Q341" i="7"/>
  <c r="P341" i="7"/>
  <c r="O341" i="7"/>
  <c r="N341" i="7"/>
  <c r="M341" i="7"/>
  <c r="L341" i="7"/>
  <c r="K341" i="7"/>
  <c r="J341" i="7"/>
  <c r="I341" i="7"/>
  <c r="H341" i="7"/>
  <c r="Q340" i="7"/>
  <c r="P340" i="7"/>
  <c r="O340" i="7"/>
  <c r="N340" i="7"/>
  <c r="M340" i="7"/>
  <c r="L340" i="7"/>
  <c r="K340" i="7"/>
  <c r="J340" i="7"/>
  <c r="I340" i="7"/>
  <c r="H340" i="7"/>
  <c r="Q339" i="7"/>
  <c r="P339" i="7"/>
  <c r="O339" i="7"/>
  <c r="N339" i="7"/>
  <c r="M339" i="7"/>
  <c r="L339" i="7"/>
  <c r="K339" i="7"/>
  <c r="J339" i="7"/>
  <c r="I339" i="7"/>
  <c r="H339" i="7"/>
  <c r="Q338" i="7"/>
  <c r="P338" i="7"/>
  <c r="O338" i="7"/>
  <c r="N338" i="7"/>
  <c r="M338" i="7"/>
  <c r="L338" i="7"/>
  <c r="K338" i="7"/>
  <c r="J338" i="7"/>
  <c r="I338" i="7"/>
  <c r="H338" i="7"/>
  <c r="Q337" i="7"/>
  <c r="P337" i="7"/>
  <c r="O337" i="7"/>
  <c r="N337" i="7"/>
  <c r="M337" i="7"/>
  <c r="L337" i="7"/>
  <c r="K337" i="7"/>
  <c r="J337" i="7"/>
  <c r="I337" i="7"/>
  <c r="H337" i="7"/>
  <c r="Q336" i="7"/>
  <c r="P336" i="7"/>
  <c r="O336" i="7"/>
  <c r="N336" i="7"/>
  <c r="M336" i="7"/>
  <c r="L336" i="7"/>
  <c r="K336" i="7"/>
  <c r="J336" i="7"/>
  <c r="I336" i="7"/>
  <c r="H336" i="7"/>
  <c r="Q335" i="7"/>
  <c r="P335" i="7"/>
  <c r="O335" i="7"/>
  <c r="N335" i="7"/>
  <c r="M335" i="7"/>
  <c r="L335" i="7"/>
  <c r="K335" i="7"/>
  <c r="J335" i="7"/>
  <c r="I335" i="7"/>
  <c r="H335" i="7"/>
  <c r="Q334" i="7"/>
  <c r="P334" i="7"/>
  <c r="O334" i="7"/>
  <c r="N334" i="7"/>
  <c r="M334" i="7"/>
  <c r="L334" i="7"/>
  <c r="K334" i="7"/>
  <c r="J334" i="7"/>
  <c r="I334" i="7"/>
  <c r="H334" i="7"/>
  <c r="Q333" i="7"/>
  <c r="P333" i="7"/>
  <c r="O333" i="7"/>
  <c r="N333" i="7"/>
  <c r="M333" i="7"/>
  <c r="L333" i="7"/>
  <c r="K333" i="7"/>
  <c r="J333" i="7"/>
  <c r="I333" i="7"/>
  <c r="H333" i="7"/>
  <c r="Q332" i="7"/>
  <c r="P332" i="7"/>
  <c r="O332" i="7"/>
  <c r="N332" i="7"/>
  <c r="M332" i="7"/>
  <c r="L332" i="7"/>
  <c r="K332" i="7"/>
  <c r="J332" i="7"/>
  <c r="I332" i="7"/>
  <c r="H332" i="7"/>
  <c r="Q331" i="7"/>
  <c r="P331" i="7"/>
  <c r="O331" i="7"/>
  <c r="N331" i="7"/>
  <c r="M331" i="7"/>
  <c r="L331" i="7"/>
  <c r="K331" i="7"/>
  <c r="J331" i="7"/>
  <c r="I331" i="7"/>
  <c r="H331" i="7"/>
  <c r="Q330" i="7"/>
  <c r="P330" i="7"/>
  <c r="O330" i="7"/>
  <c r="N330" i="7"/>
  <c r="M330" i="7"/>
  <c r="L330" i="7"/>
  <c r="K330" i="7"/>
  <c r="J330" i="7"/>
  <c r="I330" i="7"/>
  <c r="H330" i="7"/>
  <c r="Q329" i="7"/>
  <c r="P329" i="7"/>
  <c r="O329" i="7"/>
  <c r="N329" i="7"/>
  <c r="M329" i="7"/>
  <c r="L329" i="7"/>
  <c r="K329" i="7"/>
  <c r="J329" i="7"/>
  <c r="I329" i="7"/>
  <c r="H329" i="7"/>
  <c r="Q328" i="7"/>
  <c r="P328" i="7"/>
  <c r="O328" i="7"/>
  <c r="N328" i="7"/>
  <c r="M328" i="7"/>
  <c r="L328" i="7"/>
  <c r="K328" i="7"/>
  <c r="J328" i="7"/>
  <c r="I328" i="7"/>
  <c r="H328" i="7"/>
  <c r="Q327" i="7"/>
  <c r="P327" i="7"/>
  <c r="O327" i="7"/>
  <c r="N327" i="7"/>
  <c r="M327" i="7"/>
  <c r="L327" i="7"/>
  <c r="K327" i="7"/>
  <c r="J327" i="7"/>
  <c r="I327" i="7"/>
  <c r="H327" i="7"/>
  <c r="Q326" i="7"/>
  <c r="P326" i="7"/>
  <c r="O326" i="7"/>
  <c r="N326" i="7"/>
  <c r="M326" i="7"/>
  <c r="L326" i="7"/>
  <c r="K326" i="7"/>
  <c r="J326" i="7"/>
  <c r="I326" i="7"/>
  <c r="H326" i="7"/>
  <c r="Q325" i="7"/>
  <c r="P325" i="7"/>
  <c r="O325" i="7"/>
  <c r="N325" i="7"/>
  <c r="M325" i="7"/>
  <c r="L325" i="7"/>
  <c r="K325" i="7"/>
  <c r="J325" i="7"/>
  <c r="I325" i="7"/>
  <c r="H325" i="7"/>
  <c r="Q324" i="7"/>
  <c r="P324" i="7"/>
  <c r="O324" i="7"/>
  <c r="N324" i="7"/>
  <c r="M324" i="7"/>
  <c r="L324" i="7"/>
  <c r="K324" i="7"/>
  <c r="J324" i="7"/>
  <c r="I324" i="7"/>
  <c r="H324" i="7"/>
  <c r="Q323" i="7"/>
  <c r="P323" i="7"/>
  <c r="O323" i="7"/>
  <c r="N323" i="7"/>
  <c r="M323" i="7"/>
  <c r="L323" i="7"/>
  <c r="K323" i="7"/>
  <c r="J323" i="7"/>
  <c r="I323" i="7"/>
  <c r="H323" i="7"/>
  <c r="Q322" i="7"/>
  <c r="P322" i="7"/>
  <c r="O322" i="7"/>
  <c r="N322" i="7"/>
  <c r="M322" i="7"/>
  <c r="L322" i="7"/>
  <c r="K322" i="7"/>
  <c r="J322" i="7"/>
  <c r="I322" i="7"/>
  <c r="H322" i="7"/>
  <c r="Q321" i="7"/>
  <c r="P321" i="7"/>
  <c r="O321" i="7"/>
  <c r="N321" i="7"/>
  <c r="M321" i="7"/>
  <c r="L321" i="7"/>
  <c r="K321" i="7"/>
  <c r="J321" i="7"/>
  <c r="I321" i="7"/>
  <c r="H321" i="7"/>
  <c r="Q320" i="7"/>
  <c r="P320" i="7"/>
  <c r="O320" i="7"/>
  <c r="N320" i="7"/>
  <c r="M320" i="7"/>
  <c r="L320" i="7"/>
  <c r="K320" i="7"/>
  <c r="J320" i="7"/>
  <c r="I320" i="7"/>
  <c r="H320" i="7"/>
  <c r="Q319" i="7"/>
  <c r="P319" i="7"/>
  <c r="O319" i="7"/>
  <c r="N319" i="7"/>
  <c r="M319" i="7"/>
  <c r="L319" i="7"/>
  <c r="K319" i="7"/>
  <c r="J319" i="7"/>
  <c r="I319" i="7"/>
  <c r="H319" i="7"/>
  <c r="Q318" i="7"/>
  <c r="P318" i="7"/>
  <c r="O318" i="7"/>
  <c r="N318" i="7"/>
  <c r="M318" i="7"/>
  <c r="L318" i="7"/>
  <c r="K318" i="7"/>
  <c r="J318" i="7"/>
  <c r="I318" i="7"/>
  <c r="H318" i="7"/>
  <c r="Q317" i="7"/>
  <c r="P317" i="7"/>
  <c r="O317" i="7"/>
  <c r="N317" i="7"/>
  <c r="M317" i="7"/>
  <c r="L317" i="7"/>
  <c r="K317" i="7"/>
  <c r="J317" i="7"/>
  <c r="I317" i="7"/>
  <c r="H317" i="7"/>
  <c r="Q316" i="7"/>
  <c r="P316" i="7"/>
  <c r="O316" i="7"/>
  <c r="N316" i="7"/>
  <c r="M316" i="7"/>
  <c r="L316" i="7"/>
  <c r="K316" i="7"/>
  <c r="J316" i="7"/>
  <c r="I316" i="7"/>
  <c r="H316" i="7"/>
  <c r="Q315" i="7"/>
  <c r="P315" i="7"/>
  <c r="O315" i="7"/>
  <c r="N315" i="7"/>
  <c r="M315" i="7"/>
  <c r="L315" i="7"/>
  <c r="K315" i="7"/>
  <c r="J315" i="7"/>
  <c r="I315" i="7"/>
  <c r="H315" i="7"/>
  <c r="Q314" i="7"/>
  <c r="P314" i="7"/>
  <c r="O314" i="7"/>
  <c r="N314" i="7"/>
  <c r="M314" i="7"/>
  <c r="L314" i="7"/>
  <c r="K314" i="7"/>
  <c r="J314" i="7"/>
  <c r="I314" i="7"/>
  <c r="H314" i="7"/>
  <c r="Q313" i="7"/>
  <c r="P313" i="7"/>
  <c r="O313" i="7"/>
  <c r="N313" i="7"/>
  <c r="M313" i="7"/>
  <c r="L313" i="7"/>
  <c r="K313" i="7"/>
  <c r="J313" i="7"/>
  <c r="I313" i="7"/>
  <c r="H313" i="7"/>
  <c r="Q312" i="7"/>
  <c r="P312" i="7"/>
  <c r="O312" i="7"/>
  <c r="N312" i="7"/>
  <c r="M312" i="7"/>
  <c r="L312" i="7"/>
  <c r="K312" i="7"/>
  <c r="J312" i="7"/>
  <c r="I312" i="7"/>
  <c r="H312" i="7"/>
  <c r="Q311" i="7"/>
  <c r="P311" i="7"/>
  <c r="O311" i="7"/>
  <c r="N311" i="7"/>
  <c r="M311" i="7"/>
  <c r="L311" i="7"/>
  <c r="K311" i="7"/>
  <c r="J311" i="7"/>
  <c r="I311" i="7"/>
  <c r="H311" i="7"/>
  <c r="Q310" i="7"/>
  <c r="P310" i="7"/>
  <c r="O310" i="7"/>
  <c r="N310" i="7"/>
  <c r="M310" i="7"/>
  <c r="L310" i="7"/>
  <c r="K310" i="7"/>
  <c r="J310" i="7"/>
  <c r="I310" i="7"/>
  <c r="H310" i="7"/>
  <c r="Q309" i="7"/>
  <c r="P309" i="7"/>
  <c r="O309" i="7"/>
  <c r="N309" i="7"/>
  <c r="M309" i="7"/>
  <c r="L309" i="7"/>
  <c r="K309" i="7"/>
  <c r="J309" i="7"/>
  <c r="I309" i="7"/>
  <c r="H309" i="7"/>
  <c r="Q308" i="7"/>
  <c r="P308" i="7"/>
  <c r="O308" i="7"/>
  <c r="N308" i="7"/>
  <c r="M308" i="7"/>
  <c r="L308" i="7"/>
  <c r="K308" i="7"/>
  <c r="J308" i="7"/>
  <c r="I308" i="7"/>
  <c r="H308" i="7"/>
  <c r="Q307" i="7"/>
  <c r="P307" i="7"/>
  <c r="O307" i="7"/>
  <c r="N307" i="7"/>
  <c r="M307" i="7"/>
  <c r="L307" i="7"/>
  <c r="K307" i="7"/>
  <c r="J307" i="7"/>
  <c r="I307" i="7"/>
  <c r="H307" i="7"/>
  <c r="Q306" i="7"/>
  <c r="P306" i="7"/>
  <c r="O306" i="7"/>
  <c r="N306" i="7"/>
  <c r="M306" i="7"/>
  <c r="L306" i="7"/>
  <c r="K306" i="7"/>
  <c r="J306" i="7"/>
  <c r="I306" i="7"/>
  <c r="H306" i="7"/>
  <c r="Q305" i="7"/>
  <c r="P305" i="7"/>
  <c r="O305" i="7"/>
  <c r="N305" i="7"/>
  <c r="M305" i="7"/>
  <c r="L305" i="7"/>
  <c r="K305" i="7"/>
  <c r="J305" i="7"/>
  <c r="I305" i="7"/>
  <c r="H305" i="7"/>
  <c r="Q304" i="7"/>
  <c r="P304" i="7"/>
  <c r="O304" i="7"/>
  <c r="N304" i="7"/>
  <c r="M304" i="7"/>
  <c r="L304" i="7"/>
  <c r="K304" i="7"/>
  <c r="J304" i="7"/>
  <c r="I304" i="7"/>
  <c r="H304" i="7"/>
  <c r="Q303" i="7"/>
  <c r="P303" i="7"/>
  <c r="O303" i="7"/>
  <c r="N303" i="7"/>
  <c r="M303" i="7"/>
  <c r="L303" i="7"/>
  <c r="K303" i="7"/>
  <c r="J303" i="7"/>
  <c r="I303" i="7"/>
  <c r="H303" i="7"/>
  <c r="Q302" i="7"/>
  <c r="P302" i="7"/>
  <c r="O302" i="7"/>
  <c r="N302" i="7"/>
  <c r="M302" i="7"/>
  <c r="L302" i="7"/>
  <c r="K302" i="7"/>
  <c r="J302" i="7"/>
  <c r="I302" i="7"/>
  <c r="H302" i="7"/>
  <c r="Q301" i="7"/>
  <c r="P301" i="7"/>
  <c r="O301" i="7"/>
  <c r="N301" i="7"/>
  <c r="M301" i="7"/>
  <c r="L301" i="7"/>
  <c r="K301" i="7"/>
  <c r="J301" i="7"/>
  <c r="I301" i="7"/>
  <c r="H301" i="7"/>
  <c r="Q300" i="7"/>
  <c r="P300" i="7"/>
  <c r="O300" i="7"/>
  <c r="N300" i="7"/>
  <c r="M300" i="7"/>
  <c r="L300" i="7"/>
  <c r="K300" i="7"/>
  <c r="J300" i="7"/>
  <c r="I300" i="7"/>
  <c r="H300" i="7"/>
  <c r="Q299" i="7"/>
  <c r="P299" i="7"/>
  <c r="O299" i="7"/>
  <c r="N299" i="7"/>
  <c r="M299" i="7"/>
  <c r="L299" i="7"/>
  <c r="K299" i="7"/>
  <c r="J299" i="7"/>
  <c r="I299" i="7"/>
  <c r="H299" i="7"/>
  <c r="Q298" i="7"/>
  <c r="P298" i="7"/>
  <c r="O298" i="7"/>
  <c r="N298" i="7"/>
  <c r="M298" i="7"/>
  <c r="L298" i="7"/>
  <c r="K298" i="7"/>
  <c r="J298" i="7"/>
  <c r="I298" i="7"/>
  <c r="H298" i="7"/>
  <c r="Q297" i="7"/>
  <c r="P297" i="7"/>
  <c r="O297" i="7"/>
  <c r="N297" i="7"/>
  <c r="M297" i="7"/>
  <c r="L297" i="7"/>
  <c r="K297" i="7"/>
  <c r="J297" i="7"/>
  <c r="I297" i="7"/>
  <c r="H297" i="7"/>
  <c r="Q296" i="7"/>
  <c r="P296" i="7"/>
  <c r="O296" i="7"/>
  <c r="N296" i="7"/>
  <c r="M296" i="7"/>
  <c r="L296" i="7"/>
  <c r="K296" i="7"/>
  <c r="J296" i="7"/>
  <c r="I296" i="7"/>
  <c r="H296" i="7"/>
  <c r="Q295" i="7"/>
  <c r="P295" i="7"/>
  <c r="O295" i="7"/>
  <c r="N295" i="7"/>
  <c r="M295" i="7"/>
  <c r="L295" i="7"/>
  <c r="K295" i="7"/>
  <c r="J295" i="7"/>
  <c r="I295" i="7"/>
  <c r="H295" i="7"/>
  <c r="Q294" i="7"/>
  <c r="P294" i="7"/>
  <c r="O294" i="7"/>
  <c r="N294" i="7"/>
  <c r="M294" i="7"/>
  <c r="L294" i="7"/>
  <c r="K294" i="7"/>
  <c r="J294" i="7"/>
  <c r="I294" i="7"/>
  <c r="H294" i="7"/>
  <c r="Q293" i="7"/>
  <c r="P293" i="7"/>
  <c r="O293" i="7"/>
  <c r="N293" i="7"/>
  <c r="M293" i="7"/>
  <c r="L293" i="7"/>
  <c r="K293" i="7"/>
  <c r="J293" i="7"/>
  <c r="I293" i="7"/>
  <c r="H293" i="7"/>
  <c r="Q292" i="7"/>
  <c r="P292" i="7"/>
  <c r="O292" i="7"/>
  <c r="N292" i="7"/>
  <c r="M292" i="7"/>
  <c r="L292" i="7"/>
  <c r="K292" i="7"/>
  <c r="J292" i="7"/>
  <c r="I292" i="7"/>
  <c r="H292" i="7"/>
  <c r="Q291" i="7"/>
  <c r="P291" i="7"/>
  <c r="O291" i="7"/>
  <c r="N291" i="7"/>
  <c r="M291" i="7"/>
  <c r="L291" i="7"/>
  <c r="K291" i="7"/>
  <c r="J291" i="7"/>
  <c r="I291" i="7"/>
  <c r="H291" i="7"/>
  <c r="Q290" i="7"/>
  <c r="P290" i="7"/>
  <c r="O290" i="7"/>
  <c r="N290" i="7"/>
  <c r="M290" i="7"/>
  <c r="L290" i="7"/>
  <c r="K290" i="7"/>
  <c r="J290" i="7"/>
  <c r="I290" i="7"/>
  <c r="H290" i="7"/>
  <c r="Q289" i="7"/>
  <c r="P289" i="7"/>
  <c r="O289" i="7"/>
  <c r="N289" i="7"/>
  <c r="M289" i="7"/>
  <c r="L289" i="7"/>
  <c r="K289" i="7"/>
  <c r="J289" i="7"/>
  <c r="I289" i="7"/>
  <c r="H289" i="7"/>
  <c r="Q288" i="7"/>
  <c r="P288" i="7"/>
  <c r="O288" i="7"/>
  <c r="N288" i="7"/>
  <c r="M288" i="7"/>
  <c r="L288" i="7"/>
  <c r="K288" i="7"/>
  <c r="J288" i="7"/>
  <c r="I288" i="7"/>
  <c r="H288" i="7"/>
  <c r="Q287" i="7"/>
  <c r="P287" i="7"/>
  <c r="O287" i="7"/>
  <c r="N287" i="7"/>
  <c r="M287" i="7"/>
  <c r="L287" i="7"/>
  <c r="K287" i="7"/>
  <c r="J287" i="7"/>
  <c r="I287" i="7"/>
  <c r="H287" i="7"/>
  <c r="Q286" i="7"/>
  <c r="P286" i="7"/>
  <c r="O286" i="7"/>
  <c r="N286" i="7"/>
  <c r="M286" i="7"/>
  <c r="L286" i="7"/>
  <c r="K286" i="7"/>
  <c r="J286" i="7"/>
  <c r="I286" i="7"/>
  <c r="H286" i="7"/>
  <c r="Q285" i="7"/>
  <c r="P285" i="7"/>
  <c r="O285" i="7"/>
  <c r="N285" i="7"/>
  <c r="M285" i="7"/>
  <c r="L285" i="7"/>
  <c r="K285" i="7"/>
  <c r="J285" i="7"/>
  <c r="I285" i="7"/>
  <c r="H285" i="7"/>
  <c r="Q284" i="7"/>
  <c r="P284" i="7"/>
  <c r="O284" i="7"/>
  <c r="N284" i="7"/>
  <c r="M284" i="7"/>
  <c r="L284" i="7"/>
  <c r="K284" i="7"/>
  <c r="J284" i="7"/>
  <c r="I284" i="7"/>
  <c r="H284" i="7"/>
  <c r="Q283" i="7"/>
  <c r="P283" i="7"/>
  <c r="O283" i="7"/>
  <c r="N283" i="7"/>
  <c r="M283" i="7"/>
  <c r="L283" i="7"/>
  <c r="K283" i="7"/>
  <c r="J283" i="7"/>
  <c r="I283" i="7"/>
  <c r="H283" i="7"/>
  <c r="Q282" i="7"/>
  <c r="P282" i="7"/>
  <c r="O282" i="7"/>
  <c r="N282" i="7"/>
  <c r="M282" i="7"/>
  <c r="L282" i="7"/>
  <c r="K282" i="7"/>
  <c r="J282" i="7"/>
  <c r="I282" i="7"/>
  <c r="H282" i="7"/>
  <c r="Q281" i="7"/>
  <c r="P281" i="7"/>
  <c r="O281" i="7"/>
  <c r="N281" i="7"/>
  <c r="M281" i="7"/>
  <c r="L281" i="7"/>
  <c r="K281" i="7"/>
  <c r="J281" i="7"/>
  <c r="I281" i="7"/>
  <c r="H281" i="7"/>
  <c r="Q280" i="7"/>
  <c r="P280" i="7"/>
  <c r="O280" i="7"/>
  <c r="N280" i="7"/>
  <c r="M280" i="7"/>
  <c r="L280" i="7"/>
  <c r="K280" i="7"/>
  <c r="J280" i="7"/>
  <c r="I280" i="7"/>
  <c r="H280" i="7"/>
  <c r="Q279" i="7"/>
  <c r="P279" i="7"/>
  <c r="O279" i="7"/>
  <c r="N279" i="7"/>
  <c r="M279" i="7"/>
  <c r="L279" i="7"/>
  <c r="K279" i="7"/>
  <c r="J279" i="7"/>
  <c r="I279" i="7"/>
  <c r="H279" i="7"/>
  <c r="Q278" i="7"/>
  <c r="P278" i="7"/>
  <c r="O278" i="7"/>
  <c r="N278" i="7"/>
  <c r="M278" i="7"/>
  <c r="L278" i="7"/>
  <c r="K278" i="7"/>
  <c r="J278" i="7"/>
  <c r="I278" i="7"/>
  <c r="H278" i="7"/>
  <c r="Q277" i="7"/>
  <c r="P277" i="7"/>
  <c r="O277" i="7"/>
  <c r="N277" i="7"/>
  <c r="M277" i="7"/>
  <c r="L277" i="7"/>
  <c r="K277" i="7"/>
  <c r="J277" i="7"/>
  <c r="I277" i="7"/>
  <c r="H277" i="7"/>
  <c r="Q276" i="7"/>
  <c r="P276" i="7"/>
  <c r="O276" i="7"/>
  <c r="N276" i="7"/>
  <c r="M276" i="7"/>
  <c r="L276" i="7"/>
  <c r="K276" i="7"/>
  <c r="J276" i="7"/>
  <c r="I276" i="7"/>
  <c r="H276" i="7"/>
  <c r="Q275" i="7"/>
  <c r="P275" i="7"/>
  <c r="O275" i="7"/>
  <c r="N275" i="7"/>
  <c r="M275" i="7"/>
  <c r="L275" i="7"/>
  <c r="K275" i="7"/>
  <c r="J275" i="7"/>
  <c r="I275" i="7"/>
  <c r="H275" i="7"/>
  <c r="Q274" i="7"/>
  <c r="P274" i="7"/>
  <c r="O274" i="7"/>
  <c r="N274" i="7"/>
  <c r="M274" i="7"/>
  <c r="L274" i="7"/>
  <c r="K274" i="7"/>
  <c r="J274" i="7"/>
  <c r="I274" i="7"/>
  <c r="H274" i="7"/>
  <c r="Q273" i="7"/>
  <c r="P273" i="7"/>
  <c r="O273" i="7"/>
  <c r="N273" i="7"/>
  <c r="M273" i="7"/>
  <c r="L273" i="7"/>
  <c r="K273" i="7"/>
  <c r="J273" i="7"/>
  <c r="I273" i="7"/>
  <c r="H273" i="7"/>
  <c r="Q272" i="7"/>
  <c r="P272" i="7"/>
  <c r="O272" i="7"/>
  <c r="N272" i="7"/>
  <c r="M272" i="7"/>
  <c r="L272" i="7"/>
  <c r="K272" i="7"/>
  <c r="J272" i="7"/>
  <c r="I272" i="7"/>
  <c r="H272" i="7"/>
  <c r="Q271" i="7"/>
  <c r="P271" i="7"/>
  <c r="O271" i="7"/>
  <c r="N271" i="7"/>
  <c r="M271" i="7"/>
  <c r="L271" i="7"/>
  <c r="K271" i="7"/>
  <c r="J271" i="7"/>
  <c r="I271" i="7"/>
  <c r="H271" i="7"/>
  <c r="Q270" i="7"/>
  <c r="P270" i="7"/>
  <c r="O270" i="7"/>
  <c r="N270" i="7"/>
  <c r="M270" i="7"/>
  <c r="L270" i="7"/>
  <c r="K270" i="7"/>
  <c r="J270" i="7"/>
  <c r="I270" i="7"/>
  <c r="H270" i="7"/>
  <c r="Q269" i="7"/>
  <c r="P269" i="7"/>
  <c r="O269" i="7"/>
  <c r="N269" i="7"/>
  <c r="M269" i="7"/>
  <c r="L269" i="7"/>
  <c r="K269" i="7"/>
  <c r="J269" i="7"/>
  <c r="I269" i="7"/>
  <c r="H269" i="7"/>
  <c r="Q268" i="7"/>
  <c r="P268" i="7"/>
  <c r="O268" i="7"/>
  <c r="N268" i="7"/>
  <c r="M268" i="7"/>
  <c r="L268" i="7"/>
  <c r="K268" i="7"/>
  <c r="J268" i="7"/>
  <c r="I268" i="7"/>
  <c r="H268" i="7"/>
  <c r="Q381" i="7"/>
  <c r="P381" i="7"/>
  <c r="O381" i="7"/>
  <c r="N381" i="7"/>
  <c r="M381" i="7"/>
  <c r="L381" i="7"/>
  <c r="K381" i="7"/>
  <c r="J381" i="7"/>
  <c r="I381" i="7"/>
  <c r="H381" i="7"/>
  <c r="Q380" i="7"/>
  <c r="P380" i="7"/>
  <c r="O380" i="7"/>
  <c r="N380" i="7"/>
  <c r="M380" i="7"/>
  <c r="L380" i="7"/>
  <c r="K380" i="7"/>
  <c r="J380" i="7"/>
  <c r="I380" i="7"/>
  <c r="H380" i="7"/>
  <c r="Q379" i="7"/>
  <c r="P379" i="7"/>
  <c r="O379" i="7"/>
  <c r="N379" i="7"/>
  <c r="M379" i="7"/>
  <c r="L379" i="7"/>
  <c r="K379" i="7"/>
  <c r="J379" i="7"/>
  <c r="I379" i="7"/>
  <c r="H379" i="7"/>
  <c r="Q378" i="7"/>
  <c r="P378" i="7"/>
  <c r="O378" i="7"/>
  <c r="N378" i="7"/>
  <c r="M378" i="7"/>
  <c r="L378" i="7"/>
  <c r="K378" i="7"/>
  <c r="J378" i="7"/>
  <c r="I378" i="7"/>
  <c r="H378" i="7"/>
  <c r="Q377" i="7"/>
  <c r="P377" i="7"/>
  <c r="O377" i="7"/>
  <c r="N377" i="7"/>
  <c r="M377" i="7"/>
  <c r="L377" i="7"/>
  <c r="K377" i="7"/>
  <c r="J377" i="7"/>
  <c r="I377" i="7"/>
  <c r="H377" i="7"/>
  <c r="Q376" i="7"/>
  <c r="P376" i="7"/>
  <c r="O376" i="7"/>
  <c r="N376" i="7"/>
  <c r="M376" i="7"/>
  <c r="L376" i="7"/>
  <c r="K376" i="7"/>
  <c r="J376" i="7"/>
  <c r="I376" i="7"/>
  <c r="H376" i="7"/>
  <c r="Q375" i="7"/>
  <c r="P375" i="7"/>
  <c r="O375" i="7"/>
  <c r="N375" i="7"/>
  <c r="M375" i="7"/>
  <c r="L375" i="7"/>
  <c r="K375" i="7"/>
  <c r="J375" i="7"/>
  <c r="I375" i="7"/>
  <c r="H375" i="7"/>
  <c r="Q374" i="7"/>
  <c r="P374" i="7"/>
  <c r="O374" i="7"/>
  <c r="N374" i="7"/>
  <c r="M374" i="7"/>
  <c r="L374" i="7"/>
  <c r="K374" i="7"/>
  <c r="J374" i="7"/>
  <c r="I374" i="7"/>
  <c r="H374" i="7"/>
  <c r="Q373" i="7"/>
  <c r="P373" i="7"/>
  <c r="O373" i="7"/>
  <c r="N373" i="7"/>
  <c r="M373" i="7"/>
  <c r="L373" i="7"/>
  <c r="K373" i="7"/>
  <c r="J373" i="7"/>
  <c r="I373" i="7"/>
  <c r="H373" i="7"/>
  <c r="Q372" i="7"/>
  <c r="P372" i="7"/>
  <c r="O372" i="7"/>
  <c r="N372" i="7"/>
  <c r="M372" i="7"/>
  <c r="L372" i="7"/>
  <c r="K372" i="7"/>
  <c r="J372" i="7"/>
  <c r="I372" i="7"/>
  <c r="H372" i="7"/>
  <c r="Q371" i="7"/>
  <c r="P371" i="7"/>
  <c r="O371" i="7"/>
  <c r="N371" i="7"/>
  <c r="M371" i="7"/>
  <c r="L371" i="7"/>
  <c r="K371" i="7"/>
  <c r="J371" i="7"/>
  <c r="I371" i="7"/>
  <c r="H371" i="7"/>
  <c r="Q370" i="7"/>
  <c r="P370" i="7"/>
  <c r="O370" i="7"/>
  <c r="N370" i="7"/>
  <c r="M370" i="7"/>
  <c r="L370" i="7"/>
  <c r="K370" i="7"/>
  <c r="J370" i="7"/>
  <c r="I370" i="7"/>
  <c r="H370" i="7"/>
  <c r="Q369" i="7"/>
  <c r="P369" i="7"/>
  <c r="O369" i="7"/>
  <c r="N369" i="7"/>
  <c r="M369" i="7"/>
  <c r="L369" i="7"/>
  <c r="K369" i="7"/>
  <c r="J369" i="7"/>
  <c r="I369" i="7"/>
  <c r="H369" i="7"/>
  <c r="Q368" i="7"/>
  <c r="P368" i="7"/>
  <c r="O368" i="7"/>
  <c r="N368" i="7"/>
  <c r="M368" i="7"/>
  <c r="L368" i="7"/>
  <c r="K368" i="7"/>
  <c r="J368" i="7"/>
  <c r="I368" i="7"/>
  <c r="H368" i="7"/>
  <c r="Q367" i="7"/>
  <c r="P367" i="7"/>
  <c r="O367" i="7"/>
  <c r="N367" i="7"/>
  <c r="M367" i="7"/>
  <c r="L367" i="7"/>
  <c r="K367" i="7"/>
  <c r="J367" i="7"/>
  <c r="I367" i="7"/>
  <c r="H367" i="7"/>
  <c r="Q366" i="7"/>
  <c r="P366" i="7"/>
  <c r="O366" i="7"/>
  <c r="N366" i="7"/>
  <c r="M366" i="7"/>
  <c r="L366" i="7"/>
  <c r="K366" i="7"/>
  <c r="J366" i="7"/>
  <c r="I366" i="7"/>
  <c r="H366" i="7"/>
  <c r="Q365" i="7"/>
  <c r="P365" i="7"/>
  <c r="O365" i="7"/>
  <c r="N365" i="7"/>
  <c r="M365" i="7"/>
  <c r="L365" i="7"/>
  <c r="K365" i="7"/>
  <c r="J365" i="7"/>
  <c r="I365" i="7"/>
  <c r="H365" i="7"/>
  <c r="Q364" i="7"/>
  <c r="P364" i="7"/>
  <c r="O364" i="7"/>
  <c r="N364" i="7"/>
  <c r="M364" i="7"/>
  <c r="L364" i="7"/>
  <c r="K364" i="7"/>
  <c r="J364" i="7"/>
  <c r="I364" i="7"/>
  <c r="H364" i="7"/>
  <c r="Q363" i="7"/>
  <c r="P363" i="7"/>
  <c r="O363" i="7"/>
  <c r="N363" i="7"/>
  <c r="M363" i="7"/>
  <c r="L363" i="7"/>
  <c r="K363" i="7"/>
  <c r="J363" i="7"/>
  <c r="I363" i="7"/>
  <c r="H363" i="7"/>
  <c r="Q267" i="7"/>
  <c r="P267" i="7"/>
  <c r="O267" i="7"/>
  <c r="N267" i="7"/>
  <c r="M267" i="7"/>
  <c r="L267" i="7"/>
  <c r="K267" i="7"/>
  <c r="J267" i="7"/>
  <c r="I267" i="7"/>
  <c r="H267" i="7"/>
  <c r="Q266" i="7"/>
  <c r="P266" i="7"/>
  <c r="O266" i="7"/>
  <c r="N266" i="7"/>
  <c r="M266" i="7"/>
  <c r="L266" i="7"/>
  <c r="K266" i="7"/>
  <c r="J266" i="7"/>
  <c r="I266" i="7"/>
  <c r="H266" i="7"/>
  <c r="Q265" i="7"/>
  <c r="P265" i="7"/>
  <c r="O265" i="7"/>
  <c r="N265" i="7"/>
  <c r="M265" i="7"/>
  <c r="L265" i="7"/>
  <c r="K265" i="7"/>
  <c r="J265" i="7"/>
  <c r="I265" i="7"/>
  <c r="H265" i="7"/>
  <c r="Q264" i="7"/>
  <c r="P264" i="7"/>
  <c r="O264" i="7"/>
  <c r="N264" i="7"/>
  <c r="M264" i="7"/>
  <c r="L264" i="7"/>
  <c r="K264" i="7"/>
  <c r="J264" i="7"/>
  <c r="I264" i="7"/>
  <c r="H264" i="7"/>
  <c r="Q263" i="7"/>
  <c r="P263" i="7"/>
  <c r="O263" i="7"/>
  <c r="N263" i="7"/>
  <c r="M263" i="7"/>
  <c r="L263" i="7"/>
  <c r="K263" i="7"/>
  <c r="J263" i="7"/>
  <c r="I263" i="7"/>
  <c r="H263" i="7"/>
  <c r="Q262" i="7"/>
  <c r="P262" i="7"/>
  <c r="O262" i="7"/>
  <c r="N262" i="7"/>
  <c r="M262" i="7"/>
  <c r="L262" i="7"/>
  <c r="K262" i="7"/>
  <c r="J262" i="7"/>
  <c r="I262" i="7"/>
  <c r="H262" i="7"/>
  <c r="Q261" i="7"/>
  <c r="P261" i="7"/>
  <c r="O261" i="7"/>
  <c r="N261" i="7"/>
  <c r="M261" i="7"/>
  <c r="L261" i="7"/>
  <c r="K261" i="7"/>
  <c r="J261" i="7"/>
  <c r="I261" i="7"/>
  <c r="H261" i="7"/>
  <c r="Q260" i="7"/>
  <c r="P260" i="7"/>
  <c r="O260" i="7"/>
  <c r="N260" i="7"/>
  <c r="M260" i="7"/>
  <c r="L260" i="7"/>
  <c r="K260" i="7"/>
  <c r="J260" i="7"/>
  <c r="I260" i="7"/>
  <c r="H260" i="7"/>
  <c r="Q259" i="7"/>
  <c r="P259" i="7"/>
  <c r="O259" i="7"/>
  <c r="N259" i="7"/>
  <c r="M259" i="7"/>
  <c r="L259" i="7"/>
  <c r="K259" i="7"/>
  <c r="J259" i="7"/>
  <c r="I259" i="7"/>
  <c r="H259" i="7"/>
  <c r="Q258" i="7"/>
  <c r="P258" i="7"/>
  <c r="O258" i="7"/>
  <c r="N258" i="7"/>
  <c r="M258" i="7"/>
  <c r="L258" i="7"/>
  <c r="K258" i="7"/>
  <c r="J258" i="7"/>
  <c r="I258" i="7"/>
  <c r="H258" i="7"/>
  <c r="Q257" i="7"/>
  <c r="P257" i="7"/>
  <c r="O257" i="7"/>
  <c r="N257" i="7"/>
  <c r="M257" i="7"/>
  <c r="L257" i="7"/>
  <c r="K257" i="7"/>
  <c r="J257" i="7"/>
  <c r="I257" i="7"/>
  <c r="H257" i="7"/>
  <c r="Q256" i="7"/>
  <c r="P256" i="7"/>
  <c r="O256" i="7"/>
  <c r="N256" i="7"/>
  <c r="M256" i="7"/>
  <c r="L256" i="7"/>
  <c r="K256" i="7"/>
  <c r="J256" i="7"/>
  <c r="I256" i="7"/>
  <c r="H256" i="7"/>
  <c r="Q255" i="7"/>
  <c r="P255" i="7"/>
  <c r="O255" i="7"/>
  <c r="N255" i="7"/>
  <c r="M255" i="7"/>
  <c r="L255" i="7"/>
  <c r="K255" i="7"/>
  <c r="J255" i="7"/>
  <c r="I255" i="7"/>
  <c r="H255" i="7"/>
  <c r="Q254" i="7"/>
  <c r="P254" i="7"/>
  <c r="O254" i="7"/>
  <c r="N254" i="7"/>
  <c r="M254" i="7"/>
  <c r="L254" i="7"/>
  <c r="K254" i="7"/>
  <c r="J254" i="7"/>
  <c r="I254" i="7"/>
  <c r="H254" i="7"/>
  <c r="Q253" i="7"/>
  <c r="P253" i="7"/>
  <c r="O253" i="7"/>
  <c r="N253" i="7"/>
  <c r="M253" i="7"/>
  <c r="L253" i="7"/>
  <c r="K253" i="7"/>
  <c r="J253" i="7"/>
  <c r="I253" i="7"/>
  <c r="H253" i="7"/>
  <c r="Q252" i="7"/>
  <c r="P252" i="7"/>
  <c r="O252" i="7"/>
  <c r="N252" i="7"/>
  <c r="M252" i="7"/>
  <c r="L252" i="7"/>
  <c r="K252" i="7"/>
  <c r="J252" i="7"/>
  <c r="I252" i="7"/>
  <c r="H252" i="7"/>
  <c r="Q251" i="7"/>
  <c r="P251" i="7"/>
  <c r="O251" i="7"/>
  <c r="N251" i="7"/>
  <c r="M251" i="7"/>
  <c r="L251" i="7"/>
  <c r="K251" i="7"/>
  <c r="J251" i="7"/>
  <c r="I251" i="7"/>
  <c r="H251" i="7"/>
  <c r="Q250" i="7"/>
  <c r="P250" i="7"/>
  <c r="O250" i="7"/>
  <c r="N250" i="7"/>
  <c r="M250" i="7"/>
  <c r="L250" i="7"/>
  <c r="K250" i="7"/>
  <c r="J250" i="7"/>
  <c r="I250" i="7"/>
  <c r="H250" i="7"/>
  <c r="Q249" i="7"/>
  <c r="P249" i="7"/>
  <c r="O249" i="7"/>
  <c r="N249" i="7"/>
  <c r="M249" i="7"/>
  <c r="L249" i="7"/>
  <c r="K249" i="7"/>
  <c r="J249" i="7"/>
  <c r="I249" i="7"/>
  <c r="H249" i="7"/>
  <c r="Q248" i="7"/>
  <c r="P248" i="7"/>
  <c r="O248" i="7"/>
  <c r="N248" i="7"/>
  <c r="M248" i="7"/>
  <c r="L248" i="7"/>
  <c r="K248" i="7"/>
  <c r="J248" i="7"/>
  <c r="I248" i="7"/>
  <c r="H248" i="7"/>
  <c r="Q247" i="7"/>
  <c r="P247" i="7"/>
  <c r="O247" i="7"/>
  <c r="N247" i="7"/>
  <c r="M247" i="7"/>
  <c r="L247" i="7"/>
  <c r="K247" i="7"/>
  <c r="J247" i="7"/>
  <c r="I247" i="7"/>
  <c r="H247" i="7"/>
  <c r="Q246" i="7"/>
  <c r="P246" i="7"/>
  <c r="O246" i="7"/>
  <c r="N246" i="7"/>
  <c r="M246" i="7"/>
  <c r="L246" i="7"/>
  <c r="K246" i="7"/>
  <c r="J246" i="7"/>
  <c r="I246" i="7"/>
  <c r="H246" i="7"/>
  <c r="Q245" i="7"/>
  <c r="P245" i="7"/>
  <c r="O245" i="7"/>
  <c r="N245" i="7"/>
  <c r="M245" i="7"/>
  <c r="L245" i="7"/>
  <c r="K245" i="7"/>
  <c r="J245" i="7"/>
  <c r="I245" i="7"/>
  <c r="H245" i="7"/>
  <c r="Q244" i="7"/>
  <c r="P244" i="7"/>
  <c r="O244" i="7"/>
  <c r="N244" i="7"/>
  <c r="M244" i="7"/>
  <c r="L244" i="7"/>
  <c r="K244" i="7"/>
  <c r="J244" i="7"/>
  <c r="I244" i="7"/>
  <c r="H244" i="7"/>
  <c r="Q243" i="7"/>
  <c r="P243" i="7"/>
  <c r="O243" i="7"/>
  <c r="N243" i="7"/>
  <c r="M243" i="7"/>
  <c r="L243" i="7"/>
  <c r="K243" i="7"/>
  <c r="J243" i="7"/>
  <c r="I243" i="7"/>
  <c r="H243" i="7"/>
  <c r="Q242" i="7"/>
  <c r="P242" i="7"/>
  <c r="O242" i="7"/>
  <c r="N242" i="7"/>
  <c r="M242" i="7"/>
  <c r="L242" i="7"/>
  <c r="K242" i="7"/>
  <c r="J242" i="7"/>
  <c r="I242" i="7"/>
  <c r="H242" i="7"/>
  <c r="Q241" i="7"/>
  <c r="P241" i="7"/>
  <c r="O241" i="7"/>
  <c r="N241" i="7"/>
  <c r="M241" i="7"/>
  <c r="L241" i="7"/>
  <c r="K241" i="7"/>
  <c r="J241" i="7"/>
  <c r="I241" i="7"/>
  <c r="H241" i="7"/>
  <c r="Q240" i="7"/>
  <c r="P240" i="7"/>
  <c r="O240" i="7"/>
  <c r="N240" i="7"/>
  <c r="M240" i="7"/>
  <c r="L240" i="7"/>
  <c r="K240" i="7"/>
  <c r="J240" i="7"/>
  <c r="I240" i="7"/>
  <c r="H240" i="7"/>
  <c r="Q239" i="7"/>
  <c r="P239" i="7"/>
  <c r="O239" i="7"/>
  <c r="N239" i="7"/>
  <c r="M239" i="7"/>
  <c r="L239" i="7"/>
  <c r="K239" i="7"/>
  <c r="J239" i="7"/>
  <c r="I239" i="7"/>
  <c r="H239" i="7"/>
  <c r="Q238" i="7"/>
  <c r="P238" i="7"/>
  <c r="O238" i="7"/>
  <c r="N238" i="7"/>
  <c r="M238" i="7"/>
  <c r="L238" i="7"/>
  <c r="K238" i="7"/>
  <c r="J238" i="7"/>
  <c r="I238" i="7"/>
  <c r="H238" i="7"/>
  <c r="Q237" i="7"/>
  <c r="P237" i="7"/>
  <c r="O237" i="7"/>
  <c r="N237" i="7"/>
  <c r="M237" i="7"/>
  <c r="L237" i="7"/>
  <c r="K237" i="7"/>
  <c r="J237" i="7"/>
  <c r="I237" i="7"/>
  <c r="H237" i="7"/>
  <c r="Q236" i="7"/>
  <c r="P236" i="7"/>
  <c r="O236" i="7"/>
  <c r="N236" i="7"/>
  <c r="M236" i="7"/>
  <c r="L236" i="7"/>
  <c r="K236" i="7"/>
  <c r="J236" i="7"/>
  <c r="I236" i="7"/>
  <c r="H236" i="7"/>
  <c r="Q235" i="7"/>
  <c r="P235" i="7"/>
  <c r="O235" i="7"/>
  <c r="N235" i="7"/>
  <c r="M235" i="7"/>
  <c r="L235" i="7"/>
  <c r="K235" i="7"/>
  <c r="J235" i="7"/>
  <c r="I235" i="7"/>
  <c r="H235" i="7"/>
  <c r="Q234" i="7"/>
  <c r="P234" i="7"/>
  <c r="O234" i="7"/>
  <c r="N234" i="7"/>
  <c r="M234" i="7"/>
  <c r="L234" i="7"/>
  <c r="K234" i="7"/>
  <c r="J234" i="7"/>
  <c r="I234" i="7"/>
  <c r="H234" i="7"/>
  <c r="Q233" i="7"/>
  <c r="P233" i="7"/>
  <c r="O233" i="7"/>
  <c r="N233" i="7"/>
  <c r="M233" i="7"/>
  <c r="L233" i="7"/>
  <c r="K233" i="7"/>
  <c r="J233" i="7"/>
  <c r="I233" i="7"/>
  <c r="H233" i="7"/>
  <c r="Q232" i="7"/>
  <c r="P232" i="7"/>
  <c r="O232" i="7"/>
  <c r="N232" i="7"/>
  <c r="M232" i="7"/>
  <c r="L232" i="7"/>
  <c r="K232" i="7"/>
  <c r="J232" i="7"/>
  <c r="I232" i="7"/>
  <c r="H232" i="7"/>
  <c r="Q231" i="7"/>
  <c r="P231" i="7"/>
  <c r="O231" i="7"/>
  <c r="N231" i="7"/>
  <c r="M231" i="7"/>
  <c r="L231" i="7"/>
  <c r="K231" i="7"/>
  <c r="J231" i="7"/>
  <c r="I231" i="7"/>
  <c r="H231" i="7"/>
  <c r="Q230" i="7"/>
  <c r="P230" i="7"/>
  <c r="O230" i="7"/>
  <c r="N230" i="7"/>
  <c r="M230" i="7"/>
  <c r="L230" i="7"/>
  <c r="K230" i="7"/>
  <c r="J230" i="7"/>
  <c r="I230" i="7"/>
  <c r="H230" i="7"/>
  <c r="Q229" i="7"/>
  <c r="P229" i="7"/>
  <c r="O229" i="7"/>
  <c r="N229" i="7"/>
  <c r="M229" i="7"/>
  <c r="L229" i="7"/>
  <c r="K229" i="7"/>
  <c r="J229" i="7"/>
  <c r="I229" i="7"/>
  <c r="H229" i="7"/>
  <c r="Q228" i="7"/>
  <c r="P228" i="7"/>
  <c r="O228" i="7"/>
  <c r="N228" i="7"/>
  <c r="M228" i="7"/>
  <c r="L228" i="7"/>
  <c r="K228" i="7"/>
  <c r="J228" i="7"/>
  <c r="I228" i="7"/>
  <c r="H228" i="7"/>
  <c r="Q227" i="7"/>
  <c r="P227" i="7"/>
  <c r="O227" i="7"/>
  <c r="N227" i="7"/>
  <c r="M227" i="7"/>
  <c r="L227" i="7"/>
  <c r="K227" i="7"/>
  <c r="J227" i="7"/>
  <c r="I227" i="7"/>
  <c r="H227" i="7"/>
  <c r="Q226" i="7"/>
  <c r="P226" i="7"/>
  <c r="O226" i="7"/>
  <c r="N226" i="7"/>
  <c r="M226" i="7"/>
  <c r="L226" i="7"/>
  <c r="K226" i="7"/>
  <c r="J226" i="7"/>
  <c r="I226" i="7"/>
  <c r="H226" i="7"/>
  <c r="Q225" i="7"/>
  <c r="P225" i="7"/>
  <c r="O225" i="7"/>
  <c r="N225" i="7"/>
  <c r="M225" i="7"/>
  <c r="L225" i="7"/>
  <c r="K225" i="7"/>
  <c r="J225" i="7"/>
  <c r="I225" i="7"/>
  <c r="H225" i="7"/>
  <c r="Q224" i="7"/>
  <c r="P224" i="7"/>
  <c r="O224" i="7"/>
  <c r="N224" i="7"/>
  <c r="M224" i="7"/>
  <c r="L224" i="7"/>
  <c r="K224" i="7"/>
  <c r="J224" i="7"/>
  <c r="I224" i="7"/>
  <c r="H224" i="7"/>
  <c r="Q223" i="7"/>
  <c r="P223" i="7"/>
  <c r="O223" i="7"/>
  <c r="N223" i="7"/>
  <c r="M223" i="7"/>
  <c r="L223" i="7"/>
  <c r="K223" i="7"/>
  <c r="J223" i="7"/>
  <c r="I223" i="7"/>
  <c r="H223" i="7"/>
  <c r="Q222" i="7"/>
  <c r="P222" i="7"/>
  <c r="O222" i="7"/>
  <c r="N222" i="7"/>
  <c r="M222" i="7"/>
  <c r="L222" i="7"/>
  <c r="K222" i="7"/>
  <c r="J222" i="7"/>
  <c r="I222" i="7"/>
  <c r="H222" i="7"/>
  <c r="Q221" i="7"/>
  <c r="P221" i="7"/>
  <c r="O221" i="7"/>
  <c r="N221" i="7"/>
  <c r="M221" i="7"/>
  <c r="L221" i="7"/>
  <c r="K221" i="7"/>
  <c r="J221" i="7"/>
  <c r="I221" i="7"/>
  <c r="H221" i="7"/>
  <c r="Q220" i="7"/>
  <c r="P220" i="7"/>
  <c r="O220" i="7"/>
  <c r="N220" i="7"/>
  <c r="M220" i="7"/>
  <c r="L220" i="7"/>
  <c r="K220" i="7"/>
  <c r="J220" i="7"/>
  <c r="I220" i="7"/>
  <c r="H220" i="7"/>
  <c r="Q219" i="7"/>
  <c r="P219" i="7"/>
  <c r="O219" i="7"/>
  <c r="N219" i="7"/>
  <c r="M219" i="7"/>
  <c r="L219" i="7"/>
  <c r="K219" i="7"/>
  <c r="J219" i="7"/>
  <c r="I219" i="7"/>
  <c r="H219" i="7"/>
  <c r="Q218" i="7"/>
  <c r="P218" i="7"/>
  <c r="O218" i="7"/>
  <c r="N218" i="7"/>
  <c r="M218" i="7"/>
  <c r="L218" i="7"/>
  <c r="K218" i="7"/>
  <c r="J218" i="7"/>
  <c r="I218" i="7"/>
  <c r="H218" i="7"/>
  <c r="Q217" i="7"/>
  <c r="P217" i="7"/>
  <c r="O217" i="7"/>
  <c r="N217" i="7"/>
  <c r="M217" i="7"/>
  <c r="L217" i="7"/>
  <c r="K217" i="7"/>
  <c r="J217" i="7"/>
  <c r="I217" i="7"/>
  <c r="H217" i="7"/>
  <c r="Q216" i="7"/>
  <c r="P216" i="7"/>
  <c r="O216" i="7"/>
  <c r="N216" i="7"/>
  <c r="M216" i="7"/>
  <c r="L216" i="7"/>
  <c r="K216" i="7"/>
  <c r="J216" i="7"/>
  <c r="I216" i="7"/>
  <c r="H216" i="7"/>
  <c r="Q215" i="7"/>
  <c r="P215" i="7"/>
  <c r="O215" i="7"/>
  <c r="N215" i="7"/>
  <c r="M215" i="7"/>
  <c r="L215" i="7"/>
  <c r="K215" i="7"/>
  <c r="J215" i="7"/>
  <c r="I215" i="7"/>
  <c r="H215" i="7"/>
  <c r="Q214" i="7"/>
  <c r="P214" i="7"/>
  <c r="O214" i="7"/>
  <c r="N214" i="7"/>
  <c r="M214" i="7"/>
  <c r="L214" i="7"/>
  <c r="K214" i="7"/>
  <c r="J214" i="7"/>
  <c r="I214" i="7"/>
  <c r="H214" i="7"/>
  <c r="Q213" i="7"/>
  <c r="P213" i="7"/>
  <c r="O213" i="7"/>
  <c r="N213" i="7"/>
  <c r="M213" i="7"/>
  <c r="L213" i="7"/>
  <c r="K213" i="7"/>
  <c r="J213" i="7"/>
  <c r="I213" i="7"/>
  <c r="H213" i="7"/>
  <c r="Q212" i="7"/>
  <c r="P212" i="7"/>
  <c r="O212" i="7"/>
  <c r="N212" i="7"/>
  <c r="M212" i="7"/>
  <c r="L212" i="7"/>
  <c r="K212" i="7"/>
  <c r="J212" i="7"/>
  <c r="I212" i="7"/>
  <c r="H212" i="7"/>
  <c r="Q211" i="7"/>
  <c r="P211" i="7"/>
  <c r="O211" i="7"/>
  <c r="N211" i="7"/>
  <c r="M211" i="7"/>
  <c r="L211" i="7"/>
  <c r="K211" i="7"/>
  <c r="J211" i="7"/>
  <c r="I211" i="7"/>
  <c r="H211" i="7"/>
  <c r="Q210" i="7"/>
  <c r="P210" i="7"/>
  <c r="O210" i="7"/>
  <c r="N210" i="7"/>
  <c r="M210" i="7"/>
  <c r="L210" i="7"/>
  <c r="K210" i="7"/>
  <c r="J210" i="7"/>
  <c r="I210" i="7"/>
  <c r="H210" i="7"/>
  <c r="Q209" i="7"/>
  <c r="P209" i="7"/>
  <c r="O209" i="7"/>
  <c r="N209" i="7"/>
  <c r="M209" i="7"/>
  <c r="L209" i="7"/>
  <c r="K209" i="7"/>
  <c r="J209" i="7"/>
  <c r="I209" i="7"/>
  <c r="H209" i="7"/>
  <c r="Q208" i="7"/>
  <c r="P208" i="7"/>
  <c r="O208" i="7"/>
  <c r="N208" i="7"/>
  <c r="M208" i="7"/>
  <c r="L208" i="7"/>
  <c r="K208" i="7"/>
  <c r="J208" i="7"/>
  <c r="I208" i="7"/>
  <c r="H208" i="7"/>
  <c r="Q207" i="7"/>
  <c r="P207" i="7"/>
  <c r="O207" i="7"/>
  <c r="N207" i="7"/>
  <c r="M207" i="7"/>
  <c r="L207" i="7"/>
  <c r="K207" i="7"/>
  <c r="J207" i="7"/>
  <c r="I207" i="7"/>
  <c r="H207" i="7"/>
  <c r="Q206" i="7"/>
  <c r="P206" i="7"/>
  <c r="O206" i="7"/>
  <c r="N206" i="7"/>
  <c r="M206" i="7"/>
  <c r="L206" i="7"/>
  <c r="K206" i="7"/>
  <c r="J206" i="7"/>
  <c r="I206" i="7"/>
  <c r="H206" i="7"/>
  <c r="Q205" i="7"/>
  <c r="P205" i="7"/>
  <c r="O205" i="7"/>
  <c r="N205" i="7"/>
  <c r="M205" i="7"/>
  <c r="L205" i="7"/>
  <c r="K205" i="7"/>
  <c r="J205" i="7"/>
  <c r="I205" i="7"/>
  <c r="H205" i="7"/>
  <c r="Q204" i="7"/>
  <c r="P204" i="7"/>
  <c r="O204" i="7"/>
  <c r="N204" i="7"/>
  <c r="M204" i="7"/>
  <c r="L204" i="7"/>
  <c r="K204" i="7"/>
  <c r="J204" i="7"/>
  <c r="I204" i="7"/>
  <c r="H204" i="7"/>
  <c r="Q203" i="7"/>
  <c r="P203" i="7"/>
  <c r="O203" i="7"/>
  <c r="N203" i="7"/>
  <c r="M203" i="7"/>
  <c r="L203" i="7"/>
  <c r="K203" i="7"/>
  <c r="J203" i="7"/>
  <c r="I203" i="7"/>
  <c r="H203" i="7"/>
  <c r="Q202" i="7"/>
  <c r="P202" i="7"/>
  <c r="O202" i="7"/>
  <c r="N202" i="7"/>
  <c r="M202" i="7"/>
  <c r="L202" i="7"/>
  <c r="K202" i="7"/>
  <c r="J202" i="7"/>
  <c r="I202" i="7"/>
  <c r="H202" i="7"/>
  <c r="Q201" i="7"/>
  <c r="P201" i="7"/>
  <c r="O201" i="7"/>
  <c r="N201" i="7"/>
  <c r="M201" i="7"/>
  <c r="L201" i="7"/>
  <c r="K201" i="7"/>
  <c r="J201" i="7"/>
  <c r="I201" i="7"/>
  <c r="H201" i="7"/>
  <c r="Q200" i="7"/>
  <c r="P200" i="7"/>
  <c r="O200" i="7"/>
  <c r="N200" i="7"/>
  <c r="M200" i="7"/>
  <c r="L200" i="7"/>
  <c r="K200" i="7"/>
  <c r="J200" i="7"/>
  <c r="I200" i="7"/>
  <c r="H200" i="7"/>
  <c r="Q199" i="7"/>
  <c r="P199" i="7"/>
  <c r="O199" i="7"/>
  <c r="N199" i="7"/>
  <c r="M199" i="7"/>
  <c r="L199" i="7"/>
  <c r="K199" i="7"/>
  <c r="J199" i="7"/>
  <c r="I199" i="7"/>
  <c r="H199" i="7"/>
  <c r="Q198" i="7"/>
  <c r="P198" i="7"/>
  <c r="O198" i="7"/>
  <c r="N198" i="7"/>
  <c r="M198" i="7"/>
  <c r="L198" i="7"/>
  <c r="K198" i="7"/>
  <c r="J198" i="7"/>
  <c r="I198" i="7"/>
  <c r="H198" i="7"/>
  <c r="Q197" i="7"/>
  <c r="P197" i="7"/>
  <c r="O197" i="7"/>
  <c r="N197" i="7"/>
  <c r="M197" i="7"/>
  <c r="L197" i="7"/>
  <c r="K197" i="7"/>
  <c r="J197" i="7"/>
  <c r="I197" i="7"/>
  <c r="H197" i="7"/>
  <c r="Q196" i="7"/>
  <c r="P196" i="7"/>
  <c r="O196" i="7"/>
  <c r="N196" i="7"/>
  <c r="M196" i="7"/>
  <c r="L196" i="7"/>
  <c r="K196" i="7"/>
  <c r="J196" i="7"/>
  <c r="I196" i="7"/>
  <c r="H196" i="7"/>
  <c r="Q195" i="7"/>
  <c r="P195" i="7"/>
  <c r="O195" i="7"/>
  <c r="N195" i="7"/>
  <c r="M195" i="7"/>
  <c r="L195" i="7"/>
  <c r="K195" i="7"/>
  <c r="J195" i="7"/>
  <c r="I195" i="7"/>
  <c r="H195" i="7"/>
  <c r="Q194" i="7"/>
  <c r="P194" i="7"/>
  <c r="O194" i="7"/>
  <c r="N194" i="7"/>
  <c r="M194" i="7"/>
  <c r="L194" i="7"/>
  <c r="K194" i="7"/>
  <c r="J194" i="7"/>
  <c r="I194" i="7"/>
  <c r="H194" i="7"/>
  <c r="Q193" i="7"/>
  <c r="P193" i="7"/>
  <c r="O193" i="7"/>
  <c r="N193" i="7"/>
  <c r="M193" i="7"/>
  <c r="L193" i="7"/>
  <c r="K193" i="7"/>
  <c r="J193" i="7"/>
  <c r="I193" i="7"/>
  <c r="H193" i="7"/>
  <c r="Q192" i="7"/>
  <c r="P192" i="7"/>
  <c r="O192" i="7"/>
  <c r="N192" i="7"/>
  <c r="M192" i="7"/>
  <c r="L192" i="7"/>
  <c r="K192" i="7"/>
  <c r="J192" i="7"/>
  <c r="I192" i="7"/>
  <c r="H192" i="7"/>
  <c r="Q134" i="7"/>
  <c r="P134" i="7"/>
  <c r="O134" i="7"/>
  <c r="N134" i="7"/>
  <c r="M134" i="7"/>
  <c r="L134" i="7"/>
  <c r="K134" i="7"/>
  <c r="J134" i="7"/>
  <c r="I134" i="7"/>
  <c r="H134" i="7"/>
  <c r="Q133" i="7"/>
  <c r="P133" i="7"/>
  <c r="O133" i="7"/>
  <c r="N133" i="7"/>
  <c r="M133" i="7"/>
  <c r="L133" i="7"/>
  <c r="K133" i="7"/>
  <c r="J133" i="7"/>
  <c r="I133" i="7"/>
  <c r="H133" i="7"/>
  <c r="Q132" i="7"/>
  <c r="P132" i="7"/>
  <c r="O132" i="7"/>
  <c r="N132" i="7"/>
  <c r="M132" i="7"/>
  <c r="L132" i="7"/>
  <c r="K132" i="7"/>
  <c r="J132" i="7"/>
  <c r="I132" i="7"/>
  <c r="H132" i="7"/>
  <c r="Q131" i="7"/>
  <c r="P131" i="7"/>
  <c r="O131" i="7"/>
  <c r="N131" i="7"/>
  <c r="M131" i="7"/>
  <c r="L131" i="7"/>
  <c r="K131" i="7"/>
  <c r="J131" i="7"/>
  <c r="I131" i="7"/>
  <c r="H131" i="7"/>
  <c r="Q130" i="7"/>
  <c r="P130" i="7"/>
  <c r="O130" i="7"/>
  <c r="N130" i="7"/>
  <c r="M130" i="7"/>
  <c r="L130" i="7"/>
  <c r="K130" i="7"/>
  <c r="J130" i="7"/>
  <c r="I130" i="7"/>
  <c r="H130" i="7"/>
  <c r="Q129" i="7"/>
  <c r="P129" i="7"/>
  <c r="O129" i="7"/>
  <c r="N129" i="7"/>
  <c r="M129" i="7"/>
  <c r="L129" i="7"/>
  <c r="K129" i="7"/>
  <c r="J129" i="7"/>
  <c r="I129" i="7"/>
  <c r="H129" i="7"/>
  <c r="Q128" i="7"/>
  <c r="P128" i="7"/>
  <c r="O128" i="7"/>
  <c r="N128" i="7"/>
  <c r="M128" i="7"/>
  <c r="L128" i="7"/>
  <c r="K128" i="7"/>
  <c r="J128" i="7"/>
  <c r="I128" i="7"/>
  <c r="H128" i="7"/>
  <c r="Q127" i="7"/>
  <c r="P127" i="7"/>
  <c r="O127" i="7"/>
  <c r="N127" i="7"/>
  <c r="M127" i="7"/>
  <c r="L127" i="7"/>
  <c r="K127" i="7"/>
  <c r="J127" i="7"/>
  <c r="I127" i="7"/>
  <c r="H127" i="7"/>
  <c r="Q126" i="7"/>
  <c r="P126" i="7"/>
  <c r="O126" i="7"/>
  <c r="N126" i="7"/>
  <c r="M126" i="7"/>
  <c r="L126" i="7"/>
  <c r="K126" i="7"/>
  <c r="J126" i="7"/>
  <c r="I126" i="7"/>
  <c r="H126" i="7"/>
  <c r="Q125" i="7"/>
  <c r="P125" i="7"/>
  <c r="O125" i="7"/>
  <c r="N125" i="7"/>
  <c r="M125" i="7"/>
  <c r="L125" i="7"/>
  <c r="K125" i="7"/>
  <c r="J125" i="7"/>
  <c r="I125" i="7"/>
  <c r="H125" i="7"/>
  <c r="Q124" i="7"/>
  <c r="P124" i="7"/>
  <c r="O124" i="7"/>
  <c r="N124" i="7"/>
  <c r="M124" i="7"/>
  <c r="L124" i="7"/>
  <c r="K124" i="7"/>
  <c r="J124" i="7"/>
  <c r="I124" i="7"/>
  <c r="H124" i="7"/>
  <c r="Q123" i="7"/>
  <c r="P123" i="7"/>
  <c r="O123" i="7"/>
  <c r="N123" i="7"/>
  <c r="M123" i="7"/>
  <c r="L123" i="7"/>
  <c r="K123" i="7"/>
  <c r="J123" i="7"/>
  <c r="I123" i="7"/>
  <c r="H123" i="7"/>
  <c r="Q122" i="7"/>
  <c r="P122" i="7"/>
  <c r="O122" i="7"/>
  <c r="N122" i="7"/>
  <c r="M122" i="7"/>
  <c r="L122" i="7"/>
  <c r="K122" i="7"/>
  <c r="J122" i="7"/>
  <c r="I122" i="7"/>
  <c r="H122" i="7"/>
  <c r="Q121" i="7"/>
  <c r="P121" i="7"/>
  <c r="O121" i="7"/>
  <c r="N121" i="7"/>
  <c r="M121" i="7"/>
  <c r="L121" i="7"/>
  <c r="K121" i="7"/>
  <c r="J121" i="7"/>
  <c r="I121" i="7"/>
  <c r="H121" i="7"/>
  <c r="Q120" i="7"/>
  <c r="P120" i="7"/>
  <c r="O120" i="7"/>
  <c r="N120" i="7"/>
  <c r="M120" i="7"/>
  <c r="L120" i="7"/>
  <c r="K120" i="7"/>
  <c r="J120" i="7"/>
  <c r="I120" i="7"/>
  <c r="H120" i="7"/>
  <c r="Q119" i="7"/>
  <c r="P119" i="7"/>
  <c r="O119" i="7"/>
  <c r="N119" i="7"/>
  <c r="M119" i="7"/>
  <c r="L119" i="7"/>
  <c r="K119" i="7"/>
  <c r="J119" i="7"/>
  <c r="I119" i="7"/>
  <c r="H119" i="7"/>
  <c r="Q118" i="7"/>
  <c r="P118" i="7"/>
  <c r="O118" i="7"/>
  <c r="N118" i="7"/>
  <c r="M118" i="7"/>
  <c r="L118" i="7"/>
  <c r="K118" i="7"/>
  <c r="J118" i="7"/>
  <c r="I118" i="7"/>
  <c r="H118" i="7"/>
  <c r="Q117" i="7"/>
  <c r="P117" i="7"/>
  <c r="O117" i="7"/>
  <c r="N117" i="7"/>
  <c r="M117" i="7"/>
  <c r="L117" i="7"/>
  <c r="K117" i="7"/>
  <c r="J117" i="7"/>
  <c r="I117" i="7"/>
  <c r="H117" i="7"/>
  <c r="Q116" i="7"/>
  <c r="P116" i="7"/>
  <c r="O116" i="7"/>
  <c r="N116" i="7"/>
  <c r="M116" i="7"/>
  <c r="L116" i="7"/>
  <c r="K116" i="7"/>
  <c r="J116" i="7"/>
  <c r="I116" i="7"/>
  <c r="H116" i="7"/>
  <c r="Q172" i="7"/>
  <c r="P172" i="7"/>
  <c r="O172" i="7"/>
  <c r="N172" i="7"/>
  <c r="M172" i="7"/>
  <c r="L172" i="7"/>
  <c r="K172" i="7"/>
  <c r="J172" i="7"/>
  <c r="I172" i="7"/>
  <c r="H172" i="7"/>
  <c r="Q171" i="7"/>
  <c r="P171" i="7"/>
  <c r="O171" i="7"/>
  <c r="N171" i="7"/>
  <c r="M171" i="7"/>
  <c r="L171" i="7"/>
  <c r="K171" i="7"/>
  <c r="J171" i="7"/>
  <c r="I171" i="7"/>
  <c r="H171" i="7"/>
  <c r="Q170" i="7"/>
  <c r="P170" i="7"/>
  <c r="O170" i="7"/>
  <c r="N170" i="7"/>
  <c r="M170" i="7"/>
  <c r="L170" i="7"/>
  <c r="K170" i="7"/>
  <c r="J170" i="7"/>
  <c r="I170" i="7"/>
  <c r="H170" i="7"/>
  <c r="Q169" i="7"/>
  <c r="P169" i="7"/>
  <c r="O169" i="7"/>
  <c r="N169" i="7"/>
  <c r="M169" i="7"/>
  <c r="L169" i="7"/>
  <c r="K169" i="7"/>
  <c r="J169" i="7"/>
  <c r="I169" i="7"/>
  <c r="H169" i="7"/>
  <c r="Q168" i="7"/>
  <c r="P168" i="7"/>
  <c r="O168" i="7"/>
  <c r="N168" i="7"/>
  <c r="M168" i="7"/>
  <c r="L168" i="7"/>
  <c r="K168" i="7"/>
  <c r="J168" i="7"/>
  <c r="I168" i="7"/>
  <c r="H168" i="7"/>
  <c r="Q167" i="7"/>
  <c r="P167" i="7"/>
  <c r="O167" i="7"/>
  <c r="N167" i="7"/>
  <c r="M167" i="7"/>
  <c r="L167" i="7"/>
  <c r="K167" i="7"/>
  <c r="J167" i="7"/>
  <c r="I167" i="7"/>
  <c r="H167" i="7"/>
  <c r="Q166" i="7"/>
  <c r="P166" i="7"/>
  <c r="O166" i="7"/>
  <c r="N166" i="7"/>
  <c r="M166" i="7"/>
  <c r="L166" i="7"/>
  <c r="K166" i="7"/>
  <c r="J166" i="7"/>
  <c r="I166" i="7"/>
  <c r="H166" i="7"/>
  <c r="Q165" i="7"/>
  <c r="P165" i="7"/>
  <c r="O165" i="7"/>
  <c r="N165" i="7"/>
  <c r="M165" i="7"/>
  <c r="L165" i="7"/>
  <c r="K165" i="7"/>
  <c r="J165" i="7"/>
  <c r="I165" i="7"/>
  <c r="H165" i="7"/>
  <c r="Q164" i="7"/>
  <c r="P164" i="7"/>
  <c r="O164" i="7"/>
  <c r="N164" i="7"/>
  <c r="M164" i="7"/>
  <c r="L164" i="7"/>
  <c r="K164" i="7"/>
  <c r="J164" i="7"/>
  <c r="I164" i="7"/>
  <c r="H164" i="7"/>
  <c r="Q163" i="7"/>
  <c r="P163" i="7"/>
  <c r="O163" i="7"/>
  <c r="N163" i="7"/>
  <c r="M163" i="7"/>
  <c r="L163" i="7"/>
  <c r="K163" i="7"/>
  <c r="J163" i="7"/>
  <c r="I163" i="7"/>
  <c r="H163" i="7"/>
  <c r="Q162" i="7"/>
  <c r="P162" i="7"/>
  <c r="O162" i="7"/>
  <c r="N162" i="7"/>
  <c r="M162" i="7"/>
  <c r="L162" i="7"/>
  <c r="K162" i="7"/>
  <c r="J162" i="7"/>
  <c r="I162" i="7"/>
  <c r="H162" i="7"/>
  <c r="Q161" i="7"/>
  <c r="P161" i="7"/>
  <c r="O161" i="7"/>
  <c r="N161" i="7"/>
  <c r="M161" i="7"/>
  <c r="L161" i="7"/>
  <c r="K161" i="7"/>
  <c r="J161" i="7"/>
  <c r="I161" i="7"/>
  <c r="H161" i="7"/>
  <c r="Q160" i="7"/>
  <c r="P160" i="7"/>
  <c r="O160" i="7"/>
  <c r="N160" i="7"/>
  <c r="M160" i="7"/>
  <c r="L160" i="7"/>
  <c r="K160" i="7"/>
  <c r="J160" i="7"/>
  <c r="I160" i="7"/>
  <c r="H160" i="7"/>
  <c r="Q159" i="7"/>
  <c r="P159" i="7"/>
  <c r="O159" i="7"/>
  <c r="N159" i="7"/>
  <c r="M159" i="7"/>
  <c r="L159" i="7"/>
  <c r="K159" i="7"/>
  <c r="J159" i="7"/>
  <c r="I159" i="7"/>
  <c r="H159" i="7"/>
  <c r="Q158" i="7"/>
  <c r="P158" i="7"/>
  <c r="O158" i="7"/>
  <c r="N158" i="7"/>
  <c r="M158" i="7"/>
  <c r="L158" i="7"/>
  <c r="K158" i="7"/>
  <c r="J158" i="7"/>
  <c r="I158" i="7"/>
  <c r="H158" i="7"/>
  <c r="Q157" i="7"/>
  <c r="P157" i="7"/>
  <c r="O157" i="7"/>
  <c r="N157" i="7"/>
  <c r="M157" i="7"/>
  <c r="L157" i="7"/>
  <c r="K157" i="7"/>
  <c r="J157" i="7"/>
  <c r="I157" i="7"/>
  <c r="H157" i="7"/>
  <c r="Q156" i="7"/>
  <c r="P156" i="7"/>
  <c r="O156" i="7"/>
  <c r="N156" i="7"/>
  <c r="M156" i="7"/>
  <c r="L156" i="7"/>
  <c r="K156" i="7"/>
  <c r="J156" i="7"/>
  <c r="I156" i="7"/>
  <c r="H156" i="7"/>
  <c r="Q155" i="7"/>
  <c r="P155" i="7"/>
  <c r="O155" i="7"/>
  <c r="N155" i="7"/>
  <c r="M155" i="7"/>
  <c r="L155" i="7"/>
  <c r="K155" i="7"/>
  <c r="J155" i="7"/>
  <c r="I155" i="7"/>
  <c r="H155" i="7"/>
  <c r="Q154" i="7"/>
  <c r="P154" i="7"/>
  <c r="O154" i="7"/>
  <c r="N154" i="7"/>
  <c r="M154" i="7"/>
  <c r="L154" i="7"/>
  <c r="K154" i="7"/>
  <c r="J154" i="7"/>
  <c r="I154" i="7"/>
  <c r="H154" i="7"/>
  <c r="Q153" i="7"/>
  <c r="P153" i="7"/>
  <c r="O153" i="7"/>
  <c r="N153" i="7"/>
  <c r="M153" i="7"/>
  <c r="L153" i="7"/>
  <c r="K153" i="7"/>
  <c r="J153" i="7"/>
  <c r="I153" i="7"/>
  <c r="H153" i="7"/>
  <c r="Q152" i="7"/>
  <c r="P152" i="7"/>
  <c r="O152" i="7"/>
  <c r="N152" i="7"/>
  <c r="M152" i="7"/>
  <c r="L152" i="7"/>
  <c r="K152" i="7"/>
  <c r="J152" i="7"/>
  <c r="I152" i="7"/>
  <c r="H152" i="7"/>
  <c r="Q151" i="7"/>
  <c r="P151" i="7"/>
  <c r="O151" i="7"/>
  <c r="N151" i="7"/>
  <c r="M151" i="7"/>
  <c r="L151" i="7"/>
  <c r="K151" i="7"/>
  <c r="J151" i="7"/>
  <c r="I151" i="7"/>
  <c r="H151" i="7"/>
  <c r="Q150" i="7"/>
  <c r="P150" i="7"/>
  <c r="O150" i="7"/>
  <c r="N150" i="7"/>
  <c r="M150" i="7"/>
  <c r="L150" i="7"/>
  <c r="K150" i="7"/>
  <c r="J150" i="7"/>
  <c r="I150" i="7"/>
  <c r="H150" i="7"/>
  <c r="Q149" i="7"/>
  <c r="P149" i="7"/>
  <c r="O149" i="7"/>
  <c r="N149" i="7"/>
  <c r="M149" i="7"/>
  <c r="L149" i="7"/>
  <c r="K149" i="7"/>
  <c r="J149" i="7"/>
  <c r="I149" i="7"/>
  <c r="H149" i="7"/>
  <c r="Q148" i="7"/>
  <c r="P148" i="7"/>
  <c r="O148" i="7"/>
  <c r="N148" i="7"/>
  <c r="M148" i="7"/>
  <c r="L148" i="7"/>
  <c r="K148" i="7"/>
  <c r="J148" i="7"/>
  <c r="I148" i="7"/>
  <c r="H148" i="7"/>
  <c r="Q147" i="7"/>
  <c r="P147" i="7"/>
  <c r="O147" i="7"/>
  <c r="N147" i="7"/>
  <c r="M147" i="7"/>
  <c r="L147" i="7"/>
  <c r="K147" i="7"/>
  <c r="J147" i="7"/>
  <c r="I147" i="7"/>
  <c r="H147" i="7"/>
  <c r="Q146" i="7"/>
  <c r="P146" i="7"/>
  <c r="O146" i="7"/>
  <c r="N146" i="7"/>
  <c r="M146" i="7"/>
  <c r="L146" i="7"/>
  <c r="K146" i="7"/>
  <c r="J146" i="7"/>
  <c r="I146" i="7"/>
  <c r="H146" i="7"/>
  <c r="Q145" i="7"/>
  <c r="P145" i="7"/>
  <c r="O145" i="7"/>
  <c r="N145" i="7"/>
  <c r="M145" i="7"/>
  <c r="L145" i="7"/>
  <c r="K145" i="7"/>
  <c r="J145" i="7"/>
  <c r="I145" i="7"/>
  <c r="H145" i="7"/>
  <c r="Q144" i="7"/>
  <c r="P144" i="7"/>
  <c r="O144" i="7"/>
  <c r="N144" i="7"/>
  <c r="M144" i="7"/>
  <c r="L144" i="7"/>
  <c r="K144" i="7"/>
  <c r="J144" i="7"/>
  <c r="I144" i="7"/>
  <c r="H144" i="7"/>
  <c r="Q143" i="7"/>
  <c r="P143" i="7"/>
  <c r="O143" i="7"/>
  <c r="N143" i="7"/>
  <c r="M143" i="7"/>
  <c r="L143" i="7"/>
  <c r="K143" i="7"/>
  <c r="J143" i="7"/>
  <c r="I143" i="7"/>
  <c r="H143" i="7"/>
  <c r="Q142" i="7"/>
  <c r="P142" i="7"/>
  <c r="O142" i="7"/>
  <c r="N142" i="7"/>
  <c r="M142" i="7"/>
  <c r="L142" i="7"/>
  <c r="K142" i="7"/>
  <c r="J142" i="7"/>
  <c r="I142" i="7"/>
  <c r="H142" i="7"/>
  <c r="Q141" i="7"/>
  <c r="P141" i="7"/>
  <c r="O141" i="7"/>
  <c r="N141" i="7"/>
  <c r="M141" i="7"/>
  <c r="L141" i="7"/>
  <c r="K141" i="7"/>
  <c r="J141" i="7"/>
  <c r="I141" i="7"/>
  <c r="H141" i="7"/>
  <c r="Q140" i="7"/>
  <c r="P140" i="7"/>
  <c r="O140" i="7"/>
  <c r="N140" i="7"/>
  <c r="M140" i="7"/>
  <c r="L140" i="7"/>
  <c r="K140" i="7"/>
  <c r="J140" i="7"/>
  <c r="I140" i="7"/>
  <c r="H140" i="7"/>
  <c r="Q139" i="7"/>
  <c r="P139" i="7"/>
  <c r="O139" i="7"/>
  <c r="N139" i="7"/>
  <c r="M139" i="7"/>
  <c r="L139" i="7"/>
  <c r="K139" i="7"/>
  <c r="J139" i="7"/>
  <c r="I139" i="7"/>
  <c r="H139" i="7"/>
  <c r="Q138" i="7"/>
  <c r="P138" i="7"/>
  <c r="O138" i="7"/>
  <c r="N138" i="7"/>
  <c r="M138" i="7"/>
  <c r="L138" i="7"/>
  <c r="K138" i="7"/>
  <c r="J138" i="7"/>
  <c r="I138" i="7"/>
  <c r="H138" i="7"/>
  <c r="Q137" i="7"/>
  <c r="P137" i="7"/>
  <c r="O137" i="7"/>
  <c r="N137" i="7"/>
  <c r="M137" i="7"/>
  <c r="L137" i="7"/>
  <c r="K137" i="7"/>
  <c r="J137" i="7"/>
  <c r="I137" i="7"/>
  <c r="H137" i="7"/>
  <c r="Q136" i="7"/>
  <c r="P136" i="7"/>
  <c r="O136" i="7"/>
  <c r="N136" i="7"/>
  <c r="M136" i="7"/>
  <c r="L136" i="7"/>
  <c r="K136" i="7"/>
  <c r="J136" i="7"/>
  <c r="I136" i="7"/>
  <c r="H136" i="7"/>
  <c r="Q135" i="7"/>
  <c r="P135" i="7"/>
  <c r="O135" i="7"/>
  <c r="N135" i="7"/>
  <c r="M135" i="7"/>
  <c r="L135" i="7"/>
  <c r="K135" i="7"/>
  <c r="J135" i="7"/>
  <c r="I135" i="7"/>
  <c r="H135" i="7"/>
  <c r="Q419" i="7"/>
  <c r="P419" i="7"/>
  <c r="O419" i="7"/>
  <c r="N419" i="7"/>
  <c r="M419" i="7"/>
  <c r="L419" i="7"/>
  <c r="K419" i="7"/>
  <c r="J419" i="7"/>
  <c r="I419" i="7"/>
  <c r="H419" i="7"/>
  <c r="Q418" i="7"/>
  <c r="P418" i="7"/>
  <c r="O418" i="7"/>
  <c r="N418" i="7"/>
  <c r="M418" i="7"/>
  <c r="L418" i="7"/>
  <c r="K418" i="7"/>
  <c r="J418" i="7"/>
  <c r="I418" i="7"/>
  <c r="H418" i="7"/>
  <c r="Q417" i="7"/>
  <c r="P417" i="7"/>
  <c r="O417" i="7"/>
  <c r="N417" i="7"/>
  <c r="M417" i="7"/>
  <c r="L417" i="7"/>
  <c r="K417" i="7"/>
  <c r="J417" i="7"/>
  <c r="I417" i="7"/>
  <c r="H417" i="7"/>
  <c r="Q416" i="7"/>
  <c r="P416" i="7"/>
  <c r="O416" i="7"/>
  <c r="N416" i="7"/>
  <c r="M416" i="7"/>
  <c r="L416" i="7"/>
  <c r="K416" i="7"/>
  <c r="J416" i="7"/>
  <c r="I416" i="7"/>
  <c r="H416" i="7"/>
  <c r="Q415" i="7"/>
  <c r="P415" i="7"/>
  <c r="O415" i="7"/>
  <c r="N415" i="7"/>
  <c r="M415" i="7"/>
  <c r="L415" i="7"/>
  <c r="K415" i="7"/>
  <c r="J415" i="7"/>
  <c r="I415" i="7"/>
  <c r="H415" i="7"/>
  <c r="Q414" i="7"/>
  <c r="P414" i="7"/>
  <c r="O414" i="7"/>
  <c r="N414" i="7"/>
  <c r="M414" i="7"/>
  <c r="L414" i="7"/>
  <c r="K414" i="7"/>
  <c r="J414" i="7"/>
  <c r="I414" i="7"/>
  <c r="H414" i="7"/>
  <c r="Q413" i="7"/>
  <c r="P413" i="7"/>
  <c r="O413" i="7"/>
  <c r="N413" i="7"/>
  <c r="M413" i="7"/>
  <c r="L413" i="7"/>
  <c r="K413" i="7"/>
  <c r="J413" i="7"/>
  <c r="I413" i="7"/>
  <c r="H413" i="7"/>
  <c r="Q412" i="7"/>
  <c r="P412" i="7"/>
  <c r="O412" i="7"/>
  <c r="N412" i="7"/>
  <c r="M412" i="7"/>
  <c r="L412" i="7"/>
  <c r="K412" i="7"/>
  <c r="J412" i="7"/>
  <c r="I412" i="7"/>
  <c r="H412" i="7"/>
  <c r="Q411" i="7"/>
  <c r="P411" i="7"/>
  <c r="O411" i="7"/>
  <c r="N411" i="7"/>
  <c r="M411" i="7"/>
  <c r="L411" i="7"/>
  <c r="K411" i="7"/>
  <c r="J411" i="7"/>
  <c r="I411" i="7"/>
  <c r="H411" i="7"/>
  <c r="Q410" i="7"/>
  <c r="P410" i="7"/>
  <c r="O410" i="7"/>
  <c r="N410" i="7"/>
  <c r="M410" i="7"/>
  <c r="L410" i="7"/>
  <c r="K410" i="7"/>
  <c r="J410" i="7"/>
  <c r="I410" i="7"/>
  <c r="H410" i="7"/>
  <c r="Q409" i="7"/>
  <c r="P409" i="7"/>
  <c r="O409" i="7"/>
  <c r="N409" i="7"/>
  <c r="M409" i="7"/>
  <c r="L409" i="7"/>
  <c r="K409" i="7"/>
  <c r="J409" i="7"/>
  <c r="I409" i="7"/>
  <c r="H409" i="7"/>
  <c r="Q408" i="7"/>
  <c r="P408" i="7"/>
  <c r="O408" i="7"/>
  <c r="N408" i="7"/>
  <c r="M408" i="7"/>
  <c r="L408" i="7"/>
  <c r="K408" i="7"/>
  <c r="J408" i="7"/>
  <c r="I408" i="7"/>
  <c r="H408" i="7"/>
  <c r="Q407" i="7"/>
  <c r="P407" i="7"/>
  <c r="O407" i="7"/>
  <c r="N407" i="7"/>
  <c r="M407" i="7"/>
  <c r="L407" i="7"/>
  <c r="K407" i="7"/>
  <c r="J407" i="7"/>
  <c r="I407" i="7"/>
  <c r="H407" i="7"/>
  <c r="Q406" i="7"/>
  <c r="P406" i="7"/>
  <c r="O406" i="7"/>
  <c r="N406" i="7"/>
  <c r="M406" i="7"/>
  <c r="L406" i="7"/>
  <c r="K406" i="7"/>
  <c r="J406" i="7"/>
  <c r="I406" i="7"/>
  <c r="H406" i="7"/>
  <c r="Q405" i="7"/>
  <c r="P405" i="7"/>
  <c r="O405" i="7"/>
  <c r="N405" i="7"/>
  <c r="M405" i="7"/>
  <c r="L405" i="7"/>
  <c r="K405" i="7"/>
  <c r="J405" i="7"/>
  <c r="I405" i="7"/>
  <c r="H405" i="7"/>
  <c r="Q404" i="7"/>
  <c r="P404" i="7"/>
  <c r="O404" i="7"/>
  <c r="N404" i="7"/>
  <c r="M404" i="7"/>
  <c r="L404" i="7"/>
  <c r="K404" i="7"/>
  <c r="J404" i="7"/>
  <c r="I404" i="7"/>
  <c r="H404" i="7"/>
  <c r="Q403" i="7"/>
  <c r="P403" i="7"/>
  <c r="O403" i="7"/>
  <c r="N403" i="7"/>
  <c r="M403" i="7"/>
  <c r="L403" i="7"/>
  <c r="K403" i="7"/>
  <c r="J403" i="7"/>
  <c r="I403" i="7"/>
  <c r="H403" i="7"/>
  <c r="Q402" i="7"/>
  <c r="P402" i="7"/>
  <c r="O402" i="7"/>
  <c r="N402" i="7"/>
  <c r="M402" i="7"/>
  <c r="L402" i="7"/>
  <c r="K402" i="7"/>
  <c r="J402" i="7"/>
  <c r="I402" i="7"/>
  <c r="H402" i="7"/>
  <c r="Q401" i="7"/>
  <c r="P401" i="7"/>
  <c r="O401" i="7"/>
  <c r="N401" i="7"/>
  <c r="M401" i="7"/>
  <c r="L401" i="7"/>
  <c r="K401" i="7"/>
  <c r="J401" i="7"/>
  <c r="I401" i="7"/>
  <c r="H401" i="7"/>
  <c r="Q400" i="7"/>
  <c r="P400" i="7"/>
  <c r="O400" i="7"/>
  <c r="N400" i="7"/>
  <c r="M400" i="7"/>
  <c r="L400" i="7"/>
  <c r="K400" i="7"/>
  <c r="J400" i="7"/>
  <c r="I400" i="7"/>
  <c r="H400" i="7"/>
  <c r="Q399" i="7"/>
  <c r="P399" i="7"/>
  <c r="O399" i="7"/>
  <c r="N399" i="7"/>
  <c r="M399" i="7"/>
  <c r="L399" i="7"/>
  <c r="K399" i="7"/>
  <c r="J399" i="7"/>
  <c r="I399" i="7"/>
  <c r="H399" i="7"/>
  <c r="Q398" i="7"/>
  <c r="P398" i="7"/>
  <c r="O398" i="7"/>
  <c r="N398" i="7"/>
  <c r="M398" i="7"/>
  <c r="L398" i="7"/>
  <c r="K398" i="7"/>
  <c r="J398" i="7"/>
  <c r="I398" i="7"/>
  <c r="H398" i="7"/>
  <c r="Q397" i="7"/>
  <c r="P397" i="7"/>
  <c r="O397" i="7"/>
  <c r="N397" i="7"/>
  <c r="M397" i="7"/>
  <c r="L397" i="7"/>
  <c r="K397" i="7"/>
  <c r="J397" i="7"/>
  <c r="I397" i="7"/>
  <c r="H397" i="7"/>
  <c r="Q396" i="7"/>
  <c r="P396" i="7"/>
  <c r="O396" i="7"/>
  <c r="N396" i="7"/>
  <c r="M396" i="7"/>
  <c r="L396" i="7"/>
  <c r="K396" i="7"/>
  <c r="J396" i="7"/>
  <c r="I396" i="7"/>
  <c r="H396" i="7"/>
  <c r="Q395" i="7"/>
  <c r="P395" i="7"/>
  <c r="O395" i="7"/>
  <c r="N395" i="7"/>
  <c r="M395" i="7"/>
  <c r="L395" i="7"/>
  <c r="K395" i="7"/>
  <c r="J395" i="7"/>
  <c r="I395" i="7"/>
  <c r="H395" i="7"/>
  <c r="Q394" i="7"/>
  <c r="P394" i="7"/>
  <c r="O394" i="7"/>
  <c r="N394" i="7"/>
  <c r="M394" i="7"/>
  <c r="L394" i="7"/>
  <c r="K394" i="7"/>
  <c r="J394" i="7"/>
  <c r="I394" i="7"/>
  <c r="H394" i="7"/>
  <c r="Q393" i="7"/>
  <c r="P393" i="7"/>
  <c r="O393" i="7"/>
  <c r="N393" i="7"/>
  <c r="M393" i="7"/>
  <c r="L393" i="7"/>
  <c r="K393" i="7"/>
  <c r="J393" i="7"/>
  <c r="I393" i="7"/>
  <c r="H393" i="7"/>
  <c r="Q392" i="7"/>
  <c r="P392" i="7"/>
  <c r="O392" i="7"/>
  <c r="N392" i="7"/>
  <c r="M392" i="7"/>
  <c r="L392" i="7"/>
  <c r="K392" i="7"/>
  <c r="J392" i="7"/>
  <c r="I392" i="7"/>
  <c r="H392" i="7"/>
  <c r="Q391" i="7"/>
  <c r="P391" i="7"/>
  <c r="O391" i="7"/>
  <c r="N391" i="7"/>
  <c r="M391" i="7"/>
  <c r="L391" i="7"/>
  <c r="K391" i="7"/>
  <c r="J391" i="7"/>
  <c r="I391" i="7"/>
  <c r="H391" i="7"/>
  <c r="Q390" i="7"/>
  <c r="P390" i="7"/>
  <c r="O390" i="7"/>
  <c r="N390" i="7"/>
  <c r="M390" i="7"/>
  <c r="L390" i="7"/>
  <c r="K390" i="7"/>
  <c r="J390" i="7"/>
  <c r="I390" i="7"/>
  <c r="H390" i="7"/>
  <c r="Q389" i="7"/>
  <c r="P389" i="7"/>
  <c r="O389" i="7"/>
  <c r="N389" i="7"/>
  <c r="M389" i="7"/>
  <c r="L389" i="7"/>
  <c r="K389" i="7"/>
  <c r="J389" i="7"/>
  <c r="I389" i="7"/>
  <c r="H389" i="7"/>
  <c r="Q388" i="7"/>
  <c r="P388" i="7"/>
  <c r="O388" i="7"/>
  <c r="N388" i="7"/>
  <c r="M388" i="7"/>
  <c r="L388" i="7"/>
  <c r="K388" i="7"/>
  <c r="J388" i="7"/>
  <c r="I388" i="7"/>
  <c r="H388" i="7"/>
  <c r="Q387" i="7"/>
  <c r="P387" i="7"/>
  <c r="O387" i="7"/>
  <c r="N387" i="7"/>
  <c r="M387" i="7"/>
  <c r="L387" i="7"/>
  <c r="K387" i="7"/>
  <c r="J387" i="7"/>
  <c r="I387" i="7"/>
  <c r="H387" i="7"/>
  <c r="Q386" i="7"/>
  <c r="P386" i="7"/>
  <c r="O386" i="7"/>
  <c r="N386" i="7"/>
  <c r="M386" i="7"/>
  <c r="L386" i="7"/>
  <c r="K386" i="7"/>
  <c r="J386" i="7"/>
  <c r="I386" i="7"/>
  <c r="H386" i="7"/>
  <c r="Q385" i="7"/>
  <c r="P385" i="7"/>
  <c r="O385" i="7"/>
  <c r="N385" i="7"/>
  <c r="M385" i="7"/>
  <c r="L385" i="7"/>
  <c r="K385" i="7"/>
  <c r="J385" i="7"/>
  <c r="I385" i="7"/>
  <c r="H385" i="7"/>
  <c r="Q384" i="7"/>
  <c r="P384" i="7"/>
  <c r="O384" i="7"/>
  <c r="N384" i="7"/>
  <c r="M384" i="7"/>
  <c r="L384" i="7"/>
  <c r="K384" i="7"/>
  <c r="J384" i="7"/>
  <c r="I384" i="7"/>
  <c r="H384" i="7"/>
  <c r="Q383" i="7"/>
  <c r="P383" i="7"/>
  <c r="O383" i="7"/>
  <c r="N383" i="7"/>
  <c r="M383" i="7"/>
  <c r="L383" i="7"/>
  <c r="K383" i="7"/>
  <c r="J383" i="7"/>
  <c r="I383" i="7"/>
  <c r="H383" i="7"/>
  <c r="Q382" i="7"/>
  <c r="P382" i="7"/>
  <c r="O382" i="7"/>
  <c r="N382" i="7"/>
  <c r="M382" i="7"/>
  <c r="L382" i="7"/>
  <c r="K382" i="7"/>
  <c r="J382" i="7"/>
  <c r="I382" i="7"/>
  <c r="H382" i="7"/>
  <c r="Q457" i="7"/>
  <c r="P457" i="7"/>
  <c r="O457" i="7"/>
  <c r="N457" i="7"/>
  <c r="M457" i="7"/>
  <c r="L457" i="7"/>
  <c r="K457" i="7"/>
  <c r="J457" i="7"/>
  <c r="I457" i="7"/>
  <c r="H457" i="7"/>
  <c r="Q456" i="7"/>
  <c r="P456" i="7"/>
  <c r="O456" i="7"/>
  <c r="N456" i="7"/>
  <c r="M456" i="7"/>
  <c r="L456" i="7"/>
  <c r="K456" i="7"/>
  <c r="J456" i="7"/>
  <c r="I456" i="7"/>
  <c r="H456" i="7"/>
  <c r="Q455" i="7"/>
  <c r="P455" i="7"/>
  <c r="O455" i="7"/>
  <c r="N455" i="7"/>
  <c r="M455" i="7"/>
  <c r="L455" i="7"/>
  <c r="K455" i="7"/>
  <c r="J455" i="7"/>
  <c r="I455" i="7"/>
  <c r="H455" i="7"/>
  <c r="Q454" i="7"/>
  <c r="P454" i="7"/>
  <c r="O454" i="7"/>
  <c r="N454" i="7"/>
  <c r="M454" i="7"/>
  <c r="L454" i="7"/>
  <c r="K454" i="7"/>
  <c r="J454" i="7"/>
  <c r="I454" i="7"/>
  <c r="H454" i="7"/>
  <c r="Q453" i="7"/>
  <c r="P453" i="7"/>
  <c r="O453" i="7"/>
  <c r="N453" i="7"/>
  <c r="M453" i="7"/>
  <c r="L453" i="7"/>
  <c r="K453" i="7"/>
  <c r="J453" i="7"/>
  <c r="I453" i="7"/>
  <c r="H453" i="7"/>
  <c r="Q452" i="7"/>
  <c r="P452" i="7"/>
  <c r="O452" i="7"/>
  <c r="N452" i="7"/>
  <c r="M452" i="7"/>
  <c r="L452" i="7"/>
  <c r="K452" i="7"/>
  <c r="J452" i="7"/>
  <c r="I452" i="7"/>
  <c r="H452" i="7"/>
  <c r="Q451" i="7"/>
  <c r="P451" i="7"/>
  <c r="O451" i="7"/>
  <c r="N451" i="7"/>
  <c r="M451" i="7"/>
  <c r="L451" i="7"/>
  <c r="K451" i="7"/>
  <c r="J451" i="7"/>
  <c r="I451" i="7"/>
  <c r="H451" i="7"/>
  <c r="Q450" i="7"/>
  <c r="P450" i="7"/>
  <c r="O450" i="7"/>
  <c r="N450" i="7"/>
  <c r="M450" i="7"/>
  <c r="L450" i="7"/>
  <c r="K450" i="7"/>
  <c r="J450" i="7"/>
  <c r="I450" i="7"/>
  <c r="H450" i="7"/>
  <c r="Q449" i="7"/>
  <c r="P449" i="7"/>
  <c r="O449" i="7"/>
  <c r="N449" i="7"/>
  <c r="M449" i="7"/>
  <c r="L449" i="7"/>
  <c r="K449" i="7"/>
  <c r="J449" i="7"/>
  <c r="I449" i="7"/>
  <c r="H449" i="7"/>
  <c r="Q448" i="7"/>
  <c r="P448" i="7"/>
  <c r="O448" i="7"/>
  <c r="N448" i="7"/>
  <c r="M448" i="7"/>
  <c r="L448" i="7"/>
  <c r="K448" i="7"/>
  <c r="J448" i="7"/>
  <c r="I448" i="7"/>
  <c r="H448" i="7"/>
  <c r="Q447" i="7"/>
  <c r="P447" i="7"/>
  <c r="O447" i="7"/>
  <c r="N447" i="7"/>
  <c r="M447" i="7"/>
  <c r="L447" i="7"/>
  <c r="K447" i="7"/>
  <c r="J447" i="7"/>
  <c r="I447" i="7"/>
  <c r="H447" i="7"/>
  <c r="Q446" i="7"/>
  <c r="P446" i="7"/>
  <c r="O446" i="7"/>
  <c r="N446" i="7"/>
  <c r="M446" i="7"/>
  <c r="L446" i="7"/>
  <c r="K446" i="7"/>
  <c r="J446" i="7"/>
  <c r="I446" i="7"/>
  <c r="H446" i="7"/>
  <c r="Q445" i="7"/>
  <c r="P445" i="7"/>
  <c r="O445" i="7"/>
  <c r="N445" i="7"/>
  <c r="M445" i="7"/>
  <c r="L445" i="7"/>
  <c r="K445" i="7"/>
  <c r="J445" i="7"/>
  <c r="I445" i="7"/>
  <c r="H445" i="7"/>
  <c r="Q444" i="7"/>
  <c r="P444" i="7"/>
  <c r="O444" i="7"/>
  <c r="N444" i="7"/>
  <c r="M444" i="7"/>
  <c r="L444" i="7"/>
  <c r="K444" i="7"/>
  <c r="J444" i="7"/>
  <c r="I444" i="7"/>
  <c r="H444" i="7"/>
  <c r="Q443" i="7"/>
  <c r="P443" i="7"/>
  <c r="O443" i="7"/>
  <c r="N443" i="7"/>
  <c r="M443" i="7"/>
  <c r="L443" i="7"/>
  <c r="K443" i="7"/>
  <c r="J443" i="7"/>
  <c r="I443" i="7"/>
  <c r="H443" i="7"/>
  <c r="Q442" i="7"/>
  <c r="P442" i="7"/>
  <c r="O442" i="7"/>
  <c r="N442" i="7"/>
  <c r="M442" i="7"/>
  <c r="L442" i="7"/>
  <c r="K442" i="7"/>
  <c r="J442" i="7"/>
  <c r="I442" i="7"/>
  <c r="H442" i="7"/>
  <c r="Q441" i="7"/>
  <c r="P441" i="7"/>
  <c r="O441" i="7"/>
  <c r="N441" i="7"/>
  <c r="M441" i="7"/>
  <c r="L441" i="7"/>
  <c r="K441" i="7"/>
  <c r="J441" i="7"/>
  <c r="I441" i="7"/>
  <c r="H441" i="7"/>
  <c r="Q440" i="7"/>
  <c r="P440" i="7"/>
  <c r="O440" i="7"/>
  <c r="N440" i="7"/>
  <c r="M440" i="7"/>
  <c r="L440" i="7"/>
  <c r="K440" i="7"/>
  <c r="J440" i="7"/>
  <c r="I440" i="7"/>
  <c r="H440" i="7"/>
  <c r="Q439" i="7"/>
  <c r="P439" i="7"/>
  <c r="O439" i="7"/>
  <c r="N439" i="7"/>
  <c r="M439" i="7"/>
  <c r="L439" i="7"/>
  <c r="K439" i="7"/>
  <c r="J439" i="7"/>
  <c r="I439" i="7"/>
  <c r="H439" i="7"/>
  <c r="Q96" i="7"/>
  <c r="P96" i="7"/>
  <c r="O96" i="7"/>
  <c r="N96" i="7"/>
  <c r="M96" i="7"/>
  <c r="L96" i="7"/>
  <c r="K96" i="7"/>
  <c r="J96" i="7"/>
  <c r="I96" i="7"/>
  <c r="H96" i="7"/>
  <c r="Q95" i="7"/>
  <c r="P95" i="7"/>
  <c r="O95" i="7"/>
  <c r="N95" i="7"/>
  <c r="M95" i="7"/>
  <c r="L95" i="7"/>
  <c r="K95" i="7"/>
  <c r="J95" i="7"/>
  <c r="I95" i="7"/>
  <c r="H95" i="7"/>
  <c r="Q94" i="7"/>
  <c r="P94" i="7"/>
  <c r="O94" i="7"/>
  <c r="N94" i="7"/>
  <c r="M94" i="7"/>
  <c r="L94" i="7"/>
  <c r="K94" i="7"/>
  <c r="J94" i="7"/>
  <c r="I94" i="7"/>
  <c r="H94" i="7"/>
  <c r="Q93" i="7"/>
  <c r="P93" i="7"/>
  <c r="O93" i="7"/>
  <c r="N93" i="7"/>
  <c r="M93" i="7"/>
  <c r="L93" i="7"/>
  <c r="K93" i="7"/>
  <c r="J93" i="7"/>
  <c r="I93" i="7"/>
  <c r="H93" i="7"/>
  <c r="Q92" i="7"/>
  <c r="P92" i="7"/>
  <c r="O92" i="7"/>
  <c r="N92" i="7"/>
  <c r="M92" i="7"/>
  <c r="L92" i="7"/>
  <c r="K92" i="7"/>
  <c r="J92" i="7"/>
  <c r="I92" i="7"/>
  <c r="H92" i="7"/>
  <c r="Q91" i="7"/>
  <c r="P91" i="7"/>
  <c r="O91" i="7"/>
  <c r="N91" i="7"/>
  <c r="M91" i="7"/>
  <c r="L91" i="7"/>
  <c r="K91" i="7"/>
  <c r="J91" i="7"/>
  <c r="I91" i="7"/>
  <c r="H91" i="7"/>
  <c r="Q90" i="7"/>
  <c r="P90" i="7"/>
  <c r="O90" i="7"/>
  <c r="N90" i="7"/>
  <c r="M90" i="7"/>
  <c r="L90" i="7"/>
  <c r="K90" i="7"/>
  <c r="J90" i="7"/>
  <c r="I90" i="7"/>
  <c r="H90" i="7"/>
  <c r="Q89" i="7"/>
  <c r="P89" i="7"/>
  <c r="O89" i="7"/>
  <c r="N89" i="7"/>
  <c r="M89" i="7"/>
  <c r="L89" i="7"/>
  <c r="K89" i="7"/>
  <c r="J89" i="7"/>
  <c r="I89" i="7"/>
  <c r="H89" i="7"/>
  <c r="Q88" i="7"/>
  <c r="P88" i="7"/>
  <c r="O88" i="7"/>
  <c r="N88" i="7"/>
  <c r="M88" i="7"/>
  <c r="L88" i="7"/>
  <c r="K88" i="7"/>
  <c r="J88" i="7"/>
  <c r="I88" i="7"/>
  <c r="H88" i="7"/>
  <c r="Q87" i="7"/>
  <c r="P87" i="7"/>
  <c r="O87" i="7"/>
  <c r="N87" i="7"/>
  <c r="M87" i="7"/>
  <c r="L87" i="7"/>
  <c r="K87" i="7"/>
  <c r="J87" i="7"/>
  <c r="I87" i="7"/>
  <c r="H87" i="7"/>
  <c r="Q86" i="7"/>
  <c r="P86" i="7"/>
  <c r="O86" i="7"/>
  <c r="N86" i="7"/>
  <c r="M86" i="7"/>
  <c r="L86" i="7"/>
  <c r="K86" i="7"/>
  <c r="J86" i="7"/>
  <c r="I86" i="7"/>
  <c r="H86" i="7"/>
  <c r="Q85" i="7"/>
  <c r="P85" i="7"/>
  <c r="O85" i="7"/>
  <c r="N85" i="7"/>
  <c r="M85" i="7"/>
  <c r="L85" i="7"/>
  <c r="K85" i="7"/>
  <c r="J85" i="7"/>
  <c r="I85" i="7"/>
  <c r="H85" i="7"/>
  <c r="Q84" i="7"/>
  <c r="P84" i="7"/>
  <c r="O84" i="7"/>
  <c r="N84" i="7"/>
  <c r="M84" i="7"/>
  <c r="L84" i="7"/>
  <c r="K84" i="7"/>
  <c r="J84" i="7"/>
  <c r="I84" i="7"/>
  <c r="H84" i="7"/>
  <c r="Q83" i="7"/>
  <c r="P83" i="7"/>
  <c r="O83" i="7"/>
  <c r="N83" i="7"/>
  <c r="M83" i="7"/>
  <c r="L83" i="7"/>
  <c r="K83" i="7"/>
  <c r="J83" i="7"/>
  <c r="I83" i="7"/>
  <c r="H83" i="7"/>
  <c r="Q82" i="7"/>
  <c r="P82" i="7"/>
  <c r="O82" i="7"/>
  <c r="N82" i="7"/>
  <c r="M82" i="7"/>
  <c r="L82" i="7"/>
  <c r="K82" i="7"/>
  <c r="J82" i="7"/>
  <c r="I82" i="7"/>
  <c r="H82" i="7"/>
  <c r="Q81" i="7"/>
  <c r="P81" i="7"/>
  <c r="O81" i="7"/>
  <c r="N81" i="7"/>
  <c r="M81" i="7"/>
  <c r="L81" i="7"/>
  <c r="K81" i="7"/>
  <c r="J81" i="7"/>
  <c r="I81" i="7"/>
  <c r="H81" i="7"/>
  <c r="Q80" i="7"/>
  <c r="P80" i="7"/>
  <c r="O80" i="7"/>
  <c r="N80" i="7"/>
  <c r="M80" i="7"/>
  <c r="L80" i="7"/>
  <c r="K80" i="7"/>
  <c r="J80" i="7"/>
  <c r="I80" i="7"/>
  <c r="H80" i="7"/>
  <c r="Q79" i="7"/>
  <c r="P79" i="7"/>
  <c r="O79" i="7"/>
  <c r="N79" i="7"/>
  <c r="M79" i="7"/>
  <c r="L79" i="7"/>
  <c r="K79" i="7"/>
  <c r="J79" i="7"/>
  <c r="I79" i="7"/>
  <c r="H79" i="7"/>
  <c r="Q78" i="7"/>
  <c r="P78" i="7"/>
  <c r="O78" i="7"/>
  <c r="N78" i="7"/>
  <c r="M78" i="7"/>
  <c r="L78" i="7"/>
  <c r="K78" i="7"/>
  <c r="J78" i="7"/>
  <c r="I78" i="7"/>
  <c r="H78" i="7"/>
  <c r="Q77" i="7"/>
  <c r="P77" i="7"/>
  <c r="O77" i="7"/>
  <c r="N77" i="7"/>
  <c r="M77" i="7"/>
  <c r="L77" i="7"/>
  <c r="K77" i="7"/>
  <c r="J77" i="7"/>
  <c r="I77" i="7"/>
  <c r="H77" i="7"/>
  <c r="Q76" i="7"/>
  <c r="P76" i="7"/>
  <c r="O76" i="7"/>
  <c r="N76" i="7"/>
  <c r="M76" i="7"/>
  <c r="L76" i="7"/>
  <c r="K76" i="7"/>
  <c r="J76" i="7"/>
  <c r="I76" i="7"/>
  <c r="H76" i="7"/>
  <c r="Q75" i="7"/>
  <c r="P75" i="7"/>
  <c r="O75" i="7"/>
  <c r="N75" i="7"/>
  <c r="M75" i="7"/>
  <c r="L75" i="7"/>
  <c r="K75" i="7"/>
  <c r="J75" i="7"/>
  <c r="I75" i="7"/>
  <c r="H75" i="7"/>
  <c r="Q74" i="7"/>
  <c r="P74" i="7"/>
  <c r="O74" i="7"/>
  <c r="N74" i="7"/>
  <c r="M74" i="7"/>
  <c r="L74" i="7"/>
  <c r="K74" i="7"/>
  <c r="J74" i="7"/>
  <c r="I74" i="7"/>
  <c r="H74" i="7"/>
  <c r="Q73" i="7"/>
  <c r="P73" i="7"/>
  <c r="O73" i="7"/>
  <c r="N73" i="7"/>
  <c r="M73" i="7"/>
  <c r="L73" i="7"/>
  <c r="K73" i="7"/>
  <c r="J73" i="7"/>
  <c r="I73" i="7"/>
  <c r="H73" i="7"/>
  <c r="Q72" i="7"/>
  <c r="P72" i="7"/>
  <c r="O72" i="7"/>
  <c r="N72" i="7"/>
  <c r="M72" i="7"/>
  <c r="L72" i="7"/>
  <c r="K72" i="7"/>
  <c r="J72" i="7"/>
  <c r="I72" i="7"/>
  <c r="H72" i="7"/>
  <c r="Q71" i="7"/>
  <c r="P71" i="7"/>
  <c r="O71" i="7"/>
  <c r="N71" i="7"/>
  <c r="M71" i="7"/>
  <c r="L71" i="7"/>
  <c r="K71" i="7"/>
  <c r="J71" i="7"/>
  <c r="I71" i="7"/>
  <c r="H71" i="7"/>
  <c r="Q70" i="7"/>
  <c r="P70" i="7"/>
  <c r="O70" i="7"/>
  <c r="N70" i="7"/>
  <c r="M70" i="7"/>
  <c r="L70" i="7"/>
  <c r="K70" i="7"/>
  <c r="J70" i="7"/>
  <c r="I70" i="7"/>
  <c r="H70" i="7"/>
  <c r="Q69" i="7"/>
  <c r="P69" i="7"/>
  <c r="O69" i="7"/>
  <c r="N69" i="7"/>
  <c r="M69" i="7"/>
  <c r="L69" i="7"/>
  <c r="K69" i="7"/>
  <c r="J69" i="7"/>
  <c r="I69" i="7"/>
  <c r="H69" i="7"/>
  <c r="Q68" i="7"/>
  <c r="P68" i="7"/>
  <c r="O68" i="7"/>
  <c r="N68" i="7"/>
  <c r="M68" i="7"/>
  <c r="L68" i="7"/>
  <c r="K68" i="7"/>
  <c r="J68" i="7"/>
  <c r="I68" i="7"/>
  <c r="H68" i="7"/>
  <c r="Q67" i="7"/>
  <c r="P67" i="7"/>
  <c r="O67" i="7"/>
  <c r="N67" i="7"/>
  <c r="M67" i="7"/>
  <c r="L67" i="7"/>
  <c r="K67" i="7"/>
  <c r="J67" i="7"/>
  <c r="I67" i="7"/>
  <c r="H67" i="7"/>
  <c r="Q66" i="7"/>
  <c r="P66" i="7"/>
  <c r="O66" i="7"/>
  <c r="N66" i="7"/>
  <c r="M66" i="7"/>
  <c r="L66" i="7"/>
  <c r="K66" i="7"/>
  <c r="J66" i="7"/>
  <c r="I66" i="7"/>
  <c r="H66" i="7"/>
  <c r="Q65" i="7"/>
  <c r="P65" i="7"/>
  <c r="O65" i="7"/>
  <c r="N65" i="7"/>
  <c r="M65" i="7"/>
  <c r="L65" i="7"/>
  <c r="K65" i="7"/>
  <c r="J65" i="7"/>
  <c r="I65" i="7"/>
  <c r="H65" i="7"/>
  <c r="Q64" i="7"/>
  <c r="P64" i="7"/>
  <c r="O64" i="7"/>
  <c r="N64" i="7"/>
  <c r="M64" i="7"/>
  <c r="L64" i="7"/>
  <c r="K64" i="7"/>
  <c r="J64" i="7"/>
  <c r="I64" i="7"/>
  <c r="H64" i="7"/>
  <c r="Q63" i="7"/>
  <c r="P63" i="7"/>
  <c r="O63" i="7"/>
  <c r="N63" i="7"/>
  <c r="M63" i="7"/>
  <c r="L63" i="7"/>
  <c r="K63" i="7"/>
  <c r="J63" i="7"/>
  <c r="I63" i="7"/>
  <c r="H63" i="7"/>
  <c r="Q62" i="7"/>
  <c r="P62" i="7"/>
  <c r="O62" i="7"/>
  <c r="N62" i="7"/>
  <c r="M62" i="7"/>
  <c r="L62" i="7"/>
  <c r="K62" i="7"/>
  <c r="J62" i="7"/>
  <c r="I62" i="7"/>
  <c r="H62" i="7"/>
  <c r="Q61" i="7"/>
  <c r="P61" i="7"/>
  <c r="O61" i="7"/>
  <c r="N61" i="7"/>
  <c r="M61" i="7"/>
  <c r="L61" i="7"/>
  <c r="K61" i="7"/>
  <c r="J61" i="7"/>
  <c r="I61" i="7"/>
  <c r="H61" i="7"/>
  <c r="Q60" i="7"/>
  <c r="P60" i="7"/>
  <c r="O60" i="7"/>
  <c r="N60" i="7"/>
  <c r="M60" i="7"/>
  <c r="L60" i="7"/>
  <c r="K60" i="7"/>
  <c r="J60" i="7"/>
  <c r="I60" i="7"/>
  <c r="H60" i="7"/>
  <c r="Q59" i="7"/>
  <c r="P59" i="7"/>
  <c r="O59" i="7"/>
  <c r="N59" i="7"/>
  <c r="M59" i="7"/>
  <c r="L59" i="7"/>
  <c r="K59" i="7"/>
  <c r="J59" i="7"/>
  <c r="I59" i="7"/>
  <c r="H59" i="7"/>
  <c r="Q58" i="7"/>
  <c r="P58" i="7"/>
  <c r="O58" i="7"/>
  <c r="N58" i="7"/>
  <c r="M58" i="7"/>
  <c r="L58" i="7"/>
  <c r="K58" i="7"/>
  <c r="J58" i="7"/>
  <c r="I58" i="7"/>
  <c r="H58" i="7"/>
  <c r="Q57" i="7"/>
  <c r="P57" i="7"/>
  <c r="O57" i="7"/>
  <c r="N57" i="7"/>
  <c r="M57" i="7"/>
  <c r="L57" i="7"/>
  <c r="K57" i="7"/>
  <c r="J57" i="7"/>
  <c r="I57" i="7"/>
  <c r="H57" i="7"/>
  <c r="Q56" i="7"/>
  <c r="P56" i="7"/>
  <c r="O56" i="7"/>
  <c r="N56" i="7"/>
  <c r="M56" i="7"/>
  <c r="L56" i="7"/>
  <c r="K56" i="7"/>
  <c r="J56" i="7"/>
  <c r="I56" i="7"/>
  <c r="H56" i="7"/>
  <c r="Q55" i="7"/>
  <c r="P55" i="7"/>
  <c r="O55" i="7"/>
  <c r="N55" i="7"/>
  <c r="M55" i="7"/>
  <c r="L55" i="7"/>
  <c r="K55" i="7"/>
  <c r="J55" i="7"/>
  <c r="I55" i="7"/>
  <c r="H55" i="7"/>
  <c r="Q54" i="7"/>
  <c r="P54" i="7"/>
  <c r="O54" i="7"/>
  <c r="N54" i="7"/>
  <c r="M54" i="7"/>
  <c r="L54" i="7"/>
  <c r="K54" i="7"/>
  <c r="J54" i="7"/>
  <c r="I54" i="7"/>
  <c r="H54" i="7"/>
  <c r="Q53" i="7"/>
  <c r="P53" i="7"/>
  <c r="O53" i="7"/>
  <c r="N53" i="7"/>
  <c r="M53" i="7"/>
  <c r="L53" i="7"/>
  <c r="K53" i="7"/>
  <c r="J53" i="7"/>
  <c r="I53" i="7"/>
  <c r="H53" i="7"/>
  <c r="Q52" i="7"/>
  <c r="P52" i="7"/>
  <c r="O52" i="7"/>
  <c r="N52" i="7"/>
  <c r="M52" i="7"/>
  <c r="L52" i="7"/>
  <c r="K52" i="7"/>
  <c r="J52" i="7"/>
  <c r="I52" i="7"/>
  <c r="H52" i="7"/>
  <c r="Q51" i="7"/>
  <c r="P51" i="7"/>
  <c r="O51" i="7"/>
  <c r="N51" i="7"/>
  <c r="M51" i="7"/>
  <c r="L51" i="7"/>
  <c r="K51" i="7"/>
  <c r="J51" i="7"/>
  <c r="I51" i="7"/>
  <c r="H51" i="7"/>
  <c r="Q50" i="7"/>
  <c r="P50" i="7"/>
  <c r="O50" i="7"/>
  <c r="N50" i="7"/>
  <c r="M50" i="7"/>
  <c r="L50" i="7"/>
  <c r="K50" i="7"/>
  <c r="J50" i="7"/>
  <c r="I50" i="7"/>
  <c r="H50" i="7"/>
  <c r="Q49" i="7"/>
  <c r="P49" i="7"/>
  <c r="O49" i="7"/>
  <c r="N49" i="7"/>
  <c r="M49" i="7"/>
  <c r="L49" i="7"/>
  <c r="K49" i="7"/>
  <c r="J49" i="7"/>
  <c r="I49" i="7"/>
  <c r="H49" i="7"/>
  <c r="Q48" i="7"/>
  <c r="P48" i="7"/>
  <c r="O48" i="7"/>
  <c r="N48" i="7"/>
  <c r="M48" i="7"/>
  <c r="L48" i="7"/>
  <c r="K48" i="7"/>
  <c r="J48" i="7"/>
  <c r="I48" i="7"/>
  <c r="H48" i="7"/>
  <c r="Q47" i="7"/>
  <c r="P47" i="7"/>
  <c r="O47" i="7"/>
  <c r="N47" i="7"/>
  <c r="M47" i="7"/>
  <c r="L47" i="7"/>
  <c r="K47" i="7"/>
  <c r="J47" i="7"/>
  <c r="I47" i="7"/>
  <c r="H47" i="7"/>
  <c r="Q46" i="7"/>
  <c r="P46" i="7"/>
  <c r="O46" i="7"/>
  <c r="N46" i="7"/>
  <c r="M46" i="7"/>
  <c r="L46" i="7"/>
  <c r="K46" i="7"/>
  <c r="J46" i="7"/>
  <c r="I46" i="7"/>
  <c r="H46" i="7"/>
  <c r="Q45" i="7"/>
  <c r="P45" i="7"/>
  <c r="O45" i="7"/>
  <c r="N45" i="7"/>
  <c r="M45" i="7"/>
  <c r="L45" i="7"/>
  <c r="K45" i="7"/>
  <c r="J45" i="7"/>
  <c r="I45" i="7"/>
  <c r="H45" i="7"/>
  <c r="Q44" i="7"/>
  <c r="P44" i="7"/>
  <c r="O44" i="7"/>
  <c r="N44" i="7"/>
  <c r="M44" i="7"/>
  <c r="L44" i="7"/>
  <c r="K44" i="7"/>
  <c r="J44" i="7"/>
  <c r="I44" i="7"/>
  <c r="H44" i="7"/>
  <c r="Q43" i="7"/>
  <c r="P43" i="7"/>
  <c r="O43" i="7"/>
  <c r="N43" i="7"/>
  <c r="M43" i="7"/>
  <c r="L43" i="7"/>
  <c r="K43" i="7"/>
  <c r="J43" i="7"/>
  <c r="I43" i="7"/>
  <c r="H43" i="7"/>
  <c r="Q42" i="7"/>
  <c r="P42" i="7"/>
  <c r="O42" i="7"/>
  <c r="N42" i="7"/>
  <c r="M42" i="7"/>
  <c r="L42" i="7"/>
  <c r="K42" i="7"/>
  <c r="J42" i="7"/>
  <c r="I42" i="7"/>
  <c r="H42" i="7"/>
  <c r="Q41" i="7"/>
  <c r="P41" i="7"/>
  <c r="O41" i="7"/>
  <c r="N41" i="7"/>
  <c r="M41" i="7"/>
  <c r="L41" i="7"/>
  <c r="K41" i="7"/>
  <c r="J41" i="7"/>
  <c r="I41" i="7"/>
  <c r="H41" i="7"/>
  <c r="Q40" i="7"/>
  <c r="P40" i="7"/>
  <c r="O40" i="7"/>
  <c r="N40" i="7"/>
  <c r="M40" i="7"/>
  <c r="L40" i="7"/>
  <c r="K40" i="7"/>
  <c r="J40" i="7"/>
  <c r="I40" i="7"/>
  <c r="H40" i="7"/>
  <c r="Q39" i="7"/>
  <c r="P39" i="7"/>
  <c r="O39" i="7"/>
  <c r="N39" i="7"/>
  <c r="M39" i="7"/>
  <c r="L39" i="7"/>
  <c r="K39" i="7"/>
  <c r="J39" i="7"/>
  <c r="I39" i="7"/>
  <c r="H39" i="7"/>
  <c r="Q38" i="7"/>
  <c r="P38" i="7"/>
  <c r="O38" i="7"/>
  <c r="N38" i="7"/>
  <c r="M38" i="7"/>
  <c r="L38" i="7"/>
  <c r="K38" i="7"/>
  <c r="J38" i="7"/>
  <c r="I38" i="7"/>
  <c r="H38" i="7"/>
  <c r="Q37" i="7"/>
  <c r="P37" i="7"/>
  <c r="O37" i="7"/>
  <c r="N37" i="7"/>
  <c r="M37" i="7"/>
  <c r="L37" i="7"/>
  <c r="K37" i="7"/>
  <c r="J37" i="7"/>
  <c r="I37" i="7"/>
  <c r="H37" i="7"/>
  <c r="Q36" i="7"/>
  <c r="P36" i="7"/>
  <c r="O36" i="7"/>
  <c r="N36" i="7"/>
  <c r="M36" i="7"/>
  <c r="L36" i="7"/>
  <c r="K36" i="7"/>
  <c r="J36" i="7"/>
  <c r="I36" i="7"/>
  <c r="H36" i="7"/>
  <c r="Q35" i="7"/>
  <c r="P35" i="7"/>
  <c r="O35" i="7"/>
  <c r="N35" i="7"/>
  <c r="M35" i="7"/>
  <c r="L35" i="7"/>
  <c r="K35" i="7"/>
  <c r="J35" i="7"/>
  <c r="I35" i="7"/>
  <c r="H35" i="7"/>
  <c r="Q34" i="7"/>
  <c r="P34" i="7"/>
  <c r="O34" i="7"/>
  <c r="N34" i="7"/>
  <c r="M34" i="7"/>
  <c r="L34" i="7"/>
  <c r="K34" i="7"/>
  <c r="J34" i="7"/>
  <c r="I34" i="7"/>
  <c r="H34" i="7"/>
  <c r="Q33" i="7"/>
  <c r="P33" i="7"/>
  <c r="O33" i="7"/>
  <c r="N33" i="7"/>
  <c r="M33" i="7"/>
  <c r="L33" i="7"/>
  <c r="K33" i="7"/>
  <c r="J33" i="7"/>
  <c r="I33" i="7"/>
  <c r="H33" i="7"/>
  <c r="Q32" i="7"/>
  <c r="P32" i="7"/>
  <c r="O32" i="7"/>
  <c r="N32" i="7"/>
  <c r="M32" i="7"/>
  <c r="L32" i="7"/>
  <c r="K32" i="7"/>
  <c r="J32" i="7"/>
  <c r="I32" i="7"/>
  <c r="H32" i="7"/>
  <c r="Q31" i="7"/>
  <c r="P31" i="7"/>
  <c r="O31" i="7"/>
  <c r="N31" i="7"/>
  <c r="M31" i="7"/>
  <c r="L31" i="7"/>
  <c r="K31" i="7"/>
  <c r="J31" i="7"/>
  <c r="I31" i="7"/>
  <c r="H31" i="7"/>
  <c r="Q30" i="7"/>
  <c r="P30" i="7"/>
  <c r="O30" i="7"/>
  <c r="N30" i="7"/>
  <c r="M30" i="7"/>
  <c r="L30" i="7"/>
  <c r="K30" i="7"/>
  <c r="J30" i="7"/>
  <c r="I30" i="7"/>
  <c r="H30" i="7"/>
  <c r="Q29" i="7"/>
  <c r="P29" i="7"/>
  <c r="O29" i="7"/>
  <c r="N29" i="7"/>
  <c r="M29" i="7"/>
  <c r="L29" i="7"/>
  <c r="K29" i="7"/>
  <c r="J29" i="7"/>
  <c r="I29" i="7"/>
  <c r="H29" i="7"/>
  <c r="Q28" i="7"/>
  <c r="P28" i="7"/>
  <c r="O28" i="7"/>
  <c r="N28" i="7"/>
  <c r="M28" i="7"/>
  <c r="L28" i="7"/>
  <c r="K28" i="7"/>
  <c r="J28" i="7"/>
  <c r="I28" i="7"/>
  <c r="H28" i="7"/>
  <c r="Q27" i="7"/>
  <c r="P27" i="7"/>
  <c r="O27" i="7"/>
  <c r="N27" i="7"/>
  <c r="M27" i="7"/>
  <c r="L27" i="7"/>
  <c r="K27" i="7"/>
  <c r="J27" i="7"/>
  <c r="I27" i="7"/>
  <c r="H27" i="7"/>
  <c r="Q26" i="7"/>
  <c r="P26" i="7"/>
  <c r="O26" i="7"/>
  <c r="N26" i="7"/>
  <c r="M26" i="7"/>
  <c r="L26" i="7"/>
  <c r="K26" i="7"/>
  <c r="J26" i="7"/>
  <c r="I26" i="7"/>
  <c r="H26" i="7"/>
  <c r="Q25" i="7"/>
  <c r="P25" i="7"/>
  <c r="O25" i="7"/>
  <c r="N25" i="7"/>
  <c r="M25" i="7"/>
  <c r="L25" i="7"/>
  <c r="K25" i="7"/>
  <c r="J25" i="7"/>
  <c r="I25" i="7"/>
  <c r="H25" i="7"/>
  <c r="Q24" i="7"/>
  <c r="P24" i="7"/>
  <c r="O24" i="7"/>
  <c r="N24" i="7"/>
  <c r="M24" i="7"/>
  <c r="L24" i="7"/>
  <c r="K24" i="7"/>
  <c r="J24" i="7"/>
  <c r="I24" i="7"/>
  <c r="H24" i="7"/>
  <c r="Q23" i="7"/>
  <c r="P23" i="7"/>
  <c r="O23" i="7"/>
  <c r="N23" i="7"/>
  <c r="M23" i="7"/>
  <c r="L23" i="7"/>
  <c r="K23" i="7"/>
  <c r="J23" i="7"/>
  <c r="I23" i="7"/>
  <c r="H23" i="7"/>
  <c r="Q22" i="7"/>
  <c r="P22" i="7"/>
  <c r="O22" i="7"/>
  <c r="N22" i="7"/>
  <c r="M22" i="7"/>
  <c r="L22" i="7"/>
  <c r="K22" i="7"/>
  <c r="J22" i="7"/>
  <c r="I22" i="7"/>
  <c r="H22" i="7"/>
  <c r="Q21" i="7"/>
  <c r="P21" i="7"/>
  <c r="O21" i="7"/>
  <c r="N21" i="7"/>
  <c r="M21" i="7"/>
  <c r="L21" i="7"/>
  <c r="K21" i="7"/>
  <c r="J21" i="7"/>
  <c r="I21" i="7"/>
  <c r="H21" i="7"/>
  <c r="Q438" i="7"/>
  <c r="P438" i="7"/>
  <c r="O438" i="7"/>
  <c r="N438" i="7"/>
  <c r="M438" i="7"/>
  <c r="L438" i="7"/>
  <c r="K438" i="7"/>
  <c r="J438" i="7"/>
  <c r="I438" i="7"/>
  <c r="H438" i="7"/>
  <c r="Q437" i="7"/>
  <c r="P437" i="7"/>
  <c r="O437" i="7"/>
  <c r="N437" i="7"/>
  <c r="M437" i="7"/>
  <c r="L437" i="7"/>
  <c r="K437" i="7"/>
  <c r="J437" i="7"/>
  <c r="I437" i="7"/>
  <c r="H437" i="7"/>
  <c r="Q436" i="7"/>
  <c r="P436" i="7"/>
  <c r="O436" i="7"/>
  <c r="N436" i="7"/>
  <c r="M436" i="7"/>
  <c r="L436" i="7"/>
  <c r="K436" i="7"/>
  <c r="J436" i="7"/>
  <c r="I436" i="7"/>
  <c r="H436" i="7"/>
  <c r="Q435" i="7"/>
  <c r="P435" i="7"/>
  <c r="O435" i="7"/>
  <c r="N435" i="7"/>
  <c r="M435" i="7"/>
  <c r="L435" i="7"/>
  <c r="K435" i="7"/>
  <c r="J435" i="7"/>
  <c r="I435" i="7"/>
  <c r="H435" i="7"/>
  <c r="Q434" i="7"/>
  <c r="P434" i="7"/>
  <c r="O434" i="7"/>
  <c r="N434" i="7"/>
  <c r="M434" i="7"/>
  <c r="L434" i="7"/>
  <c r="K434" i="7"/>
  <c r="J434" i="7"/>
  <c r="I434" i="7"/>
  <c r="H434" i="7"/>
  <c r="Q433" i="7"/>
  <c r="P433" i="7"/>
  <c r="O433" i="7"/>
  <c r="N433" i="7"/>
  <c r="M433" i="7"/>
  <c r="L433" i="7"/>
  <c r="K433" i="7"/>
  <c r="J433" i="7"/>
  <c r="I433" i="7"/>
  <c r="H433" i="7"/>
  <c r="Q432" i="7"/>
  <c r="P432" i="7"/>
  <c r="O432" i="7"/>
  <c r="N432" i="7"/>
  <c r="M432" i="7"/>
  <c r="L432" i="7"/>
  <c r="K432" i="7"/>
  <c r="J432" i="7"/>
  <c r="I432" i="7"/>
  <c r="H432" i="7"/>
  <c r="Q431" i="7"/>
  <c r="P431" i="7"/>
  <c r="O431" i="7"/>
  <c r="N431" i="7"/>
  <c r="M431" i="7"/>
  <c r="L431" i="7"/>
  <c r="K431" i="7"/>
  <c r="J431" i="7"/>
  <c r="I431" i="7"/>
  <c r="H431" i="7"/>
  <c r="Q430" i="7"/>
  <c r="P430" i="7"/>
  <c r="O430" i="7"/>
  <c r="N430" i="7"/>
  <c r="M430" i="7"/>
  <c r="L430" i="7"/>
  <c r="K430" i="7"/>
  <c r="J430" i="7"/>
  <c r="I430" i="7"/>
  <c r="H430" i="7"/>
  <c r="Q429" i="7"/>
  <c r="P429" i="7"/>
  <c r="O429" i="7"/>
  <c r="N429" i="7"/>
  <c r="M429" i="7"/>
  <c r="L429" i="7"/>
  <c r="K429" i="7"/>
  <c r="J429" i="7"/>
  <c r="I429" i="7"/>
  <c r="H429" i="7"/>
  <c r="Q428" i="7"/>
  <c r="P428" i="7"/>
  <c r="O428" i="7"/>
  <c r="N428" i="7"/>
  <c r="M428" i="7"/>
  <c r="L428" i="7"/>
  <c r="K428" i="7"/>
  <c r="J428" i="7"/>
  <c r="I428" i="7"/>
  <c r="H428" i="7"/>
  <c r="Q427" i="7"/>
  <c r="P427" i="7"/>
  <c r="O427" i="7"/>
  <c r="N427" i="7"/>
  <c r="M427" i="7"/>
  <c r="L427" i="7"/>
  <c r="K427" i="7"/>
  <c r="J427" i="7"/>
  <c r="I427" i="7"/>
  <c r="H427" i="7"/>
  <c r="Q426" i="7"/>
  <c r="P426" i="7"/>
  <c r="O426" i="7"/>
  <c r="N426" i="7"/>
  <c r="M426" i="7"/>
  <c r="L426" i="7"/>
  <c r="K426" i="7"/>
  <c r="J426" i="7"/>
  <c r="I426" i="7"/>
  <c r="H426" i="7"/>
  <c r="Q425" i="7"/>
  <c r="P425" i="7"/>
  <c r="O425" i="7"/>
  <c r="N425" i="7"/>
  <c r="M425" i="7"/>
  <c r="L425" i="7"/>
  <c r="K425" i="7"/>
  <c r="J425" i="7"/>
  <c r="I425" i="7"/>
  <c r="H425" i="7"/>
  <c r="Q424" i="7"/>
  <c r="P424" i="7"/>
  <c r="O424" i="7"/>
  <c r="N424" i="7"/>
  <c r="M424" i="7"/>
  <c r="L424" i="7"/>
  <c r="K424" i="7"/>
  <c r="J424" i="7"/>
  <c r="I424" i="7"/>
  <c r="H424" i="7"/>
  <c r="Q423" i="7"/>
  <c r="P423" i="7"/>
  <c r="O423" i="7"/>
  <c r="N423" i="7"/>
  <c r="M423" i="7"/>
  <c r="L423" i="7"/>
  <c r="K423" i="7"/>
  <c r="J423" i="7"/>
  <c r="I423" i="7"/>
  <c r="H423" i="7"/>
  <c r="Q422" i="7"/>
  <c r="P422" i="7"/>
  <c r="O422" i="7"/>
  <c r="N422" i="7"/>
  <c r="M422" i="7"/>
  <c r="L422" i="7"/>
  <c r="K422" i="7"/>
  <c r="J422" i="7"/>
  <c r="I422" i="7"/>
  <c r="H422" i="7"/>
  <c r="Q421" i="7"/>
  <c r="P421" i="7"/>
  <c r="O421" i="7"/>
  <c r="N421" i="7"/>
  <c r="M421" i="7"/>
  <c r="L421" i="7"/>
  <c r="K421" i="7"/>
  <c r="J421" i="7"/>
  <c r="I421" i="7"/>
  <c r="H421" i="7"/>
  <c r="Q420" i="7"/>
  <c r="P420" i="7"/>
  <c r="O420" i="7"/>
  <c r="N420" i="7"/>
  <c r="M420" i="7"/>
  <c r="L420" i="7"/>
  <c r="K420" i="7"/>
  <c r="J420" i="7"/>
  <c r="I420" i="7"/>
  <c r="H420" i="7"/>
  <c r="Q191" i="7"/>
  <c r="P191" i="7"/>
  <c r="O191" i="7"/>
  <c r="N191" i="7"/>
  <c r="M191" i="7"/>
  <c r="L191" i="7"/>
  <c r="K191" i="7"/>
  <c r="J191" i="7"/>
  <c r="I191" i="7"/>
  <c r="H191" i="7"/>
  <c r="Q190" i="7"/>
  <c r="P190" i="7"/>
  <c r="O190" i="7"/>
  <c r="N190" i="7"/>
  <c r="M190" i="7"/>
  <c r="L190" i="7"/>
  <c r="K190" i="7"/>
  <c r="J190" i="7"/>
  <c r="I190" i="7"/>
  <c r="H190" i="7"/>
  <c r="Q189" i="7"/>
  <c r="P189" i="7"/>
  <c r="O189" i="7"/>
  <c r="N189" i="7"/>
  <c r="M189" i="7"/>
  <c r="L189" i="7"/>
  <c r="K189" i="7"/>
  <c r="J189" i="7"/>
  <c r="I189" i="7"/>
  <c r="H189" i="7"/>
  <c r="Q188" i="7"/>
  <c r="P188" i="7"/>
  <c r="O188" i="7"/>
  <c r="N188" i="7"/>
  <c r="M188" i="7"/>
  <c r="L188" i="7"/>
  <c r="K188" i="7"/>
  <c r="J188" i="7"/>
  <c r="I188" i="7"/>
  <c r="H188" i="7"/>
  <c r="Q187" i="7"/>
  <c r="P187" i="7"/>
  <c r="O187" i="7"/>
  <c r="N187" i="7"/>
  <c r="M187" i="7"/>
  <c r="L187" i="7"/>
  <c r="K187" i="7"/>
  <c r="J187" i="7"/>
  <c r="I187" i="7"/>
  <c r="H187" i="7"/>
  <c r="Q186" i="7"/>
  <c r="P186" i="7"/>
  <c r="O186" i="7"/>
  <c r="N186" i="7"/>
  <c r="M186" i="7"/>
  <c r="L186" i="7"/>
  <c r="K186" i="7"/>
  <c r="J186" i="7"/>
  <c r="I186" i="7"/>
  <c r="H186" i="7"/>
  <c r="Q185" i="7"/>
  <c r="P185" i="7"/>
  <c r="O185" i="7"/>
  <c r="N185" i="7"/>
  <c r="M185" i="7"/>
  <c r="L185" i="7"/>
  <c r="K185" i="7"/>
  <c r="J185" i="7"/>
  <c r="I185" i="7"/>
  <c r="H185" i="7"/>
  <c r="Q184" i="7"/>
  <c r="P184" i="7"/>
  <c r="O184" i="7"/>
  <c r="N184" i="7"/>
  <c r="M184" i="7"/>
  <c r="L184" i="7"/>
  <c r="K184" i="7"/>
  <c r="J184" i="7"/>
  <c r="I184" i="7"/>
  <c r="H184" i="7"/>
  <c r="Q183" i="7"/>
  <c r="P183" i="7"/>
  <c r="O183" i="7"/>
  <c r="N183" i="7"/>
  <c r="M183" i="7"/>
  <c r="L183" i="7"/>
  <c r="K183" i="7"/>
  <c r="J183" i="7"/>
  <c r="I183" i="7"/>
  <c r="H183" i="7"/>
  <c r="Q182" i="7"/>
  <c r="P182" i="7"/>
  <c r="O182" i="7"/>
  <c r="N182" i="7"/>
  <c r="M182" i="7"/>
  <c r="L182" i="7"/>
  <c r="K182" i="7"/>
  <c r="J182" i="7"/>
  <c r="I182" i="7"/>
  <c r="H182" i="7"/>
  <c r="Q181" i="7"/>
  <c r="P181" i="7"/>
  <c r="O181" i="7"/>
  <c r="N181" i="7"/>
  <c r="M181" i="7"/>
  <c r="L181" i="7"/>
  <c r="K181" i="7"/>
  <c r="J181" i="7"/>
  <c r="I181" i="7"/>
  <c r="H181" i="7"/>
  <c r="Q180" i="7"/>
  <c r="P180" i="7"/>
  <c r="O180" i="7"/>
  <c r="N180" i="7"/>
  <c r="M180" i="7"/>
  <c r="L180" i="7"/>
  <c r="K180" i="7"/>
  <c r="J180" i="7"/>
  <c r="I180" i="7"/>
  <c r="H180" i="7"/>
  <c r="Q179" i="7"/>
  <c r="P179" i="7"/>
  <c r="O179" i="7"/>
  <c r="N179" i="7"/>
  <c r="M179" i="7"/>
  <c r="L179" i="7"/>
  <c r="K179" i="7"/>
  <c r="J179" i="7"/>
  <c r="I179" i="7"/>
  <c r="H179" i="7"/>
  <c r="Q178" i="7"/>
  <c r="P178" i="7"/>
  <c r="O178" i="7"/>
  <c r="N178" i="7"/>
  <c r="M178" i="7"/>
  <c r="L178" i="7"/>
  <c r="K178" i="7"/>
  <c r="J178" i="7"/>
  <c r="I178" i="7"/>
  <c r="H178" i="7"/>
  <c r="Q177" i="7"/>
  <c r="P177" i="7"/>
  <c r="O177" i="7"/>
  <c r="N177" i="7"/>
  <c r="M177" i="7"/>
  <c r="L177" i="7"/>
  <c r="K177" i="7"/>
  <c r="J177" i="7"/>
  <c r="I177" i="7"/>
  <c r="H177" i="7"/>
  <c r="Q176" i="7"/>
  <c r="P176" i="7"/>
  <c r="O176" i="7"/>
  <c r="N176" i="7"/>
  <c r="M176" i="7"/>
  <c r="L176" i="7"/>
  <c r="K176" i="7"/>
  <c r="J176" i="7"/>
  <c r="I176" i="7"/>
  <c r="H176" i="7"/>
  <c r="Q175" i="7"/>
  <c r="P175" i="7"/>
  <c r="O175" i="7"/>
  <c r="N175" i="7"/>
  <c r="M175" i="7"/>
  <c r="L175" i="7"/>
  <c r="K175" i="7"/>
  <c r="J175" i="7"/>
  <c r="I175" i="7"/>
  <c r="H175" i="7"/>
  <c r="Q174" i="7"/>
  <c r="P174" i="7"/>
  <c r="O174" i="7"/>
  <c r="N174" i="7"/>
  <c r="M174" i="7"/>
  <c r="L174" i="7"/>
  <c r="K174" i="7"/>
  <c r="J174" i="7"/>
  <c r="I174" i="7"/>
  <c r="H174" i="7"/>
  <c r="Q173" i="7"/>
  <c r="P173" i="7"/>
  <c r="O173" i="7"/>
  <c r="N173" i="7"/>
  <c r="M173" i="7"/>
  <c r="L173" i="7"/>
  <c r="K173" i="7"/>
  <c r="J173" i="7"/>
  <c r="I173" i="7"/>
  <c r="H173" i="7"/>
  <c r="Q115" i="7"/>
  <c r="P115" i="7"/>
  <c r="O115" i="7"/>
  <c r="N115" i="7"/>
  <c r="M115" i="7"/>
  <c r="L115" i="7"/>
  <c r="K115" i="7"/>
  <c r="J115" i="7"/>
  <c r="I115" i="7"/>
  <c r="H115" i="7"/>
  <c r="Q114" i="7"/>
  <c r="P114" i="7"/>
  <c r="O114" i="7"/>
  <c r="N114" i="7"/>
  <c r="M114" i="7"/>
  <c r="L114" i="7"/>
  <c r="K114" i="7"/>
  <c r="J114" i="7"/>
  <c r="I114" i="7"/>
  <c r="H114" i="7"/>
  <c r="Q113" i="7"/>
  <c r="P113" i="7"/>
  <c r="O113" i="7"/>
  <c r="N113" i="7"/>
  <c r="M113" i="7"/>
  <c r="L113" i="7"/>
  <c r="K113" i="7"/>
  <c r="J113" i="7"/>
  <c r="I113" i="7"/>
  <c r="H113" i="7"/>
  <c r="Q112" i="7"/>
  <c r="P112" i="7"/>
  <c r="O112" i="7"/>
  <c r="N112" i="7"/>
  <c r="M112" i="7"/>
  <c r="L112" i="7"/>
  <c r="K112" i="7"/>
  <c r="J112" i="7"/>
  <c r="I112" i="7"/>
  <c r="H112" i="7"/>
  <c r="Q111" i="7"/>
  <c r="P111" i="7"/>
  <c r="O111" i="7"/>
  <c r="N111" i="7"/>
  <c r="M111" i="7"/>
  <c r="L111" i="7"/>
  <c r="K111" i="7"/>
  <c r="J111" i="7"/>
  <c r="I111" i="7"/>
  <c r="H111" i="7"/>
  <c r="Q110" i="7"/>
  <c r="P110" i="7"/>
  <c r="O110" i="7"/>
  <c r="N110" i="7"/>
  <c r="M110" i="7"/>
  <c r="L110" i="7"/>
  <c r="K110" i="7"/>
  <c r="J110" i="7"/>
  <c r="I110" i="7"/>
  <c r="H110" i="7"/>
  <c r="Q109" i="7"/>
  <c r="P109" i="7"/>
  <c r="O109" i="7"/>
  <c r="N109" i="7"/>
  <c r="M109" i="7"/>
  <c r="L109" i="7"/>
  <c r="K109" i="7"/>
  <c r="J109" i="7"/>
  <c r="I109" i="7"/>
  <c r="H109" i="7"/>
  <c r="Q108" i="7"/>
  <c r="P108" i="7"/>
  <c r="O108" i="7"/>
  <c r="N108" i="7"/>
  <c r="M108" i="7"/>
  <c r="L108" i="7"/>
  <c r="K108" i="7"/>
  <c r="J108" i="7"/>
  <c r="I108" i="7"/>
  <c r="H108" i="7"/>
  <c r="Q107" i="7"/>
  <c r="P107" i="7"/>
  <c r="O107" i="7"/>
  <c r="N107" i="7"/>
  <c r="M107" i="7"/>
  <c r="L107" i="7"/>
  <c r="K107" i="7"/>
  <c r="J107" i="7"/>
  <c r="I107" i="7"/>
  <c r="H107" i="7"/>
  <c r="Q106" i="7"/>
  <c r="P106" i="7"/>
  <c r="O106" i="7"/>
  <c r="N106" i="7"/>
  <c r="M106" i="7"/>
  <c r="L106" i="7"/>
  <c r="K106" i="7"/>
  <c r="J106" i="7"/>
  <c r="I106" i="7"/>
  <c r="H106" i="7"/>
  <c r="Q105" i="7"/>
  <c r="P105" i="7"/>
  <c r="O105" i="7"/>
  <c r="N105" i="7"/>
  <c r="M105" i="7"/>
  <c r="L105" i="7"/>
  <c r="K105" i="7"/>
  <c r="J105" i="7"/>
  <c r="I105" i="7"/>
  <c r="H105" i="7"/>
  <c r="Q104" i="7"/>
  <c r="P104" i="7"/>
  <c r="O104" i="7"/>
  <c r="N104" i="7"/>
  <c r="M104" i="7"/>
  <c r="L104" i="7"/>
  <c r="K104" i="7"/>
  <c r="J104" i="7"/>
  <c r="I104" i="7"/>
  <c r="H104" i="7"/>
  <c r="Q103" i="7"/>
  <c r="P103" i="7"/>
  <c r="O103" i="7"/>
  <c r="N103" i="7"/>
  <c r="M103" i="7"/>
  <c r="L103" i="7"/>
  <c r="K103" i="7"/>
  <c r="J103" i="7"/>
  <c r="I103" i="7"/>
  <c r="H103" i="7"/>
  <c r="Q102" i="7"/>
  <c r="P102" i="7"/>
  <c r="O102" i="7"/>
  <c r="N102" i="7"/>
  <c r="M102" i="7"/>
  <c r="L102" i="7"/>
  <c r="K102" i="7"/>
  <c r="J102" i="7"/>
  <c r="I102" i="7"/>
  <c r="H102" i="7"/>
  <c r="Q101" i="7"/>
  <c r="P101" i="7"/>
  <c r="O101" i="7"/>
  <c r="N101" i="7"/>
  <c r="M101" i="7"/>
  <c r="L101" i="7"/>
  <c r="K101" i="7"/>
  <c r="J101" i="7"/>
  <c r="I101" i="7"/>
  <c r="H101" i="7"/>
  <c r="Q100" i="7"/>
  <c r="P100" i="7"/>
  <c r="O100" i="7"/>
  <c r="N100" i="7"/>
  <c r="M100" i="7"/>
  <c r="L100" i="7"/>
  <c r="K100" i="7"/>
  <c r="J100" i="7"/>
  <c r="I100" i="7"/>
  <c r="H100" i="7"/>
  <c r="Q99" i="7"/>
  <c r="P99" i="7"/>
  <c r="O99" i="7"/>
  <c r="N99" i="7"/>
  <c r="M99" i="7"/>
  <c r="L99" i="7"/>
  <c r="K99" i="7"/>
  <c r="J99" i="7"/>
  <c r="I99" i="7"/>
  <c r="H99" i="7"/>
  <c r="Q98" i="7"/>
  <c r="P98" i="7"/>
  <c r="O98" i="7"/>
  <c r="N98" i="7"/>
  <c r="M98" i="7"/>
  <c r="L98" i="7"/>
  <c r="K98" i="7"/>
  <c r="J98" i="7"/>
  <c r="I98" i="7"/>
  <c r="H98" i="7"/>
  <c r="Q97" i="7"/>
  <c r="P97" i="7"/>
  <c r="O97" i="7"/>
  <c r="N97" i="7"/>
  <c r="M97" i="7"/>
  <c r="L97" i="7"/>
  <c r="K97" i="7"/>
  <c r="J97" i="7"/>
  <c r="I97" i="7"/>
  <c r="H97" i="7"/>
  <c r="Q20" i="7"/>
  <c r="P20" i="7"/>
  <c r="O20" i="7"/>
  <c r="N20" i="7"/>
  <c r="M20" i="7"/>
  <c r="L20" i="7"/>
  <c r="K20" i="7"/>
  <c r="J20" i="7"/>
  <c r="I20" i="7"/>
  <c r="H20" i="7"/>
  <c r="Q19" i="7"/>
  <c r="P19" i="7"/>
  <c r="O19" i="7"/>
  <c r="N19" i="7"/>
  <c r="M19" i="7"/>
  <c r="L19" i="7"/>
  <c r="K19" i="7"/>
  <c r="J19" i="7"/>
  <c r="I19" i="7"/>
  <c r="H19" i="7"/>
  <c r="Q18" i="7"/>
  <c r="P18" i="7"/>
  <c r="O18" i="7"/>
  <c r="N18" i="7"/>
  <c r="M18" i="7"/>
  <c r="L18" i="7"/>
  <c r="K18" i="7"/>
  <c r="J18" i="7"/>
  <c r="I18" i="7"/>
  <c r="H18" i="7"/>
  <c r="Q17" i="7"/>
  <c r="P17" i="7"/>
  <c r="O17" i="7"/>
  <c r="N17" i="7"/>
  <c r="M17" i="7"/>
  <c r="L17" i="7"/>
  <c r="K17" i="7"/>
  <c r="J17" i="7"/>
  <c r="I17" i="7"/>
  <c r="H17" i="7"/>
  <c r="Q16" i="7"/>
  <c r="P16" i="7"/>
  <c r="O16" i="7"/>
  <c r="N16" i="7"/>
  <c r="M16" i="7"/>
  <c r="L16" i="7"/>
  <c r="K16" i="7"/>
  <c r="J16" i="7"/>
  <c r="I16" i="7"/>
  <c r="H16" i="7"/>
  <c r="Q15" i="7"/>
  <c r="P15" i="7"/>
  <c r="O15" i="7"/>
  <c r="N15" i="7"/>
  <c r="M15" i="7"/>
  <c r="L15" i="7"/>
  <c r="K15" i="7"/>
  <c r="J15" i="7"/>
  <c r="I15" i="7"/>
  <c r="H15" i="7"/>
  <c r="Q14" i="7"/>
  <c r="P14" i="7"/>
  <c r="O14" i="7"/>
  <c r="N14" i="7"/>
  <c r="M14" i="7"/>
  <c r="L14" i="7"/>
  <c r="K14" i="7"/>
  <c r="J14" i="7"/>
  <c r="I14" i="7"/>
  <c r="H14" i="7"/>
  <c r="Q13" i="7"/>
  <c r="P13" i="7"/>
  <c r="O13" i="7"/>
  <c r="N13" i="7"/>
  <c r="M13" i="7"/>
  <c r="L13" i="7"/>
  <c r="K13" i="7"/>
  <c r="J13" i="7"/>
  <c r="I13" i="7"/>
  <c r="H13" i="7"/>
  <c r="Q12" i="7"/>
  <c r="P12" i="7"/>
  <c r="O12" i="7"/>
  <c r="N12" i="7"/>
  <c r="M12" i="7"/>
  <c r="L12" i="7"/>
  <c r="K12" i="7"/>
  <c r="J12" i="7"/>
  <c r="I12" i="7"/>
  <c r="H12" i="7"/>
  <c r="Q11" i="7"/>
  <c r="P11" i="7"/>
  <c r="O11" i="7"/>
  <c r="N11" i="7"/>
  <c r="M11" i="7"/>
  <c r="L11" i="7"/>
  <c r="K11" i="7"/>
  <c r="J11" i="7"/>
  <c r="I11" i="7"/>
  <c r="H11" i="7"/>
  <c r="Q10" i="7"/>
  <c r="P10" i="7"/>
  <c r="O10" i="7"/>
  <c r="N10" i="7"/>
  <c r="M10" i="7"/>
  <c r="L10" i="7"/>
  <c r="K10" i="7"/>
  <c r="J10" i="7"/>
  <c r="I10" i="7"/>
  <c r="H10" i="7"/>
  <c r="Q9" i="7"/>
  <c r="P9" i="7"/>
  <c r="O9" i="7"/>
  <c r="N9" i="7"/>
  <c r="M9" i="7"/>
  <c r="L9" i="7"/>
  <c r="K9" i="7"/>
  <c r="J9" i="7"/>
  <c r="I9" i="7"/>
  <c r="H9" i="7"/>
  <c r="Q8" i="7"/>
  <c r="P8" i="7"/>
  <c r="O8" i="7"/>
  <c r="N8" i="7"/>
  <c r="M8" i="7"/>
  <c r="L8" i="7"/>
  <c r="K8" i="7"/>
  <c r="J8" i="7"/>
  <c r="I8" i="7"/>
  <c r="H8" i="7"/>
  <c r="Q7" i="7"/>
  <c r="P7" i="7"/>
  <c r="O7" i="7"/>
  <c r="N7" i="7"/>
  <c r="M7" i="7"/>
  <c r="L7" i="7"/>
  <c r="K7" i="7"/>
  <c r="J7" i="7"/>
  <c r="I7" i="7"/>
  <c r="H7" i="7"/>
  <c r="Q6" i="7"/>
  <c r="P6" i="7"/>
  <c r="O6" i="7"/>
  <c r="N6" i="7"/>
  <c r="M6" i="7"/>
  <c r="L6" i="7"/>
  <c r="K6" i="7"/>
  <c r="J6" i="7"/>
  <c r="I6" i="7"/>
  <c r="H6" i="7"/>
  <c r="Q5" i="7"/>
  <c r="P5" i="7"/>
  <c r="O5" i="7"/>
  <c r="N5" i="7"/>
  <c r="M5" i="7"/>
  <c r="L5" i="7"/>
  <c r="K5" i="7"/>
  <c r="J5" i="7"/>
  <c r="I5" i="7"/>
  <c r="H5" i="7"/>
  <c r="Q4" i="7"/>
  <c r="P4" i="7"/>
  <c r="O4" i="7"/>
  <c r="N4" i="7"/>
  <c r="M4" i="7"/>
  <c r="L4" i="7"/>
  <c r="K4" i="7"/>
  <c r="J4" i="7"/>
  <c r="I4" i="7"/>
  <c r="H4" i="7"/>
  <c r="Q3" i="7"/>
  <c r="P3" i="7"/>
  <c r="O3" i="7"/>
  <c r="N3" i="7"/>
  <c r="M3" i="7"/>
  <c r="L3" i="7"/>
  <c r="K3" i="7"/>
  <c r="J3" i="7"/>
  <c r="I3" i="7"/>
  <c r="H3" i="7"/>
  <c r="Q2" i="7"/>
  <c r="P2" i="7"/>
  <c r="O2" i="7"/>
  <c r="N2" i="7"/>
  <c r="M2" i="7"/>
  <c r="L2" i="7"/>
  <c r="K2" i="7"/>
  <c r="J2" i="7"/>
  <c r="I2" i="7"/>
  <c r="H2" i="7"/>
  <c r="K56" i="3"/>
  <c r="J56" i="3"/>
  <c r="I56" i="3"/>
  <c r="H56" i="3"/>
  <c r="G56" i="3"/>
  <c r="F56" i="3"/>
  <c r="E56" i="3"/>
  <c r="D56" i="3"/>
  <c r="C56" i="3"/>
  <c r="B56" i="3"/>
  <c r="K55" i="3"/>
  <c r="J55" i="3"/>
  <c r="I55" i="3"/>
  <c r="H55" i="3"/>
  <c r="G55" i="3"/>
  <c r="F55" i="3"/>
  <c r="E55" i="3"/>
  <c r="D55" i="3"/>
  <c r="C55" i="3"/>
  <c r="B55" i="3"/>
  <c r="K54" i="3"/>
  <c r="J54" i="3"/>
  <c r="I54" i="3"/>
  <c r="H54" i="3"/>
  <c r="G54" i="3"/>
  <c r="F54" i="3"/>
  <c r="E54" i="3"/>
  <c r="D54" i="3"/>
  <c r="C54" i="3"/>
  <c r="B54" i="3"/>
  <c r="K53" i="3"/>
  <c r="J53" i="3"/>
  <c r="I53" i="3"/>
  <c r="H53" i="3"/>
  <c r="G53" i="3"/>
  <c r="F53" i="3"/>
  <c r="E53" i="3"/>
  <c r="D53" i="3"/>
  <c r="C53" i="3"/>
  <c r="B53" i="3"/>
  <c r="K52" i="3"/>
  <c r="J52" i="3"/>
  <c r="I52" i="3"/>
  <c r="H52" i="3"/>
  <c r="G52" i="3"/>
  <c r="F52" i="3"/>
  <c r="E52" i="3"/>
  <c r="D52" i="3"/>
  <c r="C52" i="3"/>
  <c r="B52" i="3"/>
  <c r="K51" i="3"/>
  <c r="J51" i="3"/>
  <c r="I51" i="3"/>
  <c r="H51" i="3"/>
  <c r="G51" i="3"/>
  <c r="F51" i="3"/>
  <c r="E51" i="3"/>
  <c r="D51" i="3"/>
  <c r="C51" i="3"/>
  <c r="B51" i="3"/>
  <c r="K50" i="3"/>
  <c r="J50" i="3"/>
  <c r="I50" i="3"/>
  <c r="H50" i="3"/>
  <c r="G50" i="3"/>
  <c r="F50" i="3"/>
  <c r="E50" i="3"/>
  <c r="D50" i="3"/>
  <c r="C50" i="3"/>
  <c r="B50" i="3"/>
  <c r="K30" i="3"/>
  <c r="J30" i="3"/>
  <c r="I30" i="3"/>
  <c r="H30" i="3"/>
  <c r="G30" i="3"/>
  <c r="F30" i="3"/>
  <c r="E30" i="3"/>
  <c r="D30" i="3"/>
  <c r="C30" i="3"/>
  <c r="B30" i="3"/>
  <c r="K29" i="3"/>
  <c r="J29" i="3"/>
  <c r="I29" i="3"/>
  <c r="H29" i="3"/>
  <c r="G29" i="3"/>
  <c r="F29" i="3"/>
  <c r="E29" i="3"/>
  <c r="D29" i="3"/>
  <c r="C29" i="3"/>
  <c r="B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Stable ID. Must match an entry in MinionStat.cs in the game code; the importer warns if they differ. Never rename once used.</t>
        </r>
      </text>
    </comment>
    <comment ref="C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Used when a minion has no row for this stat in its _Levels sheet (the importer warns).</t>
        </r>
      </text>
    </comment>
    <comment ref="D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TRUE = rounded to a whole number in game (and in the preview columns).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B20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Highest level. Used by every preview formula in this workbook.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Stable ID. Do not rename once used – Data sheets reference it as a column name Dmg_&lt;ID&gt;.</t>
        </r>
      </text>
    </comment>
    <comment ref="C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Physical → reduced by target Fortitude.
Magical → reduced by target Resistance.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Stable ID referenced by Ability1-5 in *_Data sheets. Never rename once used.</t>
        </r>
      </text>
    </comment>
    <comment ref="C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Player-facing tooltip text.</t>
        </r>
      </text>
    </comment>
    <comment ref="D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Attack | Defence | Heal | Buff | Debuff | Summon</t>
        </r>
      </text>
    </comment>
    <comment ref="E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Self | SingleEnemy | SingleAlly | AreaEnemy | AreaAlly | Cone | Line</t>
        </r>
      </text>
    </comment>
    <comment ref="F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Melee | Ranged | Magic. Melee/Ranged roll Accuracy vs Dexterity; Magic may be unavoidable (your call).</t>
        </r>
      </text>
    </comment>
    <comment ref="G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DamageTypeID from DamageTypes sheet. Blank for non-damaging abilities.</t>
        </r>
      </text>
    </comment>
    <comment ref="H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Flat damage/heal/shield amount before scaling.</t>
        </r>
      </text>
    </comment>
    <comment ref="I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Stat from *_Levels that scales the ability: Strength | Magic | Health | Fortitude | Resistance | Speed ...</t>
        </r>
      </text>
    </comment>
    <comment ref="J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Final power = BasePower + ScalingStat × ScalingFactor (then reduced by target defence and multiplied by Dmg_ multiplier).</t>
        </r>
      </text>
    </comment>
    <comment ref="K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In tiles. 1 = adjacent (melee).</t>
        </r>
      </text>
    </comment>
    <comment ref="L1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In tiles. 0 = single target.</t>
        </r>
      </text>
    </comment>
    <comment ref="M1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Seconds between uses.</t>
        </r>
      </text>
    </comment>
    <comment ref="N1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Seconds of wind-up before the effect lands. 0 = instant.</t>
        </r>
      </text>
    </comment>
    <comment ref="O1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Optional: Burn | Freeze | Stun | Slow | Poison | Fear | Shield | Haste ... (would get its own sheet later if it grows)</t>
        </r>
      </text>
    </comment>
    <comment ref="P1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0-1 chance to apply.</t>
        </r>
      </text>
    </comment>
    <comment ref="Q1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Seconds.</t>
        </r>
      </text>
    </comment>
    <comment ref="R1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Meaning depends on effect: damage per second for Burn/Poison, fraction for Slow (0.3 = 30% slower), absorb amount for Shield.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E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LandOnly | LandWater | LandLava | LandWaterLava | Flying (matches TraversalCapability in code).</t>
        </r>
      </text>
    </comment>
    <comment ref="F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Damage-taken multiplier per damage type: 0 = immune, 0.5 = strong to, 1 = normal (blank = 1), 2 = weak to. Any value allowed (e.g. 0.75).</t>
        </r>
      </text>
    </comment>
    <comment ref="O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0-1. Weight used when the minion picks its next activity.</t>
        </r>
      </text>
    </comment>
    <comment ref="A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TRUE if this minion can appear at the portal. Blank = TRUE, except Commander, Worker and General stances, which default to FALSE (they arrive other ways).</t>
        </r>
      </text>
    </comment>
    <comment ref="AE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TRUE = once it has reported for duty, this minion digs, claims, reinforces and hauls gold like a worker. Blank = FALSE. Worker-stance minions always do worker jobs.</t>
        </r>
      </text>
    </comment>
    <comment ref="AF1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Relative pick chance among minions that currently qualify. Blank = 1.</t>
        </r>
      </text>
    </comment>
    <comment ref="AG1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Population slots used. Blank = 1.</t>
        </r>
      </text>
    </comment>
    <comment ref="AH1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Room types that must be built (semicolon list), e.g. RoomA;RoomB.</t>
        </r>
      </text>
    </comment>
    <comment ref="AI1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Minimum size of each required room in tiles – same order as RequiredRooms, e.g. 9;4. Blank = any size.</t>
        </r>
      </text>
    </comment>
    <comment ref="AJ1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Research IDs that must be complete (semicolon list).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C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One row per stat per minion. Stat names are fixed (drop-down).</t>
        </r>
      </text>
    </comment>
    <comment ref="D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Value at level 1.</t>
        </r>
      </text>
    </comment>
    <comment ref="E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Value at level 10 (before Skew).</t>
        </r>
      </text>
    </comment>
    <comment ref="F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Shape of growth. 0 = linear, + = back-loaded, − = front-loaded. See LevelFormula sheet.</t>
        </r>
      </text>
    </comment>
    <comment ref="G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Scales total growth: 0.1 = 10% more, −0.1 = 10% less. See LevelFormula sheet.</t>
        </r>
      </text>
    </comment>
    <comment ref="H1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Grey L1–L10 columns are a live preview for you, rounded when Stats says WholeNumber. The importer ignores them; the game calculates the same formula itself.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2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Not symmetric: the Minotaur hating the Stymphalian Bird doesn't mean the Bird hates the Minotaur. Yellow cells are examples. Only minions with a filled-in _Data row are imported.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E1" authorId="0" shapeId="0" xr:uid="{DDFADD7A-A7F5-479B-A3B6-BA5DC995518A}">
      <text>
        <r>
          <rPr>
            <sz val="11"/>
            <color theme="1"/>
            <rFont val="Calibri"/>
            <family val="2"/>
            <scheme val="minor"/>
          </rPr>
          <t>LandOnly | LandWater | LandLava | LandWaterLava | Flying (matches TraversalCapability in code).</t>
        </r>
      </text>
    </comment>
    <comment ref="F1" authorId="0" shapeId="0" xr:uid="{BB8CC387-68DE-435F-8C13-FC014C8AF3A8}">
      <text>
        <r>
          <rPr>
            <sz val="11"/>
            <color theme="1"/>
            <rFont val="Calibri"/>
            <family val="2"/>
            <scheme val="minor"/>
          </rPr>
          <t>Damage-taken multiplier per damage type: 0 = immune, 0.5 = strong to, 1 = normal (blank = 1), 2 = weak to. Any value allowed (e.g. 0.75).</t>
        </r>
      </text>
    </comment>
    <comment ref="O1" authorId="0" shapeId="0" xr:uid="{E04615DB-DB63-40C3-A498-FD288BC7C596}">
      <text>
        <r>
          <rPr>
            <sz val="11"/>
            <color theme="1"/>
            <rFont val="Calibri"/>
            <family val="2"/>
            <scheme val="minor"/>
          </rPr>
          <t>0-1. Weight used when the minion picks its next activity.</t>
        </r>
      </text>
    </comment>
    <comment ref="AD1" authorId="0" shapeId="0" xr:uid="{D7AD667E-1835-4B54-942B-F36104F94B19}">
      <text>
        <r>
          <rPr>
            <sz val="11"/>
            <color theme="1"/>
            <rFont val="Calibri"/>
            <family val="2"/>
            <scheme val="minor"/>
          </rPr>
          <t>TRUE if this minion can appear at the portal. Blank = TRUE, except Commander, Worker and General stances, which default to FALSE (they arrive other ways).</t>
        </r>
      </text>
    </comment>
    <comment ref="AE1" authorId="0" shapeId="0" xr:uid="{13355212-B736-47FD-B30E-012B088A4DF3}">
      <text>
        <r>
          <rPr>
            <sz val="11"/>
            <color theme="1"/>
            <rFont val="Calibri"/>
            <family val="2"/>
            <scheme val="minor"/>
          </rPr>
          <t>TRUE = once it has reported for duty, this minion digs, claims, reinforces and hauls gold like a worker. Blank = FALSE. Worker-stance minions always do worker jobs.</t>
        </r>
      </text>
    </comment>
    <comment ref="AF1" authorId="0" shapeId="0" xr:uid="{A954C75E-E7DB-4C62-B6ED-EE600B6AF471}">
      <text>
        <r>
          <rPr>
            <sz val="11"/>
            <color theme="1"/>
            <rFont val="Calibri"/>
            <family val="2"/>
            <scheme val="minor"/>
          </rPr>
          <t>Relative pick chance among minions that currently qualify. Blank = 1.</t>
        </r>
      </text>
    </comment>
    <comment ref="AG1" authorId="0" shapeId="0" xr:uid="{DD4D6F7F-C21E-4D7D-9E08-4EDB1689888A}">
      <text>
        <r>
          <rPr>
            <sz val="11"/>
            <color theme="1"/>
            <rFont val="Calibri"/>
            <family val="2"/>
            <scheme val="minor"/>
          </rPr>
          <t>Population slots used. Blank = 1.</t>
        </r>
      </text>
    </comment>
    <comment ref="AH1" authorId="0" shapeId="0" xr:uid="{1670D12E-9546-47C4-A2AB-6511E9086289}">
      <text>
        <r>
          <rPr>
            <sz val="11"/>
            <color theme="1"/>
            <rFont val="Calibri"/>
            <family val="2"/>
            <scheme val="minor"/>
          </rPr>
          <t>Room types that must be built (semicolon list), e.g. RoomA;RoomB.</t>
        </r>
      </text>
    </comment>
    <comment ref="AI1" authorId="0" shapeId="0" xr:uid="{FBBC33BE-DC76-4355-B00C-D4E0BE66DC77}">
      <text>
        <r>
          <rPr>
            <sz val="11"/>
            <color theme="1"/>
            <rFont val="Calibri"/>
            <family val="2"/>
            <scheme val="minor"/>
          </rPr>
          <t>Minimum size of each required room in tiles – same order as RequiredRooms, e.g. 9;4. Blank = any size.</t>
        </r>
      </text>
    </comment>
    <comment ref="AJ1" authorId="0" shapeId="0" xr:uid="{EC4426D8-A9F9-4BCB-A30F-0C8D0F1EE4DB}">
      <text>
        <r>
          <rPr>
            <sz val="11"/>
            <color theme="1"/>
            <rFont val="Calibri"/>
            <family val="2"/>
            <scheme val="minor"/>
          </rPr>
          <t>Research IDs that must be complete (semicolon list).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C1" authorId="0" shapeId="0" xr:uid="{631031AA-773F-4705-AA82-9A0E283DEF5C}">
      <text>
        <r>
          <rPr>
            <sz val="11"/>
            <color theme="1"/>
            <rFont val="Calibri"/>
            <family val="2"/>
            <scheme val="minor"/>
          </rPr>
          <t>One row per stat per minion. Stat names are fixed (drop-down).</t>
        </r>
      </text>
    </comment>
    <comment ref="D1" authorId="0" shapeId="0" xr:uid="{6F159F29-ADC7-4AAE-ACDA-1A6F537205CE}">
      <text>
        <r>
          <rPr>
            <sz val="11"/>
            <color theme="1"/>
            <rFont val="Calibri"/>
            <family val="2"/>
            <scheme val="minor"/>
          </rPr>
          <t>Value at level 1.</t>
        </r>
      </text>
    </comment>
    <comment ref="E1" authorId="0" shapeId="0" xr:uid="{ADBE6920-21E6-487D-87BE-83F0941BF915}">
      <text>
        <r>
          <rPr>
            <sz val="11"/>
            <color theme="1"/>
            <rFont val="Calibri"/>
            <family val="2"/>
            <scheme val="minor"/>
          </rPr>
          <t>Value at level 10 (before Skew).</t>
        </r>
      </text>
    </comment>
    <comment ref="F1" authorId="0" shapeId="0" xr:uid="{DA49E6C1-3A6F-4FA1-9216-02578F9C0D14}">
      <text>
        <r>
          <rPr>
            <sz val="11"/>
            <color theme="1"/>
            <rFont val="Calibri"/>
            <family val="2"/>
            <scheme val="minor"/>
          </rPr>
          <t>Shape of growth. 0 = linear, + = back-loaded, − = front-loaded. See LevelFormula sheet.</t>
        </r>
      </text>
    </comment>
    <comment ref="G1" authorId="0" shapeId="0" xr:uid="{1793179D-BDD1-46D9-A108-2D4E203BA740}">
      <text>
        <r>
          <rPr>
            <sz val="11"/>
            <color theme="1"/>
            <rFont val="Calibri"/>
            <family val="2"/>
            <scheme val="minor"/>
          </rPr>
          <t>Scales total growth: 0.1 = 10% more, −0.1 = 10% less. See LevelFormula sheet.</t>
        </r>
      </text>
    </comment>
    <comment ref="H1" authorId="0" shapeId="0" xr:uid="{1E1F4EA4-D23B-4350-9230-7177B97562AC}">
      <text>
        <r>
          <rPr>
            <sz val="11"/>
            <color theme="1"/>
            <rFont val="Calibri"/>
            <family val="2"/>
            <scheme val="minor"/>
          </rPr>
          <t>Grey L1–L10 columns are a live preview for you, rounded when Stats says WholeNumber. The importer ignores them; the game calculates the same formula itself.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2" authorId="0" shapeId="0" xr:uid="{E6D8A48A-A7AF-4BA4-A122-3601094EA380}">
      <text>
        <r>
          <rPr>
            <sz val="11"/>
            <color theme="1"/>
            <rFont val="Calibri"/>
            <family val="2"/>
            <scheme val="minor"/>
          </rPr>
          <t>Not symmetric: the Minotaur hating the Stymphalian Bird doesn't mean the Bird hates the Minotaur. Yellow cells are examples. Only minions with a filled-in _Data row are imported.</t>
        </r>
      </text>
    </comment>
  </commentList>
</comments>
</file>

<file path=xl/sharedStrings.xml><?xml version="1.0" encoding="utf-8"?>
<sst xmlns="http://schemas.openxmlformats.org/spreadsheetml/2006/main" count="3344" uniqueCount="288">
  <si>
    <t>Minion data</t>
  </si>
  <si>
    <t>Values here are placeholders to show the format, not balance suggestions.</t>
  </si>
  <si>
    <t>In Unity: Sunder &gt; Import Minion Data reads this file (save it first) and creates/updates every minion, ability and faction roster. The Console lists any problems by sheet and row.</t>
  </si>
  <si>
    <t>Rows on a _Data sheet with no Display Name are skipped, so placeholder rows are fine.</t>
  </si>
  <si>
    <t>The Worker row (W) is the faction's worker, placed by WorkerSpawner. Workers read Health (max health), Strength (dig damage per second) and SkillBuild (claim/reinforce speed, 1 = normal) at their level; any of these left off the _Levels sheet keeps the template's own value. Set WorkerJobs on any other minion to have it do worker jobs too.</t>
  </si>
  <si>
    <t>Header cells have comments (hover) explaining each column.</t>
  </si>
  <si>
    <t>Sheets</t>
  </si>
  <si>
    <t>Stats – master list of levelled stats: default value and whether it is a whole number. Adding a stat starts here.</t>
  </si>
  <si>
    <t>DamageTypes – master list of damage types. Column names in *_Data sheets (Dmg_&lt;ID&gt;) must match these IDs.</t>
  </si>
  <si>
    <t>Abilities – one row per ability. Minion AbilityN columns hold an AbilityID from here.</t>
  </si>
  <si>
    <t>01U_Data – revised per-minion columns: Movement, per-damage-type multipliers, summon prerequisites.</t>
  </si>
  <si>
    <t>01U_Levels – per-stat Min (level 1), Max (level 10), Curve and Skew. Grey L1–L10 columns are a live preview only; the game ignores them.</t>
  </si>
  <si>
    <t>LevelFormula – how Curve and Skew work, with a calculator and a chart to experiment with.</t>
  </si>
  <si>
    <t>01U_Relations – Likes/Hates cross-reference within one faction.</t>
  </si>
  <si>
    <t>Conventions the importer would rely on</t>
  </si>
  <si>
    <t>• Header text is the key – columns can be reordered; unknown columns are warned about, missing ones default.</t>
  </si>
  <si>
    <t>• Lists inside one cell are separated by semicolons, e.g. RoomA;RoomB</t>
  </si>
  <si>
    <t>• Adding a stat: add a row to Stats, add it to MinionStat.cs in the game code, then add its rows to each _Levels sheet.</t>
  </si>
  <si>
    <t>• Blank cell = default (1.0 for damage multipliers, none for prerequisites, 0 for relations).</t>
  </si>
  <si>
    <t>• Sheets are found by suffix (_Data, _Levels, _Relations) so per-faction pairs work fine.</t>
  </si>
  <si>
    <t>StatID</t>
  </si>
  <si>
    <t>Description</t>
  </si>
  <si>
    <t>Default</t>
  </si>
  <si>
    <t>WholeNumber</t>
  </si>
  <si>
    <t>Experience</t>
  </si>
  <si>
    <t>Total experience needed to be this level</t>
  </si>
  <si>
    <t>Salary</t>
  </si>
  <si>
    <t>Gold cost to sustain this unit each payday</t>
  </si>
  <si>
    <t>Health</t>
  </si>
  <si>
    <t>Total health of minion</t>
  </si>
  <si>
    <t>Strength</t>
  </si>
  <si>
    <t>Damage done with physical effects</t>
  </si>
  <si>
    <t>Accuracy</t>
  </si>
  <si>
    <t>Chance for attack to land on enemy</t>
  </si>
  <si>
    <t>Dexterity</t>
  </si>
  <si>
    <t>Chance to dodge an attack</t>
  </si>
  <si>
    <t>Fortitude</t>
  </si>
  <si>
    <t>Lessens damage from physical effects (melee and ranged)</t>
  </si>
  <si>
    <t>Speed</t>
  </si>
  <si>
    <t>Movement and attack speed</t>
  </si>
  <si>
    <t>Magic</t>
  </si>
  <si>
    <t>Damage done with magical effects</t>
  </si>
  <si>
    <t>Resistance</t>
  </si>
  <si>
    <t>Lessens damage from magical effects (melee and ranged)</t>
  </si>
  <si>
    <t>Luck</t>
  </si>
  <si>
    <t>Modifies all things a small amount</t>
  </si>
  <si>
    <t>Weight</t>
  </si>
  <si>
    <t>Minion weight</t>
  </si>
  <si>
    <t>WorkingCost</t>
  </si>
  <si>
    <t>Cost of working (training and building)</t>
  </si>
  <si>
    <t>SkillResearch</t>
  </si>
  <si>
    <t>Effectiveness at researching</t>
  </si>
  <si>
    <t>SkillTrain</t>
  </si>
  <si>
    <t>Effectiveness at training</t>
  </si>
  <si>
    <t>SkillBuild</t>
  </si>
  <si>
    <t>Effectiveness at building</t>
  </si>
  <si>
    <t>SkillPray</t>
  </si>
  <si>
    <t>Effectiveness at praying</t>
  </si>
  <si>
    <t>SkillTorture</t>
  </si>
  <si>
    <t>Effectiveness at torturing</t>
  </si>
  <si>
    <t>Anger</t>
  </si>
  <si>
    <t>Likelihood of getting angry</t>
  </si>
  <si>
    <t>Level stat formula</t>
  </si>
  <si>
    <t>t        = (Level − 1) / (MaxLevel − 1)          progress from 0 at level 1 to 1 at MaxLevel</t>
  </si>
  <si>
    <t>shaped   = t ^ (2 ^ Curve)                         Curve bends the line; the ends stay fixed</t>
  </si>
  <si>
    <t>Value    = Min + (Max − Min) × (1 + Skew) × shaped</t>
  </si>
  <si>
    <t>Curve  (blank = 0)</t>
  </si>
  <si>
    <t xml:space="preserve">   0  → straight line: equal gain every level.</t>
  </si>
  <si>
    <t xml:space="preserve">  &gt; 0 → back-loaded: small gains early, big gains late.  Curve 1 = t²,  Curve 2 = t⁴.</t>
  </si>
  <si>
    <t xml:space="preserve">  &lt; 0 → front-loaded: big gains early, levelling off late.  Curve −1 = √t,  Curve −2 = t^0.25.</t>
  </si>
  <si>
    <t xml:space="preserve">  Level 1 is always Min and level 10 is always Max (before Skew), whatever the Curve.</t>
  </si>
  <si>
    <t>Skew  (blank = 0)</t>
  </si>
  <si>
    <t xml:space="preserve">  Scales the whole growth (Max − Min) without touching the level-1 value, i.e. it adjusts the slope.</t>
  </si>
  <si>
    <t xml:space="preserve">  0 → reaches Max exactly.   0.1 → 10% more growth (level 10 = Min + 1.1 × (Max − Min)).   −0.2 → 20% less growth.</t>
  </si>
  <si>
    <t xml:space="preserve">  Use it to nudge balance without rewriting the Min/Max you designed.</t>
  </si>
  <si>
    <t>Rounding: stats marked WholeNumber on the Stats sheet are rounded, both in game and in the _Levels preview columns. The calculator below is unrounded.</t>
  </si>
  <si>
    <t>MaxLevel</t>
  </si>
  <si>
    <t>Calculator – edit the yellow cells</t>
  </si>
  <si>
    <t>Min (level 1)</t>
  </si>
  <si>
    <t>Max (level 10)</t>
  </si>
  <si>
    <t>Curve</t>
  </si>
  <si>
    <t>Skew</t>
  </si>
  <si>
    <t>Level</t>
  </si>
  <si>
    <t>Linear (Curve 0, Skew 0)</t>
  </si>
  <si>
    <t>Result</t>
  </si>
  <si>
    <t>Curve shapes (fraction of growth reached, Skew 0)</t>
  </si>
  <si>
    <t>Curve \ Level</t>
  </si>
  <si>
    <t>DamageTypeID</t>
  </si>
  <si>
    <t>DisplayName</t>
  </si>
  <si>
    <t>Category</t>
  </si>
  <si>
    <t>Slash</t>
  </si>
  <si>
    <t>Slashing</t>
  </si>
  <si>
    <t>Physical</t>
  </si>
  <si>
    <t>Blades, claws</t>
  </si>
  <si>
    <t>Pierce</t>
  </si>
  <si>
    <t>Piercing</t>
  </si>
  <si>
    <t>Arrows, spears, bites</t>
  </si>
  <si>
    <t>Blunt</t>
  </si>
  <si>
    <t>Clubs, fists, crushing</t>
  </si>
  <si>
    <t>Fire</t>
  </si>
  <si>
    <t>Magical</t>
  </si>
  <si>
    <t>Placeholder – replace with your own list</t>
  </si>
  <si>
    <t>Cold</t>
  </si>
  <si>
    <t>Lightning</t>
  </si>
  <si>
    <t>Poison</t>
  </si>
  <si>
    <t>Holy</t>
  </si>
  <si>
    <t>Unholy</t>
  </si>
  <si>
    <t>AbilityID</t>
  </si>
  <si>
    <t>Kind</t>
  </si>
  <si>
    <t>Targeting</t>
  </si>
  <si>
    <t>Delivery</t>
  </si>
  <si>
    <t>DamageType</t>
  </si>
  <si>
    <t>BasePower</t>
  </si>
  <si>
    <t>ScalingStat</t>
  </si>
  <si>
    <t>ScalingFactor</t>
  </si>
  <si>
    <t>Range</t>
  </si>
  <si>
    <t>AreaRadius</t>
  </si>
  <si>
    <t>Cooldown</t>
  </si>
  <si>
    <t>CastTime</t>
  </si>
  <si>
    <t>StatusEffect</t>
  </si>
  <si>
    <t>StatusChance</t>
  </si>
  <si>
    <t>StatusDuration</t>
  </si>
  <si>
    <t>StatusMagnitude</t>
  </si>
  <si>
    <t>A_Strike</t>
  </si>
  <si>
    <t>Strike</t>
  </si>
  <si>
    <t>A basic melee blow.</t>
  </si>
  <si>
    <t>Attack</t>
  </si>
  <si>
    <t>SingleEnemy</t>
  </si>
  <si>
    <t>Melee</t>
  </si>
  <si>
    <t>A_Arrow</t>
  </si>
  <si>
    <t>Arrow Volley</t>
  </si>
  <si>
    <t>Looses a flight of arrows at one foe.</t>
  </si>
  <si>
    <t>Ranged</t>
  </si>
  <si>
    <t>A_Fireball</t>
  </si>
  <si>
    <t>Fireball</t>
  </si>
  <si>
    <t>Hurls fire that bursts on impact, setting targets alight.</t>
  </si>
  <si>
    <t>AreaEnemy</t>
  </si>
  <si>
    <t>Burn</t>
  </si>
  <si>
    <t>A_Stoneskin</t>
  </si>
  <si>
    <t>Stoneskin</t>
  </si>
  <si>
    <t>Hardens the minion's hide, absorbing damage.</t>
  </si>
  <si>
    <t>Defence</t>
  </si>
  <si>
    <t>Self</t>
  </si>
  <si>
    <t>Shield</t>
  </si>
  <si>
    <t>A_Howl</t>
  </si>
  <si>
    <t>Terrible Howl</t>
  </si>
  <si>
    <t>Nearby enemies may flee in fear.</t>
  </si>
  <si>
    <t>Debuff</t>
  </si>
  <si>
    <t>Fear</t>
  </si>
  <si>
    <t>FactionID</t>
  </si>
  <si>
    <t>MinionID</t>
  </si>
  <si>
    <t>Display Name</t>
  </si>
  <si>
    <t>Stance</t>
  </si>
  <si>
    <t>Movement</t>
  </si>
  <si>
    <t>Dmg_Slash</t>
  </si>
  <si>
    <t>Dmg_Pierce</t>
  </si>
  <si>
    <t>Dmg_Blunt</t>
  </si>
  <si>
    <t>Dmg_Fire</t>
  </si>
  <si>
    <t>Dmg_Cold</t>
  </si>
  <si>
    <t>Dmg_Lightning</t>
  </si>
  <si>
    <t>Dmg_Poison</t>
  </si>
  <si>
    <t>Dmg_Holy</t>
  </si>
  <si>
    <t>Dmg_Unholy</t>
  </si>
  <si>
    <t>ResearchPreference</t>
  </si>
  <si>
    <t>TrainPreference</t>
  </si>
  <si>
    <t>BuildPreference</t>
  </si>
  <si>
    <t>PrayPreference</t>
  </si>
  <si>
    <t>TorturePreference</t>
  </si>
  <si>
    <t>Gain1</t>
  </si>
  <si>
    <t>Ability1</t>
  </si>
  <si>
    <t>Gain2</t>
  </si>
  <si>
    <t>Ability2</t>
  </si>
  <si>
    <t>Gain3</t>
  </si>
  <si>
    <t>Ability3</t>
  </si>
  <si>
    <t>Gain4</t>
  </si>
  <si>
    <t>Ability4</t>
  </si>
  <si>
    <t>Gain5</t>
  </si>
  <si>
    <t>Ability5</t>
  </si>
  <si>
    <t>Summonable</t>
  </si>
  <si>
    <t>WorkerJobs</t>
  </si>
  <si>
    <t>SummonWeight</t>
  </si>
  <si>
    <t>PopulationCost</t>
  </si>
  <si>
    <t>RequiredRooms</t>
  </si>
  <si>
    <t>MinRoomTiles</t>
  </si>
  <si>
    <t>RequiredResearch</t>
  </si>
  <si>
    <t>01U</t>
  </si>
  <si>
    <t>C1</t>
  </si>
  <si>
    <t>Thanatos</t>
  </si>
  <si>
    <t>Commander</t>
  </si>
  <si>
    <t>LandOnly</t>
  </si>
  <si>
    <t>T1M</t>
  </si>
  <si>
    <t>Stymphalian Bird</t>
  </si>
  <si>
    <t>Mage</t>
  </si>
  <si>
    <t>Flying</t>
  </si>
  <si>
    <t>RoomA</t>
  </si>
  <si>
    <t>T2F</t>
  </si>
  <si>
    <t>Minotaur</t>
  </si>
  <si>
    <t>Fighter</t>
  </si>
  <si>
    <t>RoomA;RoomB</t>
  </si>
  <si>
    <t>9;4</t>
  </si>
  <si>
    <t>Labyrinths</t>
  </si>
  <si>
    <t>W</t>
  </si>
  <si>
    <t>Eidolon</t>
  </si>
  <si>
    <t>Worker</t>
  </si>
  <si>
    <t>Stat</t>
  </si>
  <si>
    <t>Min</t>
  </si>
  <si>
    <t>Max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</si>
  <si>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</si>
  <si>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</si>
  <si>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</si>
  <si>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</si>
  <si>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</si>
  <si>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</si>
  <si>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</si>
  <si>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</si>
  <si>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</si>
  <si>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</si>
  <si>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Row minion's feeling towards column minion  (1 = likes, -1 = hates, blank = neutral; fractions allowed e.g. 0.5)</t>
  </si>
  <si>
    <t>C2</t>
  </si>
  <si>
    <t>C3</t>
  </si>
  <si>
    <t>C4</t>
  </si>
  <si>
    <t>T1F</t>
  </si>
  <si>
    <t>T1R</t>
  </si>
  <si>
    <t>T1S</t>
  </si>
  <si>
    <t>T1U</t>
  </si>
  <si>
    <t>T2M</t>
  </si>
  <si>
    <t>T2R</t>
  </si>
  <si>
    <t>T2S</t>
  </si>
  <si>
    <t>T2U</t>
  </si>
  <si>
    <t>T3F</t>
  </si>
  <si>
    <t>T3M</t>
  </si>
  <si>
    <t>T3R</t>
  </si>
  <si>
    <t>T3S</t>
  </si>
  <si>
    <t>T3U</t>
  </si>
  <si>
    <t>U1</t>
  </si>
  <si>
    <t>U2</t>
  </si>
  <si>
    <t>U3</t>
  </si>
  <si>
    <t>G</t>
  </si>
  <si>
    <t>Megaera</t>
  </si>
  <si>
    <t>Alecto</t>
  </si>
  <si>
    <t>Tisiphone</t>
  </si>
  <si>
    <t>Spartos</t>
  </si>
  <si>
    <t>Empusa</t>
  </si>
  <si>
    <t>Hound of Erebus</t>
  </si>
  <si>
    <t>Telchine</t>
  </si>
  <si>
    <t>Centaur Archer</t>
  </si>
  <si>
    <t>Lampad</t>
  </si>
  <si>
    <t>Orthus</t>
  </si>
  <si>
    <t>Charon</t>
  </si>
  <si>
    <t>Gegenes</t>
  </si>
  <si>
    <t>Ker</t>
  </si>
  <si>
    <t>Gorgon</t>
  </si>
  <si>
    <t>Harpy</t>
  </si>
  <si>
    <t>Oneiroi</t>
  </si>
  <si>
    <t>Askalaphos</t>
  </si>
  <si>
    <t>Cerberus</t>
  </si>
  <si>
    <t>Typhon</t>
  </si>
  <si>
    <t>Hades</t>
  </si>
  <si>
    <t>Ranger</t>
  </si>
  <si>
    <t>Scout</t>
  </si>
  <si>
    <t>Unique</t>
  </si>
  <si>
    <t>Utility</t>
  </si>
  <si>
    <t>General</t>
  </si>
  <si>
    <t>Agamemnon</t>
  </si>
  <si>
    <t>Achilles</t>
  </si>
  <si>
    <t>Odysseus</t>
  </si>
  <si>
    <t>Ajax</t>
  </si>
  <si>
    <t>Diomedes</t>
  </si>
  <si>
    <t>Thes</t>
  </si>
  <si>
    <t>Hoplite</t>
  </si>
  <si>
    <t>Toxotes</t>
  </si>
  <si>
    <t>Mantis</t>
  </si>
  <si>
    <t>Prodomos</t>
  </si>
  <si>
    <t>Salpinktes</t>
  </si>
  <si>
    <t>Hypaspist</t>
  </si>
  <si>
    <t>Peltast</t>
  </si>
  <si>
    <t>Hiereus</t>
  </si>
  <si>
    <t>Hemerodromus</t>
  </si>
  <si>
    <t>Mechanikos</t>
  </si>
  <si>
    <t>Phalangite</t>
  </si>
  <si>
    <t>Cretan Archer</t>
  </si>
  <si>
    <t>Oracle-Bearer</t>
  </si>
  <si>
    <t>Hetairoi</t>
  </si>
  <si>
    <t>Standard-Bearer</t>
  </si>
  <si>
    <t>Atalanta</t>
  </si>
  <si>
    <t>Perseus</t>
  </si>
  <si>
    <t>Heracles</t>
  </si>
  <si>
    <t>01H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</si>
</sst>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#"/>
    <numFmt numFmtId="165" formatCode="0.0"/>
    <numFmt numFmtId="166" formatCode="#,##0.##"/>
  </numFmts>
  <fonts count="14" x14ac:knownFonts="1">
    <font>
      <sz val="11"/>
      <color theme="1"/>
      <name val="Calibri"/>
      <family val="2"/>
      <scheme val="minor"/>
    </font>
    <font>
      <b/>
      <sz val="13"/>
      <name val="Arial"/>
    </font>
    <font>
      <sz val="11"/>
      <name val="Arial"/>
    </font>
    <font>
      <b/>
      <sz val="11"/>
      <color rgb="FFFFFFFF"/>
      <name val="Arial"/>
    </font>
    <font>
      <sz val="11"/>
      <name val="Arial"/>
    </font>
    <font>
      <i/>
      <sz val="11"/>
      <name val="Arial"/>
    </font>
    <font>
      <b/>
      <sz val="11"/>
      <name val="Arial"/>
    </font>
    <font>
      <b/>
      <sz val="14"/>
      <name val="Arial"/>
    </font>
    <font>
      <sz val="11"/>
      <name val="Consolas"/>
    </font>
    <font>
      <sz val="11"/>
      <color rgb="FF0000FF"/>
      <name val="Arial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808080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top" wrapText="1"/>
    </xf>
    <xf numFmtId="0" fontId="4" fillId="0" borderId="0" xfId="0" applyFont="1"/>
    <xf numFmtId="0" fontId="9" fillId="4" borderId="0" xfId="0" applyFont="1" applyFill="1"/>
    <xf numFmtId="0" fontId="7" fillId="0" borderId="0" xfId="0" applyFont="1"/>
    <xf numFmtId="0" fontId="8" fillId="0" borderId="0" xfId="0" applyFont="1"/>
    <xf numFmtId="0" fontId="6" fillId="0" borderId="0" xfId="0" applyFont="1"/>
    <xf numFmtId="165" fontId="4" fillId="0" borderId="0" xfId="0" applyNumberFormat="1" applyFont="1"/>
    <xf numFmtId="9" fontId="4" fillId="0" borderId="0" xfId="0" applyNumberFormat="1" applyFont="1"/>
    <xf numFmtId="0" fontId="3" fillId="6" borderId="0" xfId="0" applyFont="1" applyFill="1" applyAlignment="1">
      <alignment vertical="top" wrapText="1"/>
    </xf>
    <xf numFmtId="166" fontId="4" fillId="5" borderId="0" xfId="0" applyNumberFormat="1" applyFont="1" applyFill="1"/>
    <xf numFmtId="0" fontId="5" fillId="0" borderId="0" xfId="0" applyFont="1"/>
    <xf numFmtId="0" fontId="3" fillId="2" borderId="0" xfId="0" applyFont="1" applyFill="1"/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7" borderId="0" xfId="0" applyFont="1" applyFill="1" applyAlignment="1">
      <alignment horizontal="center"/>
    </xf>
    <xf numFmtId="0" fontId="0" fillId="7" borderId="0" xfId="0" applyFill="1"/>
    <xf numFmtId="0" fontId="11" fillId="0" borderId="0" xfId="0" applyFont="1"/>
    <xf numFmtId="164" fontId="11" fillId="0" borderId="0" xfId="0" applyNumberFormat="1" applyFont="1"/>
    <xf numFmtId="0" fontId="12" fillId="0" borderId="0" xfId="0" applyFont="1"/>
    <xf numFmtId="0" fontId="10" fillId="2" borderId="0" xfId="0" applyFont="1" applyFill="1" applyAlignment="1">
      <alignment wrapText="1"/>
    </xf>
    <xf numFmtId="0" fontId="10" fillId="2" borderId="0" xfId="0" applyFont="1" applyFill="1" applyAlignment="1">
      <alignment textRotation="180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AU"/>
              <a:t>Calculator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LevelFormula!$A$29</c:f>
              <c:strCache>
                <c:ptCount val="1"/>
                <c:pt idx="0">
                  <c:v>Linear (Curve 0, Skew 0)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LevelFormula!$B$28:$K$28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LevelFormula!$B$29:$K$29</c:f>
              <c:numCache>
                <c:formatCode>0.0</c:formatCode>
                <c:ptCount val="10"/>
                <c:pt idx="0">
                  <c:v>100</c:v>
                </c:pt>
                <c:pt idx="1">
                  <c:v>144.44444444444446</c:v>
                </c:pt>
                <c:pt idx="2">
                  <c:v>188.88888888888889</c:v>
                </c:pt>
                <c:pt idx="3">
                  <c:v>233.33333333333331</c:v>
                </c:pt>
                <c:pt idx="4">
                  <c:v>277.77777777777777</c:v>
                </c:pt>
                <c:pt idx="5">
                  <c:v>322.22222222222223</c:v>
                </c:pt>
                <c:pt idx="6">
                  <c:v>366.66666666666663</c:v>
                </c:pt>
                <c:pt idx="7">
                  <c:v>411.11111111111114</c:v>
                </c:pt>
                <c:pt idx="8">
                  <c:v>455.55555555555554</c:v>
                </c:pt>
                <c:pt idx="9">
                  <c:v>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C9-4447-B213-6B983AA58586}"/>
            </c:ext>
          </c:extLst>
        </c:ser>
        <c:ser>
          <c:idx val="1"/>
          <c:order val="1"/>
          <c:tx>
            <c:strRef>
              <c:f>LevelFormula!$A$30</c:f>
              <c:strCache>
                <c:ptCount val="1"/>
                <c:pt idx="0">
                  <c:v>Result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LevelFormula!$B$28:$K$28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LevelFormula!$B$30:$K$30</c:f>
              <c:numCache>
                <c:formatCode>0.0</c:formatCode>
                <c:ptCount val="10"/>
                <c:pt idx="0">
                  <c:v>100</c:v>
                </c:pt>
                <c:pt idx="1">
                  <c:v>104.93827160493827</c:v>
                </c:pt>
                <c:pt idx="2">
                  <c:v>119.75308641975309</c:v>
                </c:pt>
                <c:pt idx="3">
                  <c:v>144.44444444444446</c:v>
                </c:pt>
                <c:pt idx="4">
                  <c:v>179.01234567901236</c:v>
                </c:pt>
                <c:pt idx="5">
                  <c:v>223.45679012345681</c:v>
                </c:pt>
                <c:pt idx="6">
                  <c:v>277.77777777777777</c:v>
                </c:pt>
                <c:pt idx="7">
                  <c:v>341.97530864197529</c:v>
                </c:pt>
                <c:pt idx="8">
                  <c:v>416.04938271604937</c:v>
                </c:pt>
                <c:pt idx="9">
                  <c:v>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C9-4447-B213-6B983AA58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Level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Value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AU"/>
              <a:t>Curve shapes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LevelFormula!$A$50</c:f>
              <c:strCache>
                <c:ptCount val="1"/>
                <c:pt idx="0">
                  <c:v>-2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LevelFormula!$B$49:$K$49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LevelFormula!$B$50:$K$50</c:f>
              <c:numCache>
                <c:formatCode>0%</c:formatCode>
                <c:ptCount val="10"/>
                <c:pt idx="0">
                  <c:v>0</c:v>
                </c:pt>
                <c:pt idx="1">
                  <c:v>0.57735026918962573</c:v>
                </c:pt>
                <c:pt idx="2">
                  <c:v>0.68658904796903919</c:v>
                </c:pt>
                <c:pt idx="3">
                  <c:v>0.75983568565159254</c:v>
                </c:pt>
                <c:pt idx="4">
                  <c:v>0.81649658092772603</c:v>
                </c:pt>
                <c:pt idx="5">
                  <c:v>0.86334002137045052</c:v>
                </c:pt>
                <c:pt idx="6">
                  <c:v>0.90360200360984477</c:v>
                </c:pt>
                <c:pt idx="7">
                  <c:v>0.93910441575375248</c:v>
                </c:pt>
                <c:pt idx="8">
                  <c:v>0.97098354341464688</c:v>
                </c:pt>
                <c:pt idx="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C0-4B58-9A74-991A9C5CF0C5}"/>
            </c:ext>
          </c:extLst>
        </c:ser>
        <c:ser>
          <c:idx val="1"/>
          <c:order val="1"/>
          <c:tx>
            <c:strRef>
              <c:f>LevelFormula!$A$51</c:f>
              <c:strCache>
                <c:ptCount val="1"/>
                <c:pt idx="0">
                  <c:v>-1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LevelFormula!$B$49:$K$49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LevelFormula!$B$51:$K$51</c:f>
              <c:numCache>
                <c:formatCode>0%</c:formatCode>
                <c:ptCount val="10"/>
                <c:pt idx="0">
                  <c:v>0</c:v>
                </c:pt>
                <c:pt idx="1">
                  <c:v>0.33333333333333331</c:v>
                </c:pt>
                <c:pt idx="2">
                  <c:v>0.47140452079103168</c:v>
                </c:pt>
                <c:pt idx="3">
                  <c:v>0.57735026918962573</c:v>
                </c:pt>
                <c:pt idx="4">
                  <c:v>0.66666666666666663</c:v>
                </c:pt>
                <c:pt idx="5">
                  <c:v>0.7453559924999299</c:v>
                </c:pt>
                <c:pt idx="6">
                  <c:v>0.81649658092772603</c:v>
                </c:pt>
                <c:pt idx="7">
                  <c:v>0.88191710368819687</c:v>
                </c:pt>
                <c:pt idx="8">
                  <c:v>0.94280904158206336</c:v>
                </c:pt>
                <c:pt idx="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C0-4B58-9A74-991A9C5CF0C5}"/>
            </c:ext>
          </c:extLst>
        </c:ser>
        <c:ser>
          <c:idx val="2"/>
          <c:order val="2"/>
          <c:tx>
            <c:strRef>
              <c:f>LevelFormula!$A$52</c:f>
              <c:strCache>
                <c:ptCount val="1"/>
                <c:pt idx="0">
                  <c:v>-0.5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LevelFormula!$B$49:$K$49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LevelFormula!$B$52:$K$52</c:f>
              <c:numCache>
                <c:formatCode>0%</c:formatCode>
                <c:ptCount val="10"/>
                <c:pt idx="0">
                  <c:v>0</c:v>
                </c:pt>
                <c:pt idx="1">
                  <c:v>0.21146994419393222</c:v>
                </c:pt>
                <c:pt idx="2">
                  <c:v>0.34523037654867827</c:v>
                </c:pt>
                <c:pt idx="3">
                  <c:v>0.45985861326491673</c:v>
                </c:pt>
                <c:pt idx="4">
                  <c:v>0.56359788312348724</c:v>
                </c:pt>
                <c:pt idx="5">
                  <c:v>0.65992575900597539</c:v>
                </c:pt>
                <c:pt idx="6">
                  <c:v>0.75073156529047536</c:v>
                </c:pt>
                <c:pt idx="7">
                  <c:v>0.8371884065035663</c:v>
                </c:pt>
                <c:pt idx="8">
                  <c:v>0.92008871593745079</c:v>
                </c:pt>
                <c:pt idx="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DC0-4B58-9A74-991A9C5CF0C5}"/>
            </c:ext>
          </c:extLst>
        </c:ser>
        <c:ser>
          <c:idx val="3"/>
          <c:order val="3"/>
          <c:tx>
            <c:strRef>
              <c:f>LevelFormula!$A$53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LevelFormula!$B$49:$K$49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LevelFormula!$B$53:$K$53</c:f>
              <c:numCache>
                <c:formatCode>0%</c:formatCode>
                <c:ptCount val="10"/>
                <c:pt idx="0">
                  <c:v>0</c:v>
                </c:pt>
                <c:pt idx="1">
                  <c:v>0.1111111111111111</c:v>
                </c:pt>
                <c:pt idx="2">
                  <c:v>0.22222222222222221</c:v>
                </c:pt>
                <c:pt idx="3">
                  <c:v>0.33333333333333331</c:v>
                </c:pt>
                <c:pt idx="4">
                  <c:v>0.44444444444444442</c:v>
                </c:pt>
                <c:pt idx="5">
                  <c:v>0.55555555555555558</c:v>
                </c:pt>
                <c:pt idx="6">
                  <c:v>0.66666666666666663</c:v>
                </c:pt>
                <c:pt idx="7">
                  <c:v>0.77777777777777779</c:v>
                </c:pt>
                <c:pt idx="8">
                  <c:v>0.88888888888888884</c:v>
                </c:pt>
                <c:pt idx="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DC0-4B58-9A74-991A9C5CF0C5}"/>
            </c:ext>
          </c:extLst>
        </c:ser>
        <c:ser>
          <c:idx val="4"/>
          <c:order val="4"/>
          <c:tx>
            <c:strRef>
              <c:f>LevelFormula!$A$54</c:f>
              <c:strCache>
                <c:ptCount val="1"/>
                <c:pt idx="0">
                  <c:v>0.5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LevelFormula!$B$49:$K$49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LevelFormula!$B$54:$K$54</c:f>
              <c:numCache>
                <c:formatCode>0%</c:formatCode>
                <c:ptCount val="10"/>
                <c:pt idx="0">
                  <c:v>0</c:v>
                </c:pt>
                <c:pt idx="1">
                  <c:v>4.4719537297384787E-2</c:v>
                </c:pt>
                <c:pt idx="2">
                  <c:v>0.11918401289194215</c:v>
                </c:pt>
                <c:pt idx="3">
                  <c:v>0.21146994419393217</c:v>
                </c:pt>
                <c:pt idx="4">
                  <c:v>0.31764257386127603</c:v>
                </c:pt>
                <c:pt idx="5">
                  <c:v>0.43550200739961253</c:v>
                </c:pt>
                <c:pt idx="6">
                  <c:v>0.56359788312348724</c:v>
                </c:pt>
                <c:pt idx="7">
                  <c:v>0.70088442798398054</c:v>
                </c:pt>
                <c:pt idx="8">
                  <c:v>0.84656324519542692</c:v>
                </c:pt>
                <c:pt idx="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DC0-4B58-9A74-991A9C5CF0C5}"/>
            </c:ext>
          </c:extLst>
        </c:ser>
        <c:ser>
          <c:idx val="5"/>
          <c:order val="5"/>
          <c:tx>
            <c:strRef>
              <c:f>LevelFormula!$A$55</c:f>
              <c:strCache>
                <c:ptCount val="1"/>
                <c:pt idx="0">
                  <c:v>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LevelFormula!$B$49:$K$49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LevelFormula!$B$55:$K$55</c:f>
              <c:numCache>
                <c:formatCode>0%</c:formatCode>
                <c:ptCount val="10"/>
                <c:pt idx="0">
                  <c:v>0</c:v>
                </c:pt>
                <c:pt idx="1">
                  <c:v>1.2345679012345678E-2</c:v>
                </c:pt>
                <c:pt idx="2">
                  <c:v>4.9382716049382713E-2</c:v>
                </c:pt>
                <c:pt idx="3">
                  <c:v>0.1111111111111111</c:v>
                </c:pt>
                <c:pt idx="4">
                  <c:v>0.19753086419753085</c:v>
                </c:pt>
                <c:pt idx="5">
                  <c:v>0.30864197530864201</c:v>
                </c:pt>
                <c:pt idx="6">
                  <c:v>0.44444444444444442</c:v>
                </c:pt>
                <c:pt idx="7">
                  <c:v>0.60493827160493829</c:v>
                </c:pt>
                <c:pt idx="8">
                  <c:v>0.79012345679012341</c:v>
                </c:pt>
                <c:pt idx="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DC0-4B58-9A74-991A9C5CF0C5}"/>
            </c:ext>
          </c:extLst>
        </c:ser>
        <c:ser>
          <c:idx val="6"/>
          <c:order val="6"/>
          <c:tx>
            <c:strRef>
              <c:f>LevelFormula!$A$56</c:f>
              <c:strCache>
                <c:ptCount val="1"/>
                <c:pt idx="0">
                  <c:v>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LevelFormula!$B$49:$K$49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LevelFormula!$B$56:$K$56</c:f>
              <c:numCache>
                <c:formatCode>0%</c:formatCode>
                <c:ptCount val="10"/>
                <c:pt idx="0">
                  <c:v>0</c:v>
                </c:pt>
                <c:pt idx="1">
                  <c:v>1.5241579027587256E-4</c:v>
                </c:pt>
                <c:pt idx="2">
                  <c:v>2.4386526444139609E-3</c:v>
                </c:pt>
                <c:pt idx="3">
                  <c:v>1.2345679012345678E-2</c:v>
                </c:pt>
                <c:pt idx="4">
                  <c:v>3.9018442310623375E-2</c:v>
                </c:pt>
                <c:pt idx="5">
                  <c:v>9.5259868922420388E-2</c:v>
                </c:pt>
                <c:pt idx="6">
                  <c:v>0.19753086419753085</c:v>
                </c:pt>
                <c:pt idx="7">
                  <c:v>0.36595031245237009</c:v>
                </c:pt>
                <c:pt idx="8">
                  <c:v>0.62429507696997399</c:v>
                </c:pt>
                <c:pt idx="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DC0-4B58-9A74-991A9C5C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Level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Growth reached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0</xdr:rowOff>
    </xdr:from>
    <xdr:ext cx="576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576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workbookViewId="0">
      <selection activeCell="A6" sqref="A6"/>
    </sheetView>
  </sheetViews>
  <sheetFormatPr defaultRowHeight="15" x14ac:dyDescent="0.25"/>
  <cols>
    <col min="1" max="1" width="120" customWidth="1"/>
  </cols>
  <sheetData>
    <row r="1" spans="1:1" ht="16.5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/>
    </row>
    <row r="9" spans="1:1" ht="16.5" x14ac:dyDescent="0.25">
      <c r="A9" s="1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  <row r="17" spans="1:1" x14ac:dyDescent="0.25">
      <c r="A17" s="2"/>
    </row>
    <row r="18" spans="1:1" ht="16.5" x14ac:dyDescent="0.25">
      <c r="A18" s="1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pane xSplit="1" ySplit="1" topLeftCell="B2" activePane="bottomRight" state="frozen"/>
      <selection pane="topRight"/>
      <selection pane="bottomLeft"/>
      <selection pane="bottomRight" activeCell="B9" sqref="B9"/>
    </sheetView>
  </sheetViews>
  <sheetFormatPr defaultRowHeight="15" x14ac:dyDescent="0.25"/>
  <cols>
    <col min="1" max="1" width="12" customWidth="1"/>
    <col min="2" max="2" width="55" customWidth="1"/>
    <col min="3" max="3" width="12" customWidth="1"/>
    <col min="4" max="4" width="13" customWidth="1"/>
  </cols>
  <sheetData>
    <row r="1" spans="1:4" ht="30" x14ac:dyDescent="0.25">
      <c r="A1" s="3" t="s">
        <v>20</v>
      </c>
      <c r="B1" s="3" t="s">
        <v>21</v>
      </c>
      <c r="C1" s="3" t="s">
        <v>22</v>
      </c>
      <c r="D1" s="3" t="s">
        <v>23</v>
      </c>
    </row>
    <row r="2" spans="1:4" x14ac:dyDescent="0.25">
      <c r="A2" s="4" t="s">
        <v>24</v>
      </c>
      <c r="B2" s="4" t="s">
        <v>25</v>
      </c>
      <c r="C2" s="5">
        <v>0</v>
      </c>
      <c r="D2" s="5" t="b">
        <v>1</v>
      </c>
    </row>
    <row r="3" spans="1:4" x14ac:dyDescent="0.25">
      <c r="A3" s="4" t="s">
        <v>26</v>
      </c>
      <c r="B3" s="4" t="s">
        <v>27</v>
      </c>
      <c r="C3" s="5">
        <v>0</v>
      </c>
      <c r="D3" s="5" t="b">
        <v>1</v>
      </c>
    </row>
    <row r="4" spans="1:4" x14ac:dyDescent="0.25">
      <c r="A4" s="4" t="s">
        <v>28</v>
      </c>
      <c r="B4" s="4" t="s">
        <v>29</v>
      </c>
      <c r="C4" s="5">
        <v>1</v>
      </c>
      <c r="D4" s="5" t="b">
        <v>1</v>
      </c>
    </row>
    <row r="5" spans="1:4" x14ac:dyDescent="0.25">
      <c r="A5" s="4" t="s">
        <v>30</v>
      </c>
      <c r="B5" s="4" t="s">
        <v>31</v>
      </c>
      <c r="C5" s="5">
        <v>0</v>
      </c>
      <c r="D5" s="5" t="b">
        <v>1</v>
      </c>
    </row>
    <row r="6" spans="1:4" x14ac:dyDescent="0.25">
      <c r="A6" s="4" t="s">
        <v>32</v>
      </c>
      <c r="B6" s="4" t="s">
        <v>33</v>
      </c>
      <c r="C6" s="5">
        <v>0</v>
      </c>
      <c r="D6" s="5" t="b">
        <v>0</v>
      </c>
    </row>
    <row r="7" spans="1:4" x14ac:dyDescent="0.25">
      <c r="A7" s="4" t="s">
        <v>34</v>
      </c>
      <c r="B7" s="4" t="s">
        <v>35</v>
      </c>
      <c r="C7" s="5">
        <v>0</v>
      </c>
      <c r="D7" s="5" t="b">
        <v>0</v>
      </c>
    </row>
    <row r="8" spans="1:4" x14ac:dyDescent="0.25">
      <c r="A8" s="4" t="s">
        <v>36</v>
      </c>
      <c r="B8" s="4" t="s">
        <v>37</v>
      </c>
      <c r="C8" s="5">
        <v>0</v>
      </c>
      <c r="D8" s="5" t="b">
        <v>1</v>
      </c>
    </row>
    <row r="9" spans="1:4" x14ac:dyDescent="0.25">
      <c r="A9" s="4" t="s">
        <v>38</v>
      </c>
      <c r="B9" s="4" t="s">
        <v>39</v>
      </c>
      <c r="C9" s="5">
        <v>1</v>
      </c>
      <c r="D9" s="5" t="b">
        <v>0</v>
      </c>
    </row>
    <row r="10" spans="1:4" x14ac:dyDescent="0.25">
      <c r="A10" s="4" t="s">
        <v>40</v>
      </c>
      <c r="B10" s="4" t="s">
        <v>41</v>
      </c>
      <c r="C10" s="5">
        <v>0</v>
      </c>
      <c r="D10" s="5" t="b">
        <v>1</v>
      </c>
    </row>
    <row r="11" spans="1:4" x14ac:dyDescent="0.25">
      <c r="A11" s="4" t="s">
        <v>42</v>
      </c>
      <c r="B11" s="4" t="s">
        <v>43</v>
      </c>
      <c r="C11" s="5">
        <v>0</v>
      </c>
      <c r="D11" s="5" t="b">
        <v>1</v>
      </c>
    </row>
    <row r="12" spans="1:4" x14ac:dyDescent="0.25">
      <c r="A12" s="4" t="s">
        <v>44</v>
      </c>
      <c r="B12" s="4" t="s">
        <v>45</v>
      </c>
      <c r="C12" s="5">
        <v>0</v>
      </c>
      <c r="D12" s="5" t="b">
        <v>0</v>
      </c>
    </row>
    <row r="13" spans="1:4" x14ac:dyDescent="0.25">
      <c r="A13" s="4" t="s">
        <v>46</v>
      </c>
      <c r="B13" s="4" t="s">
        <v>47</v>
      </c>
      <c r="C13" s="5">
        <v>0</v>
      </c>
      <c r="D13" s="5" t="b">
        <v>0</v>
      </c>
    </row>
    <row r="14" spans="1:4" x14ac:dyDescent="0.25">
      <c r="A14" s="4" t="s">
        <v>48</v>
      </c>
      <c r="B14" s="4" t="s">
        <v>49</v>
      </c>
      <c r="C14" s="5">
        <v>0</v>
      </c>
      <c r="D14" s="5" t="b">
        <v>1</v>
      </c>
    </row>
    <row r="15" spans="1:4" x14ac:dyDescent="0.25">
      <c r="A15" s="4" t="s">
        <v>50</v>
      </c>
      <c r="B15" s="4" t="s">
        <v>51</v>
      </c>
      <c r="C15" s="5">
        <v>0</v>
      </c>
      <c r="D15" s="5" t="b">
        <v>0</v>
      </c>
    </row>
    <row r="16" spans="1:4" x14ac:dyDescent="0.25">
      <c r="A16" s="4" t="s">
        <v>52</v>
      </c>
      <c r="B16" s="4" t="s">
        <v>53</v>
      </c>
      <c r="C16" s="5">
        <v>0</v>
      </c>
      <c r="D16" s="5" t="b">
        <v>0</v>
      </c>
    </row>
    <row r="17" spans="1:4" x14ac:dyDescent="0.25">
      <c r="A17" s="4" t="s">
        <v>54</v>
      </c>
      <c r="B17" s="4" t="s">
        <v>55</v>
      </c>
      <c r="C17" s="5">
        <v>0</v>
      </c>
      <c r="D17" s="5" t="b">
        <v>0</v>
      </c>
    </row>
    <row r="18" spans="1:4" x14ac:dyDescent="0.25">
      <c r="A18" s="4" t="s">
        <v>56</v>
      </c>
      <c r="B18" s="4" t="s">
        <v>57</v>
      </c>
      <c r="C18" s="5">
        <v>0</v>
      </c>
      <c r="D18" s="5" t="b">
        <v>0</v>
      </c>
    </row>
    <row r="19" spans="1:4" x14ac:dyDescent="0.25">
      <c r="A19" s="4" t="s">
        <v>58</v>
      </c>
      <c r="B19" s="4" t="s">
        <v>59</v>
      </c>
      <c r="C19" s="5">
        <v>0</v>
      </c>
      <c r="D19" s="5" t="b">
        <v>0</v>
      </c>
    </row>
    <row r="20" spans="1:4" x14ac:dyDescent="0.25">
      <c r="A20" s="4" t="s">
        <v>60</v>
      </c>
      <c r="B20" s="4" t="s">
        <v>61</v>
      </c>
      <c r="C20" s="5">
        <v>0</v>
      </c>
      <c r="D20" s="5" t="b">
        <v>0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"/>
  <sheetViews>
    <sheetView workbookViewId="0"/>
  </sheetViews>
  <sheetFormatPr defaultRowHeight="15" x14ac:dyDescent="0.25"/>
  <cols>
    <col min="1" max="1" width="22" customWidth="1"/>
    <col min="2" max="12" width="11" customWidth="1"/>
  </cols>
  <sheetData>
    <row r="1" spans="1:1" ht="18" x14ac:dyDescent="0.25">
      <c r="A1" s="6" t="s">
        <v>62</v>
      </c>
    </row>
    <row r="3" spans="1:1" x14ac:dyDescent="0.25">
      <c r="A3" s="7" t="s">
        <v>63</v>
      </c>
    </row>
    <row r="4" spans="1:1" x14ac:dyDescent="0.25">
      <c r="A4" s="7" t="s">
        <v>64</v>
      </c>
    </row>
    <row r="5" spans="1:1" x14ac:dyDescent="0.25">
      <c r="A5" s="7" t="s">
        <v>65</v>
      </c>
    </row>
    <row r="6" spans="1:1" x14ac:dyDescent="0.25">
      <c r="A6" s="4"/>
    </row>
    <row r="7" spans="1:1" x14ac:dyDescent="0.25">
      <c r="A7" s="8" t="s">
        <v>66</v>
      </c>
    </row>
    <row r="8" spans="1:1" x14ac:dyDescent="0.25">
      <c r="A8" s="4" t="s">
        <v>67</v>
      </c>
    </row>
    <row r="9" spans="1:1" x14ac:dyDescent="0.25">
      <c r="A9" s="4" t="s">
        <v>68</v>
      </c>
    </row>
    <row r="10" spans="1:1" x14ac:dyDescent="0.25">
      <c r="A10" s="4" t="s">
        <v>69</v>
      </c>
    </row>
    <row r="11" spans="1:1" x14ac:dyDescent="0.25">
      <c r="A11" s="4" t="s">
        <v>70</v>
      </c>
    </row>
    <row r="12" spans="1:1" x14ac:dyDescent="0.25">
      <c r="A12" s="4"/>
    </row>
    <row r="13" spans="1:1" x14ac:dyDescent="0.25">
      <c r="A13" s="8" t="s">
        <v>71</v>
      </c>
    </row>
    <row r="14" spans="1:1" x14ac:dyDescent="0.25">
      <c r="A14" s="4" t="s">
        <v>72</v>
      </c>
    </row>
    <row r="15" spans="1:1" x14ac:dyDescent="0.25">
      <c r="A15" s="4" t="s">
        <v>73</v>
      </c>
    </row>
    <row r="16" spans="1:1" x14ac:dyDescent="0.25">
      <c r="A16" s="4" t="s">
        <v>74</v>
      </c>
    </row>
    <row r="17" spans="1:11" x14ac:dyDescent="0.25">
      <c r="A17" s="4"/>
    </row>
    <row r="18" spans="1:11" x14ac:dyDescent="0.25">
      <c r="A18" s="4" t="s">
        <v>75</v>
      </c>
    </row>
    <row r="20" spans="1:11" x14ac:dyDescent="0.25">
      <c r="A20" s="8" t="s">
        <v>76</v>
      </c>
      <c r="B20" s="5">
        <v>10</v>
      </c>
    </row>
    <row r="22" spans="1:11" x14ac:dyDescent="0.25">
      <c r="A22" s="8" t="s">
        <v>77</v>
      </c>
    </row>
    <row r="23" spans="1:11" x14ac:dyDescent="0.25">
      <c r="A23" s="4" t="s">
        <v>78</v>
      </c>
      <c r="B23" s="5">
        <v>100</v>
      </c>
    </row>
    <row r="24" spans="1:11" x14ac:dyDescent="0.25">
      <c r="A24" s="4" t="s">
        <v>79</v>
      </c>
      <c r="B24" s="5">
        <v>500</v>
      </c>
    </row>
    <row r="25" spans="1:11" x14ac:dyDescent="0.25">
      <c r="A25" s="4" t="s">
        <v>80</v>
      </c>
      <c r="B25" s="5">
        <v>1</v>
      </c>
    </row>
    <row r="26" spans="1:11" x14ac:dyDescent="0.25">
      <c r="A26" s="4" t="s">
        <v>81</v>
      </c>
      <c r="B26" s="5">
        <v>0</v>
      </c>
    </row>
    <row r="28" spans="1:11" x14ac:dyDescent="0.25">
      <c r="A28" s="8" t="s">
        <v>82</v>
      </c>
      <c r="B28" s="8">
        <v>1</v>
      </c>
      <c r="C28" s="8">
        <v>2</v>
      </c>
      <c r="D28" s="8">
        <v>3</v>
      </c>
      <c r="E28" s="8">
        <v>4</v>
      </c>
      <c r="F28" s="8">
        <v>5</v>
      </c>
      <c r="G28" s="8">
        <v>6</v>
      </c>
      <c r="H28" s="8">
        <v>7</v>
      </c>
      <c r="I28" s="8">
        <v>8</v>
      </c>
      <c r="J28" s="8">
        <v>9</v>
      </c>
      <c r="K28" s="8">
        <v>10</v>
      </c>
    </row>
    <row r="29" spans="1:11" x14ac:dyDescent="0.25">
      <c r="A29" s="4" t="s">
        <v>83</v>
      </c>
      <c r="B29" s="9">
        <f t="shared" ref="B29:K29" si="0">$B$23+($B$24-$B$23)*((B28-1)/(MaxLevel-1))</f>
        <v>100</v>
      </c>
      <c r="C29" s="9">
        <f t="shared" si="0"/>
        <v>144.44444444444446</v>
      </c>
      <c r="D29" s="9">
        <f t="shared" si="0"/>
        <v>188.88888888888889</v>
      </c>
      <c r="E29" s="9">
        <f t="shared" si="0"/>
        <v>233.33333333333331</v>
      </c>
      <c r="F29" s="9">
        <f t="shared" si="0"/>
        <v>277.77777777777777</v>
      </c>
      <c r="G29" s="9">
        <f t="shared" si="0"/>
        <v>322.22222222222223</v>
      </c>
      <c r="H29" s="9">
        <f t="shared" si="0"/>
        <v>366.66666666666663</v>
      </c>
      <c r="I29" s="9">
        <f t="shared" si="0"/>
        <v>411.11111111111114</v>
      </c>
      <c r="J29" s="9">
        <f t="shared" si="0"/>
        <v>455.55555555555554</v>
      </c>
      <c r="K29" s="9">
        <f t="shared" si="0"/>
        <v>500</v>
      </c>
    </row>
    <row r="30" spans="1:11" x14ac:dyDescent="0.25">
      <c r="A30" s="4" t="s">
        <v>84</v>
      </c>
      <c r="B30" s="9">
        <f t="shared" ref="B30:K30" si="1">$B$23+($B$24-$B$23)*(1+$B$26)*((B28-1)/(MaxLevel-1))^(2^$B$25)</f>
        <v>100</v>
      </c>
      <c r="C30" s="9">
        <f t="shared" si="1"/>
        <v>104.93827160493827</v>
      </c>
      <c r="D30" s="9">
        <f t="shared" si="1"/>
        <v>119.75308641975309</v>
      </c>
      <c r="E30" s="9">
        <f t="shared" si="1"/>
        <v>144.44444444444446</v>
      </c>
      <c r="F30" s="9">
        <f t="shared" si="1"/>
        <v>179.01234567901236</v>
      </c>
      <c r="G30" s="9">
        <f t="shared" si="1"/>
        <v>223.45679012345681</v>
      </c>
      <c r="H30" s="9">
        <f t="shared" si="1"/>
        <v>277.77777777777777</v>
      </c>
      <c r="I30" s="9">
        <f t="shared" si="1"/>
        <v>341.97530864197529</v>
      </c>
      <c r="J30" s="9">
        <f t="shared" si="1"/>
        <v>416.04938271604937</v>
      </c>
      <c r="K30" s="9">
        <f t="shared" si="1"/>
        <v>500</v>
      </c>
    </row>
    <row r="48" spans="1:1" x14ac:dyDescent="0.25">
      <c r="A48" s="8" t="s">
        <v>85</v>
      </c>
    </row>
    <row r="49" spans="1:11" x14ac:dyDescent="0.25">
      <c r="A49" s="8" t="s">
        <v>86</v>
      </c>
      <c r="B49" s="8">
        <v>1</v>
      </c>
      <c r="C49" s="8">
        <v>2</v>
      </c>
      <c r="D49" s="8">
        <v>3</v>
      </c>
      <c r="E49" s="8">
        <v>4</v>
      </c>
      <c r="F49" s="8">
        <v>5</v>
      </c>
      <c r="G49" s="8">
        <v>6</v>
      </c>
      <c r="H49" s="8">
        <v>7</v>
      </c>
      <c r="I49" s="8">
        <v>8</v>
      </c>
      <c r="J49" s="8">
        <v>9</v>
      </c>
      <c r="K49" s="8">
        <v>10</v>
      </c>
    </row>
    <row r="50" spans="1:11" x14ac:dyDescent="0.25">
      <c r="A50" s="5">
        <v>-2</v>
      </c>
      <c r="B50" s="10">
        <f t="shared" ref="B50:K50" si="2">((B49-1)/(MaxLevel-1))^(2^$A50)</f>
        <v>0</v>
      </c>
      <c r="C50" s="10">
        <f t="shared" si="2"/>
        <v>0.57735026918962573</v>
      </c>
      <c r="D50" s="10">
        <f t="shared" si="2"/>
        <v>0.68658904796903919</v>
      </c>
      <c r="E50" s="10">
        <f t="shared" si="2"/>
        <v>0.75983568565159254</v>
      </c>
      <c r="F50" s="10">
        <f t="shared" si="2"/>
        <v>0.81649658092772603</v>
      </c>
      <c r="G50" s="10">
        <f t="shared" si="2"/>
        <v>0.86334002137045052</v>
      </c>
      <c r="H50" s="10">
        <f t="shared" si="2"/>
        <v>0.90360200360984477</v>
      </c>
      <c r="I50" s="10">
        <f t="shared" si="2"/>
        <v>0.93910441575375248</v>
      </c>
      <c r="J50" s="10">
        <f t="shared" si="2"/>
        <v>0.97098354341464688</v>
      </c>
      <c r="K50" s="10">
        <f t="shared" si="2"/>
        <v>1</v>
      </c>
    </row>
    <row r="51" spans="1:11" x14ac:dyDescent="0.25">
      <c r="A51" s="5">
        <v>-1</v>
      </c>
      <c r="B51" s="10">
        <f t="shared" ref="B51:K51" si="3">((B49-1)/(MaxLevel-1))^(2^$A51)</f>
        <v>0</v>
      </c>
      <c r="C51" s="10">
        <f t="shared" si="3"/>
        <v>0.33333333333333331</v>
      </c>
      <c r="D51" s="10">
        <f t="shared" si="3"/>
        <v>0.47140452079103168</v>
      </c>
      <c r="E51" s="10">
        <f t="shared" si="3"/>
        <v>0.57735026918962573</v>
      </c>
      <c r="F51" s="10">
        <f t="shared" si="3"/>
        <v>0.66666666666666663</v>
      </c>
      <c r="G51" s="10">
        <f t="shared" si="3"/>
        <v>0.7453559924999299</v>
      </c>
      <c r="H51" s="10">
        <f t="shared" si="3"/>
        <v>0.81649658092772603</v>
      </c>
      <c r="I51" s="10">
        <f t="shared" si="3"/>
        <v>0.88191710368819687</v>
      </c>
      <c r="J51" s="10">
        <f t="shared" si="3"/>
        <v>0.94280904158206336</v>
      </c>
      <c r="K51" s="10">
        <f t="shared" si="3"/>
        <v>1</v>
      </c>
    </row>
    <row r="52" spans="1:11" x14ac:dyDescent="0.25">
      <c r="A52" s="5">
        <v>-0.5</v>
      </c>
      <c r="B52" s="10">
        <f t="shared" ref="B52:K52" si="4">((B49-1)/(MaxLevel-1))^(2^$A52)</f>
        <v>0</v>
      </c>
      <c r="C52" s="10">
        <f t="shared" si="4"/>
        <v>0.21146994419393222</v>
      </c>
      <c r="D52" s="10">
        <f t="shared" si="4"/>
        <v>0.34523037654867827</v>
      </c>
      <c r="E52" s="10">
        <f t="shared" si="4"/>
        <v>0.45985861326491673</v>
      </c>
      <c r="F52" s="10">
        <f t="shared" si="4"/>
        <v>0.56359788312348724</v>
      </c>
      <c r="G52" s="10">
        <f t="shared" si="4"/>
        <v>0.65992575900597539</v>
      </c>
      <c r="H52" s="10">
        <f t="shared" si="4"/>
        <v>0.75073156529047536</v>
      </c>
      <c r="I52" s="10">
        <f t="shared" si="4"/>
        <v>0.8371884065035663</v>
      </c>
      <c r="J52" s="10">
        <f t="shared" si="4"/>
        <v>0.92008871593745079</v>
      </c>
      <c r="K52" s="10">
        <f t="shared" si="4"/>
        <v>1</v>
      </c>
    </row>
    <row r="53" spans="1:11" x14ac:dyDescent="0.25">
      <c r="A53" s="5">
        <v>0</v>
      </c>
      <c r="B53" s="10">
        <f t="shared" ref="B53:K53" si="5">((B49-1)/(MaxLevel-1))^(2^$A53)</f>
        <v>0</v>
      </c>
      <c r="C53" s="10">
        <f t="shared" si="5"/>
        <v>0.1111111111111111</v>
      </c>
      <c r="D53" s="10">
        <f t="shared" si="5"/>
        <v>0.22222222222222221</v>
      </c>
      <c r="E53" s="10">
        <f t="shared" si="5"/>
        <v>0.33333333333333331</v>
      </c>
      <c r="F53" s="10">
        <f t="shared" si="5"/>
        <v>0.44444444444444442</v>
      </c>
      <c r="G53" s="10">
        <f t="shared" si="5"/>
        <v>0.55555555555555558</v>
      </c>
      <c r="H53" s="10">
        <f t="shared" si="5"/>
        <v>0.66666666666666663</v>
      </c>
      <c r="I53" s="10">
        <f t="shared" si="5"/>
        <v>0.77777777777777779</v>
      </c>
      <c r="J53" s="10">
        <f t="shared" si="5"/>
        <v>0.88888888888888884</v>
      </c>
      <c r="K53" s="10">
        <f t="shared" si="5"/>
        <v>1</v>
      </c>
    </row>
    <row r="54" spans="1:11" x14ac:dyDescent="0.25">
      <c r="A54" s="5">
        <v>0.5</v>
      </c>
      <c r="B54" s="10">
        <f t="shared" ref="B54:K54" si="6">((B49-1)/(MaxLevel-1))^(2^$A54)</f>
        <v>0</v>
      </c>
      <c r="C54" s="10">
        <f t="shared" si="6"/>
        <v>4.4719537297384787E-2</v>
      </c>
      <c r="D54" s="10">
        <f t="shared" si="6"/>
        <v>0.11918401289194215</v>
      </c>
      <c r="E54" s="10">
        <f t="shared" si="6"/>
        <v>0.21146994419393217</v>
      </c>
      <c r="F54" s="10">
        <f t="shared" si="6"/>
        <v>0.31764257386127603</v>
      </c>
      <c r="G54" s="10">
        <f t="shared" si="6"/>
        <v>0.43550200739961253</v>
      </c>
      <c r="H54" s="10">
        <f t="shared" si="6"/>
        <v>0.56359788312348724</v>
      </c>
      <c r="I54" s="10">
        <f t="shared" si="6"/>
        <v>0.70088442798398054</v>
      </c>
      <c r="J54" s="10">
        <f t="shared" si="6"/>
        <v>0.84656324519542692</v>
      </c>
      <c r="K54" s="10">
        <f t="shared" si="6"/>
        <v>1</v>
      </c>
    </row>
    <row r="55" spans="1:11" x14ac:dyDescent="0.25">
      <c r="A55" s="5">
        <v>1</v>
      </c>
      <c r="B55" s="10">
        <f t="shared" ref="B55:K55" si="7">((B49-1)/(MaxLevel-1))^(2^$A55)</f>
        <v>0</v>
      </c>
      <c r="C55" s="10">
        <f t="shared" si="7"/>
        <v>1.2345679012345678E-2</v>
      </c>
      <c r="D55" s="10">
        <f t="shared" si="7"/>
        <v>4.9382716049382713E-2</v>
      </c>
      <c r="E55" s="10">
        <f t="shared" si="7"/>
        <v>0.1111111111111111</v>
      </c>
      <c r="F55" s="10">
        <f t="shared" si="7"/>
        <v>0.19753086419753085</v>
      </c>
      <c r="G55" s="10">
        <f t="shared" si="7"/>
        <v>0.30864197530864201</v>
      </c>
      <c r="H55" s="10">
        <f t="shared" si="7"/>
        <v>0.44444444444444442</v>
      </c>
      <c r="I55" s="10">
        <f t="shared" si="7"/>
        <v>0.60493827160493829</v>
      </c>
      <c r="J55" s="10">
        <f t="shared" si="7"/>
        <v>0.79012345679012341</v>
      </c>
      <c r="K55" s="10">
        <f t="shared" si="7"/>
        <v>1</v>
      </c>
    </row>
    <row r="56" spans="1:11" x14ac:dyDescent="0.25">
      <c r="A56" s="5">
        <v>2</v>
      </c>
      <c r="B56" s="10">
        <f t="shared" ref="B56:K56" si="8">((B49-1)/(MaxLevel-1))^(2^$A56)</f>
        <v>0</v>
      </c>
      <c r="C56" s="10">
        <f t="shared" si="8"/>
        <v>1.5241579027587256E-4</v>
      </c>
      <c r="D56" s="10">
        <f t="shared" si="8"/>
        <v>2.4386526444139609E-3</v>
      </c>
      <c r="E56" s="10">
        <f t="shared" si="8"/>
        <v>1.2345679012345678E-2</v>
      </c>
      <c r="F56" s="10">
        <f t="shared" si="8"/>
        <v>3.9018442310623375E-2</v>
      </c>
      <c r="G56" s="10">
        <f t="shared" si="8"/>
        <v>9.5259868922420388E-2</v>
      </c>
      <c r="H56" s="10">
        <f t="shared" si="8"/>
        <v>0.19753086419753085</v>
      </c>
      <c r="I56" s="10">
        <f t="shared" si="8"/>
        <v>0.36595031245237009</v>
      </c>
      <c r="J56" s="10">
        <f t="shared" si="8"/>
        <v>0.62429507696997399</v>
      </c>
      <c r="K56" s="10">
        <f t="shared" si="8"/>
        <v>1</v>
      </c>
    </row>
  </sheetData>
  <pageMargins left="0.75" right="0.75" top="1" bottom="1" header="0.5" footer="0.5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" customWidth="1"/>
    <col min="2" max="2" width="13" customWidth="1"/>
    <col min="3" max="3" width="12" customWidth="1"/>
    <col min="4" max="4" width="45" customWidth="1"/>
  </cols>
  <sheetData>
    <row r="1" spans="1:4" ht="30" x14ac:dyDescent="0.25">
      <c r="A1" s="3" t="s">
        <v>87</v>
      </c>
      <c r="B1" s="3" t="s">
        <v>88</v>
      </c>
      <c r="C1" s="3" t="s">
        <v>89</v>
      </c>
      <c r="D1" s="3" t="s">
        <v>21</v>
      </c>
    </row>
    <row r="2" spans="1:4" x14ac:dyDescent="0.25">
      <c r="A2" s="4" t="s">
        <v>90</v>
      </c>
      <c r="B2" s="4" t="s">
        <v>91</v>
      </c>
      <c r="C2" s="4" t="s">
        <v>92</v>
      </c>
      <c r="D2" s="4" t="s">
        <v>93</v>
      </c>
    </row>
    <row r="3" spans="1:4" x14ac:dyDescent="0.25">
      <c r="A3" s="4" t="s">
        <v>94</v>
      </c>
      <c r="B3" s="4" t="s">
        <v>95</v>
      </c>
      <c r="C3" s="4" t="s">
        <v>92</v>
      </c>
      <c r="D3" s="4" t="s">
        <v>96</v>
      </c>
    </row>
    <row r="4" spans="1:4" x14ac:dyDescent="0.25">
      <c r="A4" s="4" t="s">
        <v>97</v>
      </c>
      <c r="B4" s="4" t="s">
        <v>97</v>
      </c>
      <c r="C4" s="4" t="s">
        <v>92</v>
      </c>
      <c r="D4" s="4" t="s">
        <v>98</v>
      </c>
    </row>
    <row r="5" spans="1:4" x14ac:dyDescent="0.25">
      <c r="A5" s="4" t="s">
        <v>99</v>
      </c>
      <c r="B5" s="4" t="s">
        <v>99</v>
      </c>
      <c r="C5" s="4" t="s">
        <v>100</v>
      </c>
      <c r="D5" s="4" t="s">
        <v>101</v>
      </c>
    </row>
    <row r="6" spans="1:4" x14ac:dyDescent="0.25">
      <c r="A6" s="4" t="s">
        <v>102</v>
      </c>
      <c r="B6" s="4" t="s">
        <v>102</v>
      </c>
      <c r="C6" s="4" t="s">
        <v>100</v>
      </c>
      <c r="D6" s="4"/>
    </row>
    <row r="7" spans="1:4" x14ac:dyDescent="0.25">
      <c r="A7" s="4" t="s">
        <v>103</v>
      </c>
      <c r="B7" s="4" t="s">
        <v>103</v>
      </c>
      <c r="C7" s="4" t="s">
        <v>100</v>
      </c>
      <c r="D7" s="4"/>
    </row>
    <row r="8" spans="1:4" x14ac:dyDescent="0.25">
      <c r="A8" s="4" t="s">
        <v>104</v>
      </c>
      <c r="B8" s="4" t="s">
        <v>104</v>
      </c>
      <c r="C8" s="4" t="s">
        <v>100</v>
      </c>
      <c r="D8" s="4"/>
    </row>
    <row r="9" spans="1:4" x14ac:dyDescent="0.25">
      <c r="A9" s="4" t="s">
        <v>105</v>
      </c>
      <c r="B9" s="4" t="s">
        <v>105</v>
      </c>
      <c r="C9" s="4" t="s">
        <v>100</v>
      </c>
      <c r="D9" s="4"/>
    </row>
    <row r="10" spans="1:4" x14ac:dyDescent="0.25">
      <c r="A10" s="4" t="s">
        <v>106</v>
      </c>
      <c r="B10" s="4" t="s">
        <v>106</v>
      </c>
      <c r="C10" s="4" t="s">
        <v>100</v>
      </c>
      <c r="D10" s="4"/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13" customWidth="1"/>
    <col min="3" max="3" width="45" customWidth="1"/>
    <col min="4" max="8" width="12" customWidth="1"/>
    <col min="9" max="9" width="13" customWidth="1"/>
    <col min="10" max="10" width="15" customWidth="1"/>
    <col min="11" max="14" width="12" customWidth="1"/>
    <col min="15" max="16" width="14" customWidth="1"/>
    <col min="17" max="17" width="16" customWidth="1"/>
    <col min="18" max="18" width="17" customWidth="1"/>
  </cols>
  <sheetData>
    <row r="1" spans="1:18" ht="30" x14ac:dyDescent="0.25">
      <c r="A1" s="3" t="s">
        <v>107</v>
      </c>
      <c r="B1" s="3" t="s">
        <v>88</v>
      </c>
      <c r="C1" s="3" t="s">
        <v>21</v>
      </c>
      <c r="D1" s="3" t="s">
        <v>108</v>
      </c>
      <c r="E1" s="3" t="s">
        <v>109</v>
      </c>
      <c r="F1" s="3" t="s">
        <v>110</v>
      </c>
      <c r="G1" s="3" t="s">
        <v>111</v>
      </c>
      <c r="H1" s="3" t="s">
        <v>112</v>
      </c>
      <c r="I1" s="3" t="s">
        <v>113</v>
      </c>
      <c r="J1" s="3" t="s">
        <v>114</v>
      </c>
      <c r="K1" s="3" t="s">
        <v>115</v>
      </c>
      <c r="L1" s="3" t="s">
        <v>116</v>
      </c>
      <c r="M1" s="3" t="s">
        <v>117</v>
      </c>
      <c r="N1" s="3" t="s">
        <v>118</v>
      </c>
      <c r="O1" s="3" t="s">
        <v>119</v>
      </c>
      <c r="P1" s="3" t="s">
        <v>120</v>
      </c>
      <c r="Q1" s="3" t="s">
        <v>121</v>
      </c>
      <c r="R1" s="3" t="s">
        <v>122</v>
      </c>
    </row>
    <row r="2" spans="1:18" x14ac:dyDescent="0.25">
      <c r="A2" s="4" t="s">
        <v>123</v>
      </c>
      <c r="B2" s="4" t="s">
        <v>124</v>
      </c>
      <c r="C2" s="4" t="s">
        <v>125</v>
      </c>
      <c r="D2" s="4" t="s">
        <v>126</v>
      </c>
      <c r="E2" s="4" t="s">
        <v>127</v>
      </c>
      <c r="F2" s="4" t="s">
        <v>128</v>
      </c>
      <c r="G2" s="4" t="s">
        <v>90</v>
      </c>
      <c r="H2" s="4">
        <v>5</v>
      </c>
      <c r="I2" s="4" t="s">
        <v>30</v>
      </c>
      <c r="J2" s="4">
        <v>1</v>
      </c>
      <c r="K2" s="4">
        <v>1</v>
      </c>
      <c r="L2" s="4">
        <v>0</v>
      </c>
      <c r="M2" s="4">
        <v>1.5</v>
      </c>
      <c r="N2" s="4">
        <v>0</v>
      </c>
      <c r="O2" s="4"/>
      <c r="P2" s="4"/>
      <c r="Q2" s="4"/>
      <c r="R2" s="4"/>
    </row>
    <row r="3" spans="1:18" x14ac:dyDescent="0.25">
      <c r="A3" s="4" t="s">
        <v>129</v>
      </c>
      <c r="B3" s="4" t="s">
        <v>130</v>
      </c>
      <c r="C3" s="4" t="s">
        <v>131</v>
      </c>
      <c r="D3" s="4" t="s">
        <v>126</v>
      </c>
      <c r="E3" s="4" t="s">
        <v>127</v>
      </c>
      <c r="F3" s="4" t="s">
        <v>132</v>
      </c>
      <c r="G3" s="4" t="s">
        <v>94</v>
      </c>
      <c r="H3" s="4">
        <v>3</v>
      </c>
      <c r="I3" s="4" t="s">
        <v>30</v>
      </c>
      <c r="J3" s="4">
        <v>0.8</v>
      </c>
      <c r="K3" s="4">
        <v>6</v>
      </c>
      <c r="L3" s="4">
        <v>0</v>
      </c>
      <c r="M3" s="4">
        <v>2</v>
      </c>
      <c r="N3" s="4">
        <v>0.3</v>
      </c>
      <c r="O3" s="4"/>
      <c r="P3" s="4"/>
      <c r="Q3" s="4"/>
      <c r="R3" s="4"/>
    </row>
    <row r="4" spans="1:18" x14ac:dyDescent="0.25">
      <c r="A4" s="4" t="s">
        <v>133</v>
      </c>
      <c r="B4" s="4" t="s">
        <v>134</v>
      </c>
      <c r="C4" s="4" t="s">
        <v>135</v>
      </c>
      <c r="D4" s="4" t="s">
        <v>126</v>
      </c>
      <c r="E4" s="4" t="s">
        <v>136</v>
      </c>
      <c r="F4" s="4" t="s">
        <v>40</v>
      </c>
      <c r="G4" s="4" t="s">
        <v>99</v>
      </c>
      <c r="H4" s="4">
        <v>8</v>
      </c>
      <c r="I4" s="4" t="s">
        <v>40</v>
      </c>
      <c r="J4" s="4">
        <v>1.2</v>
      </c>
      <c r="K4" s="4">
        <v>5</v>
      </c>
      <c r="L4" s="4">
        <v>1.5</v>
      </c>
      <c r="M4" s="4">
        <v>6</v>
      </c>
      <c r="N4" s="4">
        <v>0.8</v>
      </c>
      <c r="O4" s="4" t="s">
        <v>137</v>
      </c>
      <c r="P4" s="4">
        <v>0.5</v>
      </c>
      <c r="Q4" s="4">
        <v>3</v>
      </c>
      <c r="R4" s="4">
        <v>2</v>
      </c>
    </row>
    <row r="5" spans="1:18" x14ac:dyDescent="0.25">
      <c r="A5" s="4" t="s">
        <v>138</v>
      </c>
      <c r="B5" s="4" t="s">
        <v>139</v>
      </c>
      <c r="C5" s="4" t="s">
        <v>140</v>
      </c>
      <c r="D5" s="4" t="s">
        <v>141</v>
      </c>
      <c r="E5" s="4" t="s">
        <v>142</v>
      </c>
      <c r="F5" s="4" t="s">
        <v>40</v>
      </c>
      <c r="G5" s="4"/>
      <c r="H5" s="4">
        <v>10</v>
      </c>
      <c r="I5" s="4" t="s">
        <v>36</v>
      </c>
      <c r="J5" s="4">
        <v>0.5</v>
      </c>
      <c r="K5" s="4">
        <v>0</v>
      </c>
      <c r="L5" s="4">
        <v>0</v>
      </c>
      <c r="M5" s="4">
        <v>20</v>
      </c>
      <c r="N5" s="4">
        <v>0.5</v>
      </c>
      <c r="O5" s="4" t="s">
        <v>143</v>
      </c>
      <c r="P5" s="4">
        <v>1</v>
      </c>
      <c r="Q5" s="4">
        <v>8</v>
      </c>
      <c r="R5" s="4">
        <v>15</v>
      </c>
    </row>
    <row r="6" spans="1:18" x14ac:dyDescent="0.25">
      <c r="A6" s="4" t="s">
        <v>144</v>
      </c>
      <c r="B6" s="4" t="s">
        <v>145</v>
      </c>
      <c r="C6" s="4" t="s">
        <v>146</v>
      </c>
      <c r="D6" s="4" t="s">
        <v>147</v>
      </c>
      <c r="E6" s="4" t="s">
        <v>136</v>
      </c>
      <c r="F6" s="4" t="s">
        <v>40</v>
      </c>
      <c r="G6" s="4" t="s">
        <v>106</v>
      </c>
      <c r="H6" s="4">
        <v>0</v>
      </c>
      <c r="I6" s="4" t="s">
        <v>40</v>
      </c>
      <c r="J6" s="4">
        <v>0</v>
      </c>
      <c r="K6" s="4">
        <v>0</v>
      </c>
      <c r="L6" s="4">
        <v>3</v>
      </c>
      <c r="M6" s="4">
        <v>15</v>
      </c>
      <c r="N6" s="4">
        <v>0.5</v>
      </c>
      <c r="O6" s="4" t="s">
        <v>148</v>
      </c>
      <c r="P6" s="4">
        <v>0.4</v>
      </c>
      <c r="Q6" s="4">
        <v>3</v>
      </c>
      <c r="R6" s="4"/>
    </row>
  </sheetData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0000000}">
          <x14:formula1>
            <xm:f>DamageTypes!$A$2:$A$200</xm:f>
          </x14:formula1>
          <xm:sqref>G2:G500</xm:sqref>
        </x14:dataValidation>
        <x14:dataValidation type="list" allowBlank="1" xr:uid="{00000000-0002-0000-0400-000001000000}">
          <x14:formula1>
            <xm:f>Stats!$A$2:$A$200</xm:f>
          </x14:formula1>
          <xm:sqref>I2:I500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25"/>
  <sheetViews>
    <sheetView workbookViewId="0">
      <pane xSplit="2" ySplit="1" topLeftCell="C2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RowHeight="15" x14ac:dyDescent="0.25"/>
  <cols>
    <col min="1" max="2" width="12" customWidth="1"/>
    <col min="3" max="3" width="18" customWidth="1"/>
    <col min="4" max="5" width="12" customWidth="1"/>
    <col min="6" max="19" width="5.28515625" customWidth="1"/>
    <col min="20" max="29" width="12" customWidth="1"/>
    <col min="30" max="35" width="18.28515625" customWidth="1"/>
    <col min="36" max="36" width="20.85546875" customWidth="1"/>
  </cols>
  <sheetData>
    <row r="1" spans="1:36" s="24" customFormat="1" ht="122.25" customHeight="1" x14ac:dyDescent="0.25">
      <c r="A1" s="22" t="s">
        <v>149</v>
      </c>
      <c r="B1" s="22" t="s">
        <v>150</v>
      </c>
      <c r="C1" s="22" t="s">
        <v>151</v>
      </c>
      <c r="D1" s="22" t="s">
        <v>152</v>
      </c>
      <c r="E1" s="22" t="s">
        <v>153</v>
      </c>
      <c r="F1" s="23" t="s">
        <v>154</v>
      </c>
      <c r="G1" s="23" t="s">
        <v>155</v>
      </c>
      <c r="H1" s="23" t="s">
        <v>156</v>
      </c>
      <c r="I1" s="23" t="s">
        <v>157</v>
      </c>
      <c r="J1" s="23" t="s">
        <v>158</v>
      </c>
      <c r="K1" s="23" t="s">
        <v>159</v>
      </c>
      <c r="L1" s="23" t="s">
        <v>160</v>
      </c>
      <c r="M1" s="23" t="s">
        <v>161</v>
      </c>
      <c r="N1" s="23" t="s">
        <v>162</v>
      </c>
      <c r="O1" s="23" t="s">
        <v>163</v>
      </c>
      <c r="P1" s="23" t="s">
        <v>164</v>
      </c>
      <c r="Q1" s="23" t="s">
        <v>165</v>
      </c>
      <c r="R1" s="23" t="s">
        <v>166</v>
      </c>
      <c r="S1" s="23" t="s">
        <v>167</v>
      </c>
      <c r="T1" s="22" t="s">
        <v>168</v>
      </c>
      <c r="U1" s="22" t="s">
        <v>169</v>
      </c>
      <c r="V1" s="22" t="s">
        <v>170</v>
      </c>
      <c r="W1" s="22" t="s">
        <v>171</v>
      </c>
      <c r="X1" s="22" t="s">
        <v>172</v>
      </c>
      <c r="Y1" s="22" t="s">
        <v>173</v>
      </c>
      <c r="Z1" s="22" t="s">
        <v>174</v>
      </c>
      <c r="AA1" s="22" t="s">
        <v>175</v>
      </c>
      <c r="AB1" s="22" t="s">
        <v>176</v>
      </c>
      <c r="AC1" s="22" t="s">
        <v>177</v>
      </c>
      <c r="AD1" s="22" t="s">
        <v>178</v>
      </c>
      <c r="AE1" s="22" t="s">
        <v>179</v>
      </c>
      <c r="AF1" s="22" t="s">
        <v>180</v>
      </c>
      <c r="AG1" s="22" t="s">
        <v>181</v>
      </c>
      <c r="AH1" s="22" t="s">
        <v>182</v>
      </c>
      <c r="AI1" s="22" t="s">
        <v>183</v>
      </c>
      <c r="AJ1" s="22" t="s">
        <v>184</v>
      </c>
    </row>
    <row r="2" spans="1:36" x14ac:dyDescent="0.25">
      <c r="A2" s="19" t="s">
        <v>185</v>
      </c>
      <c r="B2" s="19" t="s">
        <v>186</v>
      </c>
      <c r="C2" s="19" t="s">
        <v>187</v>
      </c>
      <c r="D2" s="19" t="s">
        <v>188</v>
      </c>
      <c r="E2" s="19" t="s">
        <v>189</v>
      </c>
      <c r="F2" s="20"/>
      <c r="G2" s="20"/>
      <c r="H2" s="20"/>
      <c r="I2" s="20"/>
      <c r="J2" s="20"/>
      <c r="K2" s="20"/>
      <c r="L2" s="20"/>
      <c r="M2" s="20">
        <v>2</v>
      </c>
      <c r="N2" s="20">
        <v>0.5</v>
      </c>
      <c r="O2" s="19">
        <v>0.2</v>
      </c>
      <c r="P2" s="19">
        <v>0.6</v>
      </c>
      <c r="Q2" s="19">
        <v>0.1</v>
      </c>
      <c r="R2" s="19">
        <v>0.1</v>
      </c>
      <c r="S2" s="19">
        <v>0</v>
      </c>
      <c r="T2" s="19">
        <v>1</v>
      </c>
      <c r="U2" s="19" t="s">
        <v>123</v>
      </c>
      <c r="V2" s="19">
        <v>4</v>
      </c>
      <c r="W2" s="19" t="s">
        <v>144</v>
      </c>
      <c r="X2" s="19"/>
      <c r="Y2" s="19"/>
      <c r="Z2" s="19"/>
      <c r="AA2" s="19"/>
      <c r="AB2" s="19"/>
      <c r="AC2" s="19"/>
      <c r="AD2" s="19" t="b">
        <v>0</v>
      </c>
      <c r="AE2" s="19" t="b">
        <v>0</v>
      </c>
      <c r="AF2" s="19">
        <v>0</v>
      </c>
      <c r="AG2" s="19">
        <v>0</v>
      </c>
      <c r="AH2" s="19"/>
      <c r="AI2" s="19"/>
      <c r="AJ2" s="19"/>
    </row>
    <row r="3" spans="1:36" x14ac:dyDescent="0.25">
      <c r="A3" s="19" t="s">
        <v>185</v>
      </c>
      <c r="B3" s="19" t="s">
        <v>218</v>
      </c>
      <c r="C3" s="19" t="s">
        <v>239</v>
      </c>
      <c r="D3" s="19" t="s">
        <v>188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 t="b">
        <v>0</v>
      </c>
      <c r="AE3" s="19" t="b">
        <v>0</v>
      </c>
      <c r="AF3" s="19">
        <v>0</v>
      </c>
      <c r="AG3" s="19">
        <v>0</v>
      </c>
      <c r="AH3" s="19"/>
      <c r="AI3" s="19"/>
      <c r="AJ3" s="19"/>
    </row>
    <row r="4" spans="1:36" x14ac:dyDescent="0.25">
      <c r="A4" s="19" t="s">
        <v>185</v>
      </c>
      <c r="B4" s="19" t="s">
        <v>219</v>
      </c>
      <c r="C4" s="19" t="s">
        <v>238</v>
      </c>
      <c r="D4" s="19" t="s">
        <v>188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 t="b">
        <v>0</v>
      </c>
      <c r="AE4" s="19" t="b">
        <v>0</v>
      </c>
      <c r="AF4" s="19">
        <v>0</v>
      </c>
      <c r="AG4" s="19">
        <v>0</v>
      </c>
      <c r="AH4" s="19"/>
      <c r="AI4" s="19"/>
      <c r="AJ4" s="19"/>
    </row>
    <row r="5" spans="1:36" x14ac:dyDescent="0.25">
      <c r="A5" s="19" t="s">
        <v>185</v>
      </c>
      <c r="B5" s="19" t="s">
        <v>220</v>
      </c>
      <c r="C5" s="19" t="s">
        <v>240</v>
      </c>
      <c r="D5" s="19" t="s">
        <v>188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 t="b">
        <v>0</v>
      </c>
      <c r="AE5" s="19" t="b">
        <v>0</v>
      </c>
      <c r="AF5" s="19">
        <v>0</v>
      </c>
      <c r="AG5" s="19">
        <v>0</v>
      </c>
      <c r="AH5" s="19"/>
      <c r="AI5" s="19"/>
      <c r="AJ5" s="19"/>
    </row>
    <row r="6" spans="1:36" x14ac:dyDescent="0.25">
      <c r="A6" s="19" t="s">
        <v>185</v>
      </c>
      <c r="B6" s="19" t="s">
        <v>221</v>
      </c>
      <c r="C6" s="19" t="s">
        <v>241</v>
      </c>
      <c r="D6" s="19" t="s">
        <v>197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 t="b">
        <v>1</v>
      </c>
      <c r="AE6" s="19" t="b">
        <v>0</v>
      </c>
      <c r="AF6" s="19">
        <v>1</v>
      </c>
      <c r="AG6" s="19">
        <v>1</v>
      </c>
      <c r="AH6" s="19"/>
      <c r="AI6" s="19"/>
      <c r="AJ6" s="19"/>
    </row>
    <row r="7" spans="1:36" x14ac:dyDescent="0.25">
      <c r="A7" s="19" t="s">
        <v>185</v>
      </c>
      <c r="B7" s="19" t="s">
        <v>190</v>
      </c>
      <c r="C7" s="19" t="s">
        <v>242</v>
      </c>
      <c r="D7" s="19" t="s">
        <v>192</v>
      </c>
      <c r="AD7" s="19" t="b">
        <v>1</v>
      </c>
      <c r="AE7" s="19" t="b">
        <v>0</v>
      </c>
      <c r="AF7" s="19">
        <v>1</v>
      </c>
      <c r="AG7" s="19">
        <v>1</v>
      </c>
    </row>
    <row r="8" spans="1:36" x14ac:dyDescent="0.25">
      <c r="A8" s="19" t="s">
        <v>185</v>
      </c>
      <c r="B8" s="19" t="s">
        <v>222</v>
      </c>
      <c r="C8" s="19" t="s">
        <v>191</v>
      </c>
      <c r="D8" s="19" t="s">
        <v>258</v>
      </c>
      <c r="E8" s="19" t="s">
        <v>193</v>
      </c>
      <c r="F8" s="20"/>
      <c r="G8" s="20">
        <v>2</v>
      </c>
      <c r="H8" s="20"/>
      <c r="I8" s="20">
        <v>0.5</v>
      </c>
      <c r="J8" s="20"/>
      <c r="K8" s="20">
        <v>2</v>
      </c>
      <c r="L8" s="20"/>
      <c r="M8" s="20"/>
      <c r="N8" s="20"/>
      <c r="O8" s="19">
        <v>0.6</v>
      </c>
      <c r="P8" s="19">
        <v>0.2</v>
      </c>
      <c r="Q8" s="19">
        <v>0</v>
      </c>
      <c r="R8" s="19">
        <v>0.1</v>
      </c>
      <c r="S8" s="19">
        <v>0.1</v>
      </c>
      <c r="T8" s="19">
        <v>1</v>
      </c>
      <c r="U8" s="19" t="s">
        <v>129</v>
      </c>
      <c r="V8" s="19">
        <v>5</v>
      </c>
      <c r="W8" s="19" t="s">
        <v>133</v>
      </c>
      <c r="X8" s="19"/>
      <c r="Y8" s="19"/>
      <c r="Z8" s="19"/>
      <c r="AA8" s="19"/>
      <c r="AB8" s="19"/>
      <c r="AC8" s="19"/>
      <c r="AD8" s="19" t="b">
        <v>1</v>
      </c>
      <c r="AE8" s="19" t="b">
        <v>0</v>
      </c>
      <c r="AF8" s="19">
        <v>1</v>
      </c>
      <c r="AG8" s="19">
        <v>1</v>
      </c>
      <c r="AH8" s="19" t="s">
        <v>194</v>
      </c>
      <c r="AI8" s="19">
        <v>9</v>
      </c>
      <c r="AJ8" s="19"/>
    </row>
    <row r="9" spans="1:36" x14ac:dyDescent="0.25">
      <c r="A9" s="19" t="s">
        <v>185</v>
      </c>
      <c r="B9" s="19" t="s">
        <v>223</v>
      </c>
      <c r="C9" s="21" t="s">
        <v>243</v>
      </c>
      <c r="D9" s="21" t="s">
        <v>259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19" t="b">
        <v>1</v>
      </c>
      <c r="AE9" s="19" t="b">
        <v>0</v>
      </c>
      <c r="AF9" s="21">
        <v>1</v>
      </c>
      <c r="AG9" s="21">
        <v>1</v>
      </c>
      <c r="AH9" s="21"/>
      <c r="AI9" s="21"/>
      <c r="AJ9" s="21"/>
    </row>
    <row r="10" spans="1:36" x14ac:dyDescent="0.25">
      <c r="A10" s="19" t="s">
        <v>185</v>
      </c>
      <c r="B10" s="21" t="s">
        <v>224</v>
      </c>
      <c r="C10" s="21" t="s">
        <v>244</v>
      </c>
      <c r="D10" s="21" t="s">
        <v>261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19" t="b">
        <v>1</v>
      </c>
      <c r="AE10" s="19" t="b">
        <v>0</v>
      </c>
      <c r="AF10" s="21">
        <v>1</v>
      </c>
      <c r="AG10" s="21">
        <v>1</v>
      </c>
      <c r="AH10" s="21"/>
      <c r="AI10" s="21"/>
      <c r="AJ10" s="21"/>
    </row>
    <row r="11" spans="1:36" x14ac:dyDescent="0.25">
      <c r="A11" s="19" t="s">
        <v>185</v>
      </c>
      <c r="B11" s="21" t="s">
        <v>195</v>
      </c>
      <c r="C11" s="19" t="s">
        <v>196</v>
      </c>
      <c r="D11" s="19" t="s">
        <v>197</v>
      </c>
      <c r="E11" s="19" t="s">
        <v>189</v>
      </c>
      <c r="F11" s="20">
        <v>0.5</v>
      </c>
      <c r="G11" s="20">
        <v>0.5</v>
      </c>
      <c r="H11" s="20">
        <v>1.5</v>
      </c>
      <c r="I11" s="20"/>
      <c r="J11" s="20"/>
      <c r="K11" s="20"/>
      <c r="L11" s="20"/>
      <c r="M11" s="20"/>
      <c r="N11" s="20"/>
      <c r="O11" s="19">
        <v>0</v>
      </c>
      <c r="P11" s="19">
        <v>0.7</v>
      </c>
      <c r="Q11" s="19">
        <v>0.2</v>
      </c>
      <c r="R11" s="19">
        <v>0</v>
      </c>
      <c r="S11" s="19">
        <v>0.1</v>
      </c>
      <c r="T11" s="19">
        <v>1</v>
      </c>
      <c r="U11" s="19" t="s">
        <v>123</v>
      </c>
      <c r="V11" s="19">
        <v>3</v>
      </c>
      <c r="W11" s="19" t="s">
        <v>138</v>
      </c>
      <c r="X11" s="19"/>
      <c r="Y11" s="19"/>
      <c r="Z11" s="19"/>
      <c r="AA11" s="19"/>
      <c r="AB11" s="19"/>
      <c r="AC11" s="19"/>
      <c r="AD11" s="19" t="b">
        <v>1</v>
      </c>
      <c r="AE11" s="19" t="b">
        <v>0</v>
      </c>
      <c r="AF11" s="19">
        <v>1</v>
      </c>
      <c r="AG11" s="19">
        <v>1</v>
      </c>
      <c r="AH11" s="19" t="s">
        <v>198</v>
      </c>
      <c r="AI11" s="19" t="s">
        <v>199</v>
      </c>
      <c r="AJ11" s="19" t="s">
        <v>200</v>
      </c>
    </row>
    <row r="12" spans="1:36" x14ac:dyDescent="0.25">
      <c r="A12" s="19" t="s">
        <v>185</v>
      </c>
      <c r="B12" s="21" t="s">
        <v>225</v>
      </c>
      <c r="C12" s="21" t="s">
        <v>246</v>
      </c>
      <c r="D12" s="19" t="s">
        <v>192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19" t="b">
        <v>1</v>
      </c>
      <c r="AE12" s="19" t="b">
        <v>0</v>
      </c>
      <c r="AF12" s="21">
        <v>1</v>
      </c>
      <c r="AG12" s="21">
        <v>1</v>
      </c>
      <c r="AH12" s="21"/>
      <c r="AI12" s="21"/>
      <c r="AJ12" s="21"/>
    </row>
    <row r="13" spans="1:36" x14ac:dyDescent="0.25">
      <c r="A13" s="19" t="s">
        <v>185</v>
      </c>
      <c r="B13" s="21" t="s">
        <v>226</v>
      </c>
      <c r="C13" s="21" t="s">
        <v>245</v>
      </c>
      <c r="D13" s="19" t="s">
        <v>258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19" t="b">
        <v>1</v>
      </c>
      <c r="AE13" s="19" t="b">
        <v>0</v>
      </c>
      <c r="AF13" s="21">
        <v>1</v>
      </c>
      <c r="AG13" s="21">
        <v>1</v>
      </c>
      <c r="AH13" s="21"/>
      <c r="AI13" s="21"/>
      <c r="AJ13" s="21"/>
    </row>
    <row r="14" spans="1:36" x14ac:dyDescent="0.25">
      <c r="A14" s="19" t="s">
        <v>185</v>
      </c>
      <c r="B14" s="21" t="s">
        <v>227</v>
      </c>
      <c r="C14" s="21" t="s">
        <v>247</v>
      </c>
      <c r="D14" s="21" t="s">
        <v>259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19" t="b">
        <v>1</v>
      </c>
      <c r="AE14" s="19" t="b">
        <v>0</v>
      </c>
      <c r="AF14" s="21">
        <v>1</v>
      </c>
      <c r="AG14" s="21">
        <v>1</v>
      </c>
      <c r="AH14" s="21"/>
      <c r="AI14" s="21"/>
      <c r="AJ14" s="21"/>
    </row>
    <row r="15" spans="1:36" x14ac:dyDescent="0.25">
      <c r="A15" s="19" t="s">
        <v>185</v>
      </c>
      <c r="B15" s="21" t="s">
        <v>228</v>
      </c>
      <c r="C15" s="21" t="s">
        <v>248</v>
      </c>
      <c r="D15" s="21" t="s">
        <v>261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19" t="b">
        <v>1</v>
      </c>
      <c r="AE15" s="19" t="b">
        <v>0</v>
      </c>
      <c r="AF15" s="21">
        <v>1</v>
      </c>
      <c r="AG15" s="21">
        <v>1</v>
      </c>
      <c r="AH15" s="21"/>
      <c r="AI15" s="21"/>
      <c r="AJ15" s="21"/>
    </row>
    <row r="16" spans="1:36" x14ac:dyDescent="0.25">
      <c r="A16" s="19" t="s">
        <v>185</v>
      </c>
      <c r="B16" s="21" t="s">
        <v>229</v>
      </c>
      <c r="C16" s="21" t="s">
        <v>249</v>
      </c>
      <c r="D16" s="19" t="s">
        <v>197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19" t="b">
        <v>1</v>
      </c>
      <c r="AE16" s="19" t="b">
        <v>0</v>
      </c>
      <c r="AF16" s="21">
        <v>1</v>
      </c>
      <c r="AG16" s="21">
        <v>1</v>
      </c>
      <c r="AH16" s="21"/>
      <c r="AI16" s="21"/>
      <c r="AJ16" s="21"/>
    </row>
    <row r="17" spans="1:36" x14ac:dyDescent="0.25">
      <c r="A17" s="19" t="s">
        <v>185</v>
      </c>
      <c r="B17" s="21" t="s">
        <v>230</v>
      </c>
      <c r="C17" s="21" t="s">
        <v>251</v>
      </c>
      <c r="D17" s="19" t="s">
        <v>192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19" t="b">
        <v>1</v>
      </c>
      <c r="AE17" s="19" t="b">
        <v>0</v>
      </c>
      <c r="AF17" s="21">
        <v>1</v>
      </c>
      <c r="AG17" s="21">
        <v>1</v>
      </c>
      <c r="AH17" s="21"/>
      <c r="AI17" s="21"/>
      <c r="AJ17" s="21"/>
    </row>
    <row r="18" spans="1:36" x14ac:dyDescent="0.25">
      <c r="A18" s="19" t="s">
        <v>185</v>
      </c>
      <c r="B18" s="21" t="s">
        <v>231</v>
      </c>
      <c r="C18" s="21" t="s">
        <v>250</v>
      </c>
      <c r="D18" s="19" t="s">
        <v>258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19" t="b">
        <v>1</v>
      </c>
      <c r="AE18" s="19" t="b">
        <v>0</v>
      </c>
      <c r="AF18" s="21">
        <v>1</v>
      </c>
      <c r="AG18" s="21">
        <v>1</v>
      </c>
      <c r="AH18" s="21"/>
      <c r="AI18" s="21"/>
      <c r="AJ18" s="21"/>
    </row>
    <row r="19" spans="1:36" x14ac:dyDescent="0.25">
      <c r="A19" s="19" t="s">
        <v>185</v>
      </c>
      <c r="B19" s="21" t="s">
        <v>232</v>
      </c>
      <c r="C19" s="21" t="s">
        <v>252</v>
      </c>
      <c r="D19" s="21" t="s">
        <v>259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19" t="b">
        <v>1</v>
      </c>
      <c r="AE19" s="19" t="b">
        <v>0</v>
      </c>
      <c r="AF19" s="21">
        <v>1</v>
      </c>
      <c r="AG19" s="21">
        <v>1</v>
      </c>
      <c r="AH19" s="21"/>
      <c r="AI19" s="21"/>
      <c r="AJ19" s="21"/>
    </row>
    <row r="20" spans="1:36" x14ac:dyDescent="0.25">
      <c r="A20" s="19" t="s">
        <v>185</v>
      </c>
      <c r="B20" s="21" t="s">
        <v>233</v>
      </c>
      <c r="C20" s="21" t="s">
        <v>253</v>
      </c>
      <c r="D20" s="21" t="s">
        <v>261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19" t="b">
        <v>1</v>
      </c>
      <c r="AE20" s="19" t="b">
        <v>0</v>
      </c>
      <c r="AF20" s="21">
        <v>1</v>
      </c>
      <c r="AG20" s="21">
        <v>1</v>
      </c>
      <c r="AH20" s="21"/>
      <c r="AI20" s="21"/>
      <c r="AJ20" s="21"/>
    </row>
    <row r="21" spans="1:36" x14ac:dyDescent="0.25">
      <c r="A21" s="19" t="s">
        <v>185</v>
      </c>
      <c r="B21" s="21" t="s">
        <v>234</v>
      </c>
      <c r="C21" s="21" t="s">
        <v>254</v>
      </c>
      <c r="D21" s="21" t="s">
        <v>260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19" t="b">
        <v>1</v>
      </c>
      <c r="AE21" s="19" t="b">
        <v>0</v>
      </c>
      <c r="AF21" s="21">
        <v>1</v>
      </c>
      <c r="AG21" s="21">
        <v>1</v>
      </c>
      <c r="AH21" s="21"/>
      <c r="AI21" s="21"/>
      <c r="AJ21" s="21"/>
    </row>
    <row r="22" spans="1:36" x14ac:dyDescent="0.25">
      <c r="A22" s="19" t="s">
        <v>185</v>
      </c>
      <c r="B22" s="21" t="s">
        <v>235</v>
      </c>
      <c r="C22" s="21" t="s">
        <v>255</v>
      </c>
      <c r="D22" s="21" t="s">
        <v>260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19" t="b">
        <v>1</v>
      </c>
      <c r="AE22" s="19" t="b">
        <v>0</v>
      </c>
      <c r="AF22" s="21">
        <v>1</v>
      </c>
      <c r="AG22" s="21">
        <v>1</v>
      </c>
      <c r="AH22" s="21"/>
      <c r="AI22" s="21"/>
      <c r="AJ22" s="21"/>
    </row>
    <row r="23" spans="1:36" x14ac:dyDescent="0.25">
      <c r="A23" s="19" t="s">
        <v>185</v>
      </c>
      <c r="B23" s="21" t="s">
        <v>236</v>
      </c>
      <c r="C23" s="21" t="s">
        <v>256</v>
      </c>
      <c r="D23" s="21" t="s">
        <v>260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19" t="b">
        <v>1</v>
      </c>
      <c r="AE23" s="19" t="b">
        <v>0</v>
      </c>
      <c r="AF23" s="21">
        <v>1</v>
      </c>
      <c r="AG23" s="21">
        <v>1</v>
      </c>
      <c r="AH23" s="21"/>
      <c r="AI23" s="21"/>
      <c r="AJ23" s="21"/>
    </row>
    <row r="24" spans="1:36" x14ac:dyDescent="0.25">
      <c r="A24" s="19" t="s">
        <v>185</v>
      </c>
      <c r="B24" s="21" t="s">
        <v>201</v>
      </c>
      <c r="C24" s="19" t="s">
        <v>202</v>
      </c>
      <c r="D24" s="19" t="s">
        <v>203</v>
      </c>
      <c r="E24" s="19" t="s">
        <v>189</v>
      </c>
      <c r="F24" s="20"/>
      <c r="G24" s="20"/>
      <c r="H24" s="20"/>
      <c r="I24" s="20"/>
      <c r="J24" s="20"/>
      <c r="K24" s="20"/>
      <c r="L24" s="20"/>
      <c r="M24" s="20"/>
      <c r="N24" s="20"/>
      <c r="O24" s="19">
        <v>0</v>
      </c>
      <c r="P24" s="19">
        <v>0</v>
      </c>
      <c r="Q24" s="19">
        <v>1</v>
      </c>
      <c r="R24" s="19">
        <v>0</v>
      </c>
      <c r="S24" s="19">
        <v>0</v>
      </c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 t="b">
        <v>0</v>
      </c>
      <c r="AE24" s="19" t="b">
        <v>1</v>
      </c>
      <c r="AF24" s="19">
        <v>0</v>
      </c>
      <c r="AG24" s="19">
        <v>0</v>
      </c>
      <c r="AH24" s="19"/>
      <c r="AI24" s="19"/>
      <c r="AJ24" s="19"/>
    </row>
    <row r="25" spans="1:36" x14ac:dyDescent="0.25">
      <c r="A25" s="19" t="s">
        <v>185</v>
      </c>
      <c r="B25" s="21" t="s">
        <v>237</v>
      </c>
      <c r="C25" s="21" t="s">
        <v>257</v>
      </c>
      <c r="D25" s="21" t="s">
        <v>262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 t="b">
        <v>0</v>
      </c>
      <c r="AE25" s="19" t="b">
        <v>0</v>
      </c>
      <c r="AF25" s="21">
        <v>0</v>
      </c>
      <c r="AG25" s="21">
        <v>0</v>
      </c>
      <c r="AH25" s="21"/>
      <c r="AI25" s="21"/>
      <c r="AJ25" s="21"/>
    </row>
  </sheetData>
  <dataValidations count="1">
    <dataValidation type="list" sqref="E10:E504 E8 E2:E6" xr:uid="{00000000-0002-0000-0500-000000000000}">
      <formula1>"LandOnly,LandWater,LandLava,LandWaterLava,Flying"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1000000}">
          <x14:formula1>
            <xm:f>Abilities!$A$2:$A$500</xm:f>
          </x14:formula1>
          <xm:sqref>U10:U504 W10:W504 Y10:Y504 AA10:AA504 AC10:AC504 W8 W2:W6 Y8 Y2:Y6 AA8 AA2:AA6 AC8 AC2:AC6 U8 U2:U6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57"/>
  <sheetViews>
    <sheetView zoomScaleNormal="100" workbookViewId="0">
      <pane xSplit="3" ySplit="1" topLeftCell="D429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RowHeight="15" x14ac:dyDescent="0.25"/>
  <cols>
    <col min="1" max="2" width="12" customWidth="1"/>
    <col min="3" max="3" width="15" customWidth="1"/>
    <col min="4" max="7" width="12" customWidth="1"/>
    <col min="8" max="17" width="9" customWidth="1"/>
  </cols>
  <sheetData>
    <row r="1" spans="1:17" x14ac:dyDescent="0.25">
      <c r="A1" s="3" t="s">
        <v>149</v>
      </c>
      <c r="B1" s="3" t="s">
        <v>150</v>
      </c>
      <c r="C1" s="3" t="s">
        <v>204</v>
      </c>
      <c r="D1" s="3" t="s">
        <v>205</v>
      </c>
      <c r="E1" s="3" t="s">
        <v>206</v>
      </c>
      <c r="F1" s="3" t="s">
        <v>80</v>
      </c>
      <c r="G1" s="3" t="s">
        <v>81</v>
      </c>
      <c r="H1" s="11" t="s">
        <v>207</v>
      </c>
      <c r="I1" s="11" t="s">
        <v>208</v>
      </c>
      <c r="J1" s="11" t="s">
        <v>209</v>
      </c>
      <c r="K1" s="11" t="s">
        <v>210</v>
      </c>
      <c r="L1" s="11" t="s">
        <v>211</v>
      </c>
      <c r="M1" s="11" t="s">
        <v>212</v>
      </c>
      <c r="N1" s="11" t="s">
        <v>213</v>
      </c>
      <c r="O1" s="11" t="s">
        <v>214</v>
      </c>
      <c r="P1" s="11" t="s">
        <v>215</v>
      </c>
      <c r="Q1" s="11" t="s">
        <v>216</v>
      </c>
    </row>
    <row r="2" spans="1:17" x14ac:dyDescent="0.25">
      <c r="A2" s="4" t="s">
        <v>185</v>
      </c>
      <c r="B2" s="4" t="s">
        <v>186</v>
      </c>
      <c r="C2" s="4" t="s">
        <v>24</v>
      </c>
      <c r="D2" s="5">
        <v>0</v>
      </c>
      <c r="E2" s="5">
        <v>20000</v>
      </c>
      <c r="F2" s="5">
        <v>1</v>
      </c>
      <c r="G2" s="5">
        <v>0</v>
      </c>
      <c r="H2" s="12">
        <f>IF(OR(D2="",E2=""),"",IF(IFERROR(INDEX(Stats!$D:$D,MATCH($C2,Stats!$A:$A,0)),FALSE),ROUND(D2+(E2-D2)*(1+G2)*((1-1)/(MaxLevel-1))^(2^F2),0),D2+(E2-D2)*(1+G2)*((1-1)/(MaxLevel-1))^(2^F2)))</f>
        <v>0</v>
      </c>
      <c r="I2" s="12">
        <f>IF(OR(D2="",E2=""),"",IF(IFERROR(INDEX(Stats!$D:$D,MATCH($C2,Stats!$A:$A,0)),FALSE),ROUND(D2+(E2-D2)*(1+G2)*((2-1)/(MaxLevel-1))^(2^F2),0),D2+(E2-D2)*(1+G2)*((2-1)/(MaxLevel-1))^(2^F2)))</f>
        <v>247</v>
      </c>
      <c r="J2" s="12">
        <f>IF(OR(D2="",E2=""),"",IF(IFERROR(INDEX(Stats!$D:$D,MATCH($C2,Stats!$A:$A,0)),FALSE),ROUND(D2+(E2-D2)*(1+G2)*((3-1)/(MaxLevel-1))^(2^F2),0),D2+(E2-D2)*(1+G2)*((3-1)/(MaxLevel-1))^(2^F2)))</f>
        <v>988</v>
      </c>
      <c r="K2" s="12">
        <f>IF(OR(D2="",E2=""),"",IF(IFERROR(INDEX(Stats!$D:$D,MATCH($C2,Stats!$A:$A,0)),FALSE),ROUND(D2+(E2-D2)*(1+G2)*((4-1)/(MaxLevel-1))^(2^F2),0),D2+(E2-D2)*(1+G2)*((4-1)/(MaxLevel-1))^(2^F2)))</f>
        <v>2222</v>
      </c>
      <c r="L2" s="12">
        <f>IF(OR(D2="",E2=""),"",IF(IFERROR(INDEX(Stats!$D:$D,MATCH($C2,Stats!$A:$A,0)),FALSE),ROUND(D2+(E2-D2)*(1+G2)*((5-1)/(MaxLevel-1))^(2^F2),0),D2+(E2-D2)*(1+G2)*((5-1)/(MaxLevel-1))^(2^F2)))</f>
        <v>3951</v>
      </c>
      <c r="M2" s="12">
        <f>IF(OR(D2="",E2=""),"",IF(IFERROR(INDEX(Stats!$D:$D,MATCH($C2,Stats!$A:$A,0)),FALSE),ROUND(D2+(E2-D2)*(1+G2)*((6-1)/(MaxLevel-1))^(2^F2),0),D2+(E2-D2)*(1+G2)*((6-1)/(MaxLevel-1))^(2^F2)))</f>
        <v>6173</v>
      </c>
      <c r="N2" s="12">
        <f>IF(OR(D2="",E2=""),"",IF(IFERROR(INDEX(Stats!$D:$D,MATCH($C2,Stats!$A:$A,0)),FALSE),ROUND(D2+(E2-D2)*(1+G2)*((7-1)/(MaxLevel-1))^(2^F2),0),D2+(E2-D2)*(1+G2)*((7-1)/(MaxLevel-1))^(2^F2)))</f>
        <v>8889</v>
      </c>
      <c r="O2" s="12">
        <f>IF(OR(D2="",E2=""),"",IF(IFERROR(INDEX(Stats!$D:$D,MATCH($C2,Stats!$A:$A,0)),FALSE),ROUND(D2+(E2-D2)*(1+G2)*((8-1)/(MaxLevel-1))^(2^F2),0),D2+(E2-D2)*(1+G2)*((8-1)/(MaxLevel-1))^(2^F2)))</f>
        <v>12099</v>
      </c>
      <c r="P2" s="12">
        <f>IF(OR(D2="",E2=""),"",IF(IFERROR(INDEX(Stats!$D:$D,MATCH($C2,Stats!$A:$A,0)),FALSE),ROUND(D2+(E2-D2)*(1+G2)*((9-1)/(MaxLevel-1))^(2^F2),0),D2+(E2-D2)*(1+G2)*((9-1)/(MaxLevel-1))^(2^F2)))</f>
        <v>15802</v>
      </c>
      <c r="Q2" s="12">
        <f>IF(OR(D2="",E2=""),"",IF(IFERROR(INDEX(Stats!$D:$D,MATCH($C2,Stats!$A:$A,0)),FALSE),ROUND(D2+(E2-D2)*(1+G2)*((10-1)/(MaxLevel-1))^(2^F2),0),D2+(E2-D2)*(1+G2)*((10-1)/(MaxLevel-1))^(2^F2)))</f>
        <v>20000</v>
      </c>
    </row>
    <row r="3" spans="1:17" x14ac:dyDescent="0.25">
      <c r="A3" s="4" t="s">
        <v>185</v>
      </c>
      <c r="B3" s="4" t="s">
        <v>186</v>
      </c>
      <c r="C3" s="4" t="s">
        <v>26</v>
      </c>
      <c r="D3" s="5">
        <v>50</v>
      </c>
      <c r="E3" s="5">
        <v>300</v>
      </c>
      <c r="F3" s="5">
        <v>0</v>
      </c>
      <c r="G3" s="5">
        <v>0</v>
      </c>
      <c r="H3" s="12">
        <f>IF(OR(D3="",E3=""),"",IF(IFERROR(INDEX(Stats!$D:$D,MATCH($C3,Stats!$A:$A,0)),FALSE),ROUND(D3+(E3-D3)*(1+G3)*((1-1)/(MaxLevel-1))^(2^F3),0),D3+(E3-D3)*(1+G3)*((1-1)/(MaxLevel-1))^(2^F3)))</f>
        <v>50</v>
      </c>
      <c r="I3" s="12">
        <f>IF(OR(D3="",E3=""),"",IF(IFERROR(INDEX(Stats!$D:$D,MATCH($C3,Stats!$A:$A,0)),FALSE),ROUND(D3+(E3-D3)*(1+G3)*((2-1)/(MaxLevel-1))^(2^F3),0),D3+(E3-D3)*(1+G3)*((2-1)/(MaxLevel-1))^(2^F3)))</f>
        <v>78</v>
      </c>
      <c r="J3" s="12">
        <f>IF(OR(D3="",E3=""),"",IF(IFERROR(INDEX(Stats!$D:$D,MATCH($C3,Stats!$A:$A,0)),FALSE),ROUND(D3+(E3-D3)*(1+G3)*((3-1)/(MaxLevel-1))^(2^F3),0),D3+(E3-D3)*(1+G3)*((3-1)/(MaxLevel-1))^(2^F3)))</f>
        <v>106</v>
      </c>
      <c r="K3" s="12">
        <f>IF(OR(D3="",E3=""),"",IF(IFERROR(INDEX(Stats!$D:$D,MATCH($C3,Stats!$A:$A,0)),FALSE),ROUND(D3+(E3-D3)*(1+G3)*((4-1)/(MaxLevel-1))^(2^F3),0),D3+(E3-D3)*(1+G3)*((4-1)/(MaxLevel-1))^(2^F3)))</f>
        <v>133</v>
      </c>
      <c r="L3" s="12">
        <f>IF(OR(D3="",E3=""),"",IF(IFERROR(INDEX(Stats!$D:$D,MATCH($C3,Stats!$A:$A,0)),FALSE),ROUND(D3+(E3-D3)*(1+G3)*((5-1)/(MaxLevel-1))^(2^F3),0),D3+(E3-D3)*(1+G3)*((5-1)/(MaxLevel-1))^(2^F3)))</f>
        <v>161</v>
      </c>
      <c r="M3" s="12">
        <f>IF(OR(D3="",E3=""),"",IF(IFERROR(INDEX(Stats!$D:$D,MATCH($C3,Stats!$A:$A,0)),FALSE),ROUND(D3+(E3-D3)*(1+G3)*((6-1)/(MaxLevel-1))^(2^F3),0),D3+(E3-D3)*(1+G3)*((6-1)/(MaxLevel-1))^(2^F3)))</f>
        <v>189</v>
      </c>
      <c r="N3" s="12">
        <f>IF(OR(D3="",E3=""),"",IF(IFERROR(INDEX(Stats!$D:$D,MATCH($C3,Stats!$A:$A,0)),FALSE),ROUND(D3+(E3-D3)*(1+G3)*((7-1)/(MaxLevel-1))^(2^F3),0),D3+(E3-D3)*(1+G3)*((7-1)/(MaxLevel-1))^(2^F3)))</f>
        <v>217</v>
      </c>
      <c r="O3" s="12">
        <f>IF(OR(D3="",E3=""),"",IF(IFERROR(INDEX(Stats!$D:$D,MATCH($C3,Stats!$A:$A,0)),FALSE),ROUND(D3+(E3-D3)*(1+G3)*((8-1)/(MaxLevel-1))^(2^F3),0),D3+(E3-D3)*(1+G3)*((8-1)/(MaxLevel-1))^(2^F3)))</f>
        <v>244</v>
      </c>
      <c r="P3" s="12">
        <f>IF(OR(D3="",E3=""),"",IF(IFERROR(INDEX(Stats!$D:$D,MATCH($C3,Stats!$A:$A,0)),FALSE),ROUND(D3+(E3-D3)*(1+G3)*((9-1)/(MaxLevel-1))^(2^F3),0),D3+(E3-D3)*(1+G3)*((9-1)/(MaxLevel-1))^(2^F3)))</f>
        <v>272</v>
      </c>
      <c r="Q3" s="12">
        <f>IF(OR(D3="",E3=""),"",IF(IFERROR(INDEX(Stats!$D:$D,MATCH($C3,Stats!$A:$A,0)),FALSE),ROUND(D3+(E3-D3)*(1+G3)*((10-1)/(MaxLevel-1))^(2^F3),0),D3+(E3-D3)*(1+G3)*((10-1)/(MaxLevel-1))^(2^F3)))</f>
        <v>300</v>
      </c>
    </row>
    <row r="4" spans="1:17" x14ac:dyDescent="0.25">
      <c r="A4" s="4" t="s">
        <v>185</v>
      </c>
      <c r="B4" s="4" t="s">
        <v>186</v>
      </c>
      <c r="C4" s="4" t="s">
        <v>28</v>
      </c>
      <c r="D4" s="5">
        <v>400</v>
      </c>
      <c r="E4" s="5">
        <v>1600</v>
      </c>
      <c r="F4" s="5">
        <v>0</v>
      </c>
      <c r="G4" s="5">
        <v>0</v>
      </c>
      <c r="H4" s="12">
        <f>IF(OR(D4="",E4=""),"",IF(IFERROR(INDEX(Stats!$D:$D,MATCH($C4,Stats!$A:$A,0)),FALSE),ROUND(D4+(E4-D4)*(1+G4)*((1-1)/(MaxLevel-1))^(2^F4),0),D4+(E4-D4)*(1+G4)*((1-1)/(MaxLevel-1))^(2^F4)))</f>
        <v>400</v>
      </c>
      <c r="I4" s="12">
        <f>IF(OR(D4="",E4=""),"",IF(IFERROR(INDEX(Stats!$D:$D,MATCH($C4,Stats!$A:$A,0)),FALSE),ROUND(D4+(E4-D4)*(1+G4)*((2-1)/(MaxLevel-1))^(2^F4),0),D4+(E4-D4)*(1+G4)*((2-1)/(MaxLevel-1))^(2^F4)))</f>
        <v>533</v>
      </c>
      <c r="J4" s="12">
        <f>IF(OR(D4="",E4=""),"",IF(IFERROR(INDEX(Stats!$D:$D,MATCH($C4,Stats!$A:$A,0)),FALSE),ROUND(D4+(E4-D4)*(1+G4)*((3-1)/(MaxLevel-1))^(2^F4),0),D4+(E4-D4)*(1+G4)*((3-1)/(MaxLevel-1))^(2^F4)))</f>
        <v>667</v>
      </c>
      <c r="K4" s="12">
        <f>IF(OR(D4="",E4=""),"",IF(IFERROR(INDEX(Stats!$D:$D,MATCH($C4,Stats!$A:$A,0)),FALSE),ROUND(D4+(E4-D4)*(1+G4)*((4-1)/(MaxLevel-1))^(2^F4),0),D4+(E4-D4)*(1+G4)*((4-1)/(MaxLevel-1))^(2^F4)))</f>
        <v>800</v>
      </c>
      <c r="L4" s="12">
        <f>IF(OR(D4="",E4=""),"",IF(IFERROR(INDEX(Stats!$D:$D,MATCH($C4,Stats!$A:$A,0)),FALSE),ROUND(D4+(E4-D4)*(1+G4)*((5-1)/(MaxLevel-1))^(2^F4),0),D4+(E4-D4)*(1+G4)*((5-1)/(MaxLevel-1))^(2^F4)))</f>
        <v>933</v>
      </c>
      <c r="M4" s="12">
        <f>IF(OR(D4="",E4=""),"",IF(IFERROR(INDEX(Stats!$D:$D,MATCH($C4,Stats!$A:$A,0)),FALSE),ROUND(D4+(E4-D4)*(1+G4)*((6-1)/(MaxLevel-1))^(2^F4),0),D4+(E4-D4)*(1+G4)*((6-1)/(MaxLevel-1))^(2^F4)))</f>
        <v>1067</v>
      </c>
      <c r="N4" s="12">
        <f>IF(OR(D4="",E4=""),"",IF(IFERROR(INDEX(Stats!$D:$D,MATCH($C4,Stats!$A:$A,0)),FALSE),ROUND(D4+(E4-D4)*(1+G4)*((7-1)/(MaxLevel-1))^(2^F4),0),D4+(E4-D4)*(1+G4)*((7-1)/(MaxLevel-1))^(2^F4)))</f>
        <v>1200</v>
      </c>
      <c r="O4" s="12">
        <f>IF(OR(D4="",E4=""),"",IF(IFERROR(INDEX(Stats!$D:$D,MATCH($C4,Stats!$A:$A,0)),FALSE),ROUND(D4+(E4-D4)*(1+G4)*((8-1)/(MaxLevel-1))^(2^F4),0),D4+(E4-D4)*(1+G4)*((8-1)/(MaxLevel-1))^(2^F4)))</f>
        <v>1333</v>
      </c>
      <c r="P4" s="12">
        <f>IF(OR(D4="",E4=""),"",IF(IFERROR(INDEX(Stats!$D:$D,MATCH($C4,Stats!$A:$A,0)),FALSE),ROUND(D4+(E4-D4)*(1+G4)*((9-1)/(MaxLevel-1))^(2^F4),0),D4+(E4-D4)*(1+G4)*((9-1)/(MaxLevel-1))^(2^F4)))</f>
        <v>1467</v>
      </c>
      <c r="Q4" s="12">
        <f>IF(OR(D4="",E4=""),"",IF(IFERROR(INDEX(Stats!$D:$D,MATCH($C4,Stats!$A:$A,0)),FALSE),ROUND(D4+(E4-D4)*(1+G4)*((10-1)/(MaxLevel-1))^(2^F4),0),D4+(E4-D4)*(1+G4)*((10-1)/(MaxLevel-1))^(2^F4)))</f>
        <v>1600</v>
      </c>
    </row>
    <row r="5" spans="1:17" x14ac:dyDescent="0.25">
      <c r="A5" s="4" t="s">
        <v>185</v>
      </c>
      <c r="B5" s="4" t="s">
        <v>186</v>
      </c>
      <c r="C5" s="4" t="s">
        <v>30</v>
      </c>
      <c r="D5" s="5">
        <v>30</v>
      </c>
      <c r="E5" s="5">
        <v>120</v>
      </c>
      <c r="F5" s="5">
        <v>0</v>
      </c>
      <c r="G5" s="5">
        <v>0</v>
      </c>
      <c r="H5" s="12">
        <f>IF(OR(D5="",E5=""),"",IF(IFERROR(INDEX(Stats!$D:$D,MATCH($C5,Stats!$A:$A,0)),FALSE),ROUND(D5+(E5-D5)*(1+G5)*((1-1)/(MaxLevel-1))^(2^F5),0),D5+(E5-D5)*(1+G5)*((1-1)/(MaxLevel-1))^(2^F5)))</f>
        <v>30</v>
      </c>
      <c r="I5" s="12">
        <f>IF(OR(D5="",E5=""),"",IF(IFERROR(INDEX(Stats!$D:$D,MATCH($C5,Stats!$A:$A,0)),FALSE),ROUND(D5+(E5-D5)*(1+G5)*((2-1)/(MaxLevel-1))^(2^F5),0),D5+(E5-D5)*(1+G5)*((2-1)/(MaxLevel-1))^(2^F5)))</f>
        <v>40</v>
      </c>
      <c r="J5" s="12">
        <f>IF(OR(D5="",E5=""),"",IF(IFERROR(INDEX(Stats!$D:$D,MATCH($C5,Stats!$A:$A,0)),FALSE),ROUND(D5+(E5-D5)*(1+G5)*((3-1)/(MaxLevel-1))^(2^F5),0),D5+(E5-D5)*(1+G5)*((3-1)/(MaxLevel-1))^(2^F5)))</f>
        <v>50</v>
      </c>
      <c r="K5" s="12">
        <f>IF(OR(D5="",E5=""),"",IF(IFERROR(INDEX(Stats!$D:$D,MATCH($C5,Stats!$A:$A,0)),FALSE),ROUND(D5+(E5-D5)*(1+G5)*((4-1)/(MaxLevel-1))^(2^F5),0),D5+(E5-D5)*(1+G5)*((4-1)/(MaxLevel-1))^(2^F5)))</f>
        <v>60</v>
      </c>
      <c r="L5" s="12">
        <f>IF(OR(D5="",E5=""),"",IF(IFERROR(INDEX(Stats!$D:$D,MATCH($C5,Stats!$A:$A,0)),FALSE),ROUND(D5+(E5-D5)*(1+G5)*((5-1)/(MaxLevel-1))^(2^F5),0),D5+(E5-D5)*(1+G5)*((5-1)/(MaxLevel-1))^(2^F5)))</f>
        <v>70</v>
      </c>
      <c r="M5" s="12">
        <f>IF(OR(D5="",E5=""),"",IF(IFERROR(INDEX(Stats!$D:$D,MATCH($C5,Stats!$A:$A,0)),FALSE),ROUND(D5+(E5-D5)*(1+G5)*((6-1)/(MaxLevel-1))^(2^F5),0),D5+(E5-D5)*(1+G5)*((6-1)/(MaxLevel-1))^(2^F5)))</f>
        <v>80</v>
      </c>
      <c r="N5" s="12">
        <f>IF(OR(D5="",E5=""),"",IF(IFERROR(INDEX(Stats!$D:$D,MATCH($C5,Stats!$A:$A,0)),FALSE),ROUND(D5+(E5-D5)*(1+G5)*((7-1)/(MaxLevel-1))^(2^F5),0),D5+(E5-D5)*(1+G5)*((7-1)/(MaxLevel-1))^(2^F5)))</f>
        <v>90</v>
      </c>
      <c r="O5" s="12">
        <f>IF(OR(D5="",E5=""),"",IF(IFERROR(INDEX(Stats!$D:$D,MATCH($C5,Stats!$A:$A,0)),FALSE),ROUND(D5+(E5-D5)*(1+G5)*((8-1)/(MaxLevel-1))^(2^F5),0),D5+(E5-D5)*(1+G5)*((8-1)/(MaxLevel-1))^(2^F5)))</f>
        <v>100</v>
      </c>
      <c r="P5" s="12">
        <f>IF(OR(D5="",E5=""),"",IF(IFERROR(INDEX(Stats!$D:$D,MATCH($C5,Stats!$A:$A,0)),FALSE),ROUND(D5+(E5-D5)*(1+G5)*((9-1)/(MaxLevel-1))^(2^F5),0),D5+(E5-D5)*(1+G5)*((9-1)/(MaxLevel-1))^(2^F5)))</f>
        <v>110</v>
      </c>
      <c r="Q5" s="12">
        <f>IF(OR(D5="",E5=""),"",IF(IFERROR(INDEX(Stats!$D:$D,MATCH($C5,Stats!$A:$A,0)),FALSE),ROUND(D5+(E5-D5)*(1+G5)*((10-1)/(MaxLevel-1))^(2^F5),0),D5+(E5-D5)*(1+G5)*((10-1)/(MaxLevel-1))^(2^F5)))</f>
        <v>120</v>
      </c>
    </row>
    <row r="6" spans="1:17" x14ac:dyDescent="0.25">
      <c r="A6" s="4" t="s">
        <v>185</v>
      </c>
      <c r="B6" s="4" t="s">
        <v>186</v>
      </c>
      <c r="C6" s="4" t="s">
        <v>32</v>
      </c>
      <c r="D6" s="5">
        <v>0.7</v>
      </c>
      <c r="E6" s="5">
        <v>0.95</v>
      </c>
      <c r="F6" s="5">
        <v>-1</v>
      </c>
      <c r="G6" s="5">
        <v>0</v>
      </c>
      <c r="H6" s="12">
        <f>IF(OR(D6="",E6=""),"",IF(IFERROR(INDEX(Stats!$D:$D,MATCH($C6,Stats!$A:$A,0)),FALSE),ROUND(D6+(E6-D6)*(1+G6)*((1-1)/(MaxLevel-1))^(2^F6),0),D6+(E6-D6)*(1+G6)*((1-1)/(MaxLevel-1))^(2^F6)))</f>
        <v>0.7</v>
      </c>
      <c r="I6" s="12">
        <f>IF(OR(D6="",E6=""),"",IF(IFERROR(INDEX(Stats!$D:$D,MATCH($C6,Stats!$A:$A,0)),FALSE),ROUND(D6+(E6-D6)*(1+G6)*((2-1)/(MaxLevel-1))^(2^F6),0),D6+(E6-D6)*(1+G6)*((2-1)/(MaxLevel-1))^(2^F6)))</f>
        <v>0.78333333333333333</v>
      </c>
      <c r="J6" s="12">
        <f>IF(OR(D6="",E6=""),"",IF(IFERROR(INDEX(Stats!$D:$D,MATCH($C6,Stats!$A:$A,0)),FALSE),ROUND(D6+(E6-D6)*(1+G6)*((3-1)/(MaxLevel-1))^(2^F6),0),D6+(E6-D6)*(1+G6)*((3-1)/(MaxLevel-1))^(2^F6)))</f>
        <v>0.8178511301977579</v>
      </c>
      <c r="K6" s="12">
        <f>IF(OR(D6="",E6=""),"",IF(IFERROR(INDEX(Stats!$D:$D,MATCH($C6,Stats!$A:$A,0)),FALSE),ROUND(D6+(E6-D6)*(1+G6)*((4-1)/(MaxLevel-1))^(2^F6),0),D6+(E6-D6)*(1+G6)*((4-1)/(MaxLevel-1))^(2^F6)))</f>
        <v>0.84433756729740639</v>
      </c>
      <c r="L6" s="12">
        <f>IF(OR(D6="",E6=""),"",IF(IFERROR(INDEX(Stats!$D:$D,MATCH($C6,Stats!$A:$A,0)),FALSE),ROUND(D6+(E6-D6)*(1+G6)*((5-1)/(MaxLevel-1))^(2^F6),0),D6+(E6-D6)*(1+G6)*((5-1)/(MaxLevel-1))^(2^F6)))</f>
        <v>0.86666666666666659</v>
      </c>
      <c r="M6" s="12">
        <f>IF(OR(D6="",E6=""),"",IF(IFERROR(INDEX(Stats!$D:$D,MATCH($C6,Stats!$A:$A,0)),FALSE),ROUND(D6+(E6-D6)*(1+G6)*((6-1)/(MaxLevel-1))^(2^F6),0),D6+(E6-D6)*(1+G6)*((6-1)/(MaxLevel-1))^(2^F6)))</f>
        <v>0.8863389981249824</v>
      </c>
      <c r="N6" s="12">
        <f>IF(OR(D6="",E6=""),"",IF(IFERROR(INDEX(Stats!$D:$D,MATCH($C6,Stats!$A:$A,0)),FALSE),ROUND(D6+(E6-D6)*(1+G6)*((7-1)/(MaxLevel-1))^(2^F6),0),D6+(E6-D6)*(1+G6)*((7-1)/(MaxLevel-1))^(2^F6)))</f>
        <v>0.90412414523193152</v>
      </c>
      <c r="O6" s="12">
        <f>IF(OR(D6="",E6=""),"",IF(IFERROR(INDEX(Stats!$D:$D,MATCH($C6,Stats!$A:$A,0)),FALSE),ROUND(D6+(E6-D6)*(1+G6)*((8-1)/(MaxLevel-1))^(2^F6),0),D6+(E6-D6)*(1+G6)*((8-1)/(MaxLevel-1))^(2^F6)))</f>
        <v>0.92047927592204914</v>
      </c>
      <c r="P6" s="12">
        <f>IF(OR(D6="",E6=""),"",IF(IFERROR(INDEX(Stats!$D:$D,MATCH($C6,Stats!$A:$A,0)),FALSE),ROUND(D6+(E6-D6)*(1+G6)*((9-1)/(MaxLevel-1))^(2^F6),0),D6+(E6-D6)*(1+G6)*((9-1)/(MaxLevel-1))^(2^F6)))</f>
        <v>0.93570226039551585</v>
      </c>
      <c r="Q6" s="12">
        <f>IF(OR(D6="",E6=""),"",IF(IFERROR(INDEX(Stats!$D:$D,MATCH($C6,Stats!$A:$A,0)),FALSE),ROUND(D6+(E6-D6)*(1+G6)*((10-1)/(MaxLevel-1))^(2^F6),0),D6+(E6-D6)*(1+G6)*((10-1)/(MaxLevel-1))^(2^F6)))</f>
        <v>0.95</v>
      </c>
    </row>
    <row r="7" spans="1:17" x14ac:dyDescent="0.25">
      <c r="A7" s="4" t="s">
        <v>185</v>
      </c>
      <c r="B7" s="4" t="s">
        <v>186</v>
      </c>
      <c r="C7" s="4" t="s">
        <v>34</v>
      </c>
      <c r="D7" s="5">
        <v>0.1</v>
      </c>
      <c r="E7" s="5">
        <v>0.3</v>
      </c>
      <c r="F7" s="5">
        <v>0</v>
      </c>
      <c r="G7" s="5">
        <v>0</v>
      </c>
      <c r="H7" s="12">
        <f>IF(OR(D7="",E7=""),"",IF(IFERROR(INDEX(Stats!$D:$D,MATCH($C7,Stats!$A:$A,0)),FALSE),ROUND(D7+(E7-D7)*(1+G7)*((1-1)/(MaxLevel-1))^(2^F7),0),D7+(E7-D7)*(1+G7)*((1-1)/(MaxLevel-1))^(2^F7)))</f>
        <v>0.1</v>
      </c>
      <c r="I7" s="12">
        <f>IF(OR(D7="",E7=""),"",IF(IFERROR(INDEX(Stats!$D:$D,MATCH($C7,Stats!$A:$A,0)),FALSE),ROUND(D7+(E7-D7)*(1+G7)*((2-1)/(MaxLevel-1))^(2^F7),0),D7+(E7-D7)*(1+G7)*((2-1)/(MaxLevel-1))^(2^F7)))</f>
        <v>0.12222222222222223</v>
      </c>
      <c r="J7" s="12">
        <f>IF(OR(D7="",E7=""),"",IF(IFERROR(INDEX(Stats!$D:$D,MATCH($C7,Stats!$A:$A,0)),FALSE),ROUND(D7+(E7-D7)*(1+G7)*((3-1)/(MaxLevel-1))^(2^F7),0),D7+(E7-D7)*(1+G7)*((3-1)/(MaxLevel-1))^(2^F7)))</f>
        <v>0.14444444444444443</v>
      </c>
      <c r="K7" s="12">
        <f>IF(OR(D7="",E7=""),"",IF(IFERROR(INDEX(Stats!$D:$D,MATCH($C7,Stats!$A:$A,0)),FALSE),ROUND(D7+(E7-D7)*(1+G7)*((4-1)/(MaxLevel-1))^(2^F7),0),D7+(E7-D7)*(1+G7)*((4-1)/(MaxLevel-1))^(2^F7)))</f>
        <v>0.16666666666666666</v>
      </c>
      <c r="L7" s="12">
        <f>IF(OR(D7="",E7=""),"",IF(IFERROR(INDEX(Stats!$D:$D,MATCH($C7,Stats!$A:$A,0)),FALSE),ROUND(D7+(E7-D7)*(1+G7)*((5-1)/(MaxLevel-1))^(2^F7),0),D7+(E7-D7)*(1+G7)*((5-1)/(MaxLevel-1))^(2^F7)))</f>
        <v>0.18888888888888888</v>
      </c>
      <c r="M7" s="12">
        <f>IF(OR(D7="",E7=""),"",IF(IFERROR(INDEX(Stats!$D:$D,MATCH($C7,Stats!$A:$A,0)),FALSE),ROUND(D7+(E7-D7)*(1+G7)*((6-1)/(MaxLevel-1))^(2^F7),0),D7+(E7-D7)*(1+G7)*((6-1)/(MaxLevel-1))^(2^F7)))</f>
        <v>0.21111111111111111</v>
      </c>
      <c r="N7" s="12">
        <f>IF(OR(D7="",E7=""),"",IF(IFERROR(INDEX(Stats!$D:$D,MATCH($C7,Stats!$A:$A,0)),FALSE),ROUND(D7+(E7-D7)*(1+G7)*((7-1)/(MaxLevel-1))^(2^F7),0),D7+(E7-D7)*(1+G7)*((7-1)/(MaxLevel-1))^(2^F7)))</f>
        <v>0.23333333333333331</v>
      </c>
      <c r="O7" s="12">
        <f>IF(OR(D7="",E7=""),"",IF(IFERROR(INDEX(Stats!$D:$D,MATCH($C7,Stats!$A:$A,0)),FALSE),ROUND(D7+(E7-D7)*(1+G7)*((8-1)/(MaxLevel-1))^(2^F7),0),D7+(E7-D7)*(1+G7)*((8-1)/(MaxLevel-1))^(2^F7)))</f>
        <v>0.25555555555555554</v>
      </c>
      <c r="P7" s="12">
        <f>IF(OR(D7="",E7=""),"",IF(IFERROR(INDEX(Stats!$D:$D,MATCH($C7,Stats!$A:$A,0)),FALSE),ROUND(D7+(E7-D7)*(1+G7)*((9-1)/(MaxLevel-1))^(2^F7),0),D7+(E7-D7)*(1+G7)*((9-1)/(MaxLevel-1))^(2^F7)))</f>
        <v>0.27777777777777779</v>
      </c>
      <c r="Q7" s="12">
        <f>IF(OR(D7="",E7=""),"",IF(IFERROR(INDEX(Stats!$D:$D,MATCH($C7,Stats!$A:$A,0)),FALSE),ROUND(D7+(E7-D7)*(1+G7)*((10-1)/(MaxLevel-1))^(2^F7),0),D7+(E7-D7)*(1+G7)*((10-1)/(MaxLevel-1))^(2^F7)))</f>
        <v>0.3</v>
      </c>
    </row>
    <row r="8" spans="1:17" x14ac:dyDescent="0.25">
      <c r="A8" s="4" t="s">
        <v>185</v>
      </c>
      <c r="B8" s="4" t="s">
        <v>186</v>
      </c>
      <c r="C8" s="4" t="s">
        <v>36</v>
      </c>
      <c r="D8" s="5"/>
      <c r="E8" s="5"/>
      <c r="F8" s="5"/>
      <c r="G8" s="5"/>
      <c r="H8" s="12" t="str">
        <f>IF(OR(D8="",E8=""),"",IF(IFERROR(INDEX(Stats!$D:$D,MATCH($C8,Stats!$A:$A,0)),FALSE),ROUND(D8+(E8-D8)*(1+G8)*((1-1)/(MaxLevel-1))^(2^F8),0),D8+(E8-D8)*(1+G8)*((1-1)/(MaxLevel-1))^(2^F8)))</f>
        <v/>
      </c>
      <c r="I8" s="12" t="str">
        <f>IF(OR(D8="",E8=""),"",IF(IFERROR(INDEX(Stats!$D:$D,MATCH($C8,Stats!$A:$A,0)),FALSE),ROUND(D8+(E8-D8)*(1+G8)*((2-1)/(MaxLevel-1))^(2^F8),0),D8+(E8-D8)*(1+G8)*((2-1)/(MaxLevel-1))^(2^F8)))</f>
        <v/>
      </c>
      <c r="J8" s="12" t="str">
        <f>IF(OR(D8="",E8=""),"",IF(IFERROR(INDEX(Stats!$D:$D,MATCH($C8,Stats!$A:$A,0)),FALSE),ROUND(D8+(E8-D8)*(1+G8)*((3-1)/(MaxLevel-1))^(2^F8),0),D8+(E8-D8)*(1+G8)*((3-1)/(MaxLevel-1))^(2^F8)))</f>
        <v/>
      </c>
      <c r="K8" s="12" t="str">
        <f>IF(OR(D8="",E8=""),"",IF(IFERROR(INDEX(Stats!$D:$D,MATCH($C8,Stats!$A:$A,0)),FALSE),ROUND(D8+(E8-D8)*(1+G8)*((4-1)/(MaxLevel-1))^(2^F8),0),D8+(E8-D8)*(1+G8)*((4-1)/(MaxLevel-1))^(2^F8)))</f>
        <v/>
      </c>
      <c r="L8" s="12" t="str">
        <f>IF(OR(D8="",E8=""),"",IF(IFERROR(INDEX(Stats!$D:$D,MATCH($C8,Stats!$A:$A,0)),FALSE),ROUND(D8+(E8-D8)*(1+G8)*((5-1)/(MaxLevel-1))^(2^F8),0),D8+(E8-D8)*(1+G8)*((5-1)/(MaxLevel-1))^(2^F8)))</f>
        <v/>
      </c>
      <c r="M8" s="12" t="str">
        <f>IF(OR(D8="",E8=""),"",IF(IFERROR(INDEX(Stats!$D:$D,MATCH($C8,Stats!$A:$A,0)),FALSE),ROUND(D8+(E8-D8)*(1+G8)*((6-1)/(MaxLevel-1))^(2^F8),0),D8+(E8-D8)*(1+G8)*((6-1)/(MaxLevel-1))^(2^F8)))</f>
        <v/>
      </c>
      <c r="N8" s="12" t="str">
        <f>IF(OR(D8="",E8=""),"",IF(IFERROR(INDEX(Stats!$D:$D,MATCH($C8,Stats!$A:$A,0)),FALSE),ROUND(D8+(E8-D8)*(1+G8)*((7-1)/(MaxLevel-1))^(2^F8),0),D8+(E8-D8)*(1+G8)*((7-1)/(MaxLevel-1))^(2^F8)))</f>
        <v/>
      </c>
      <c r="O8" s="12" t="str">
        <f>IF(OR(D8="",E8=""),"",IF(IFERROR(INDEX(Stats!$D:$D,MATCH($C8,Stats!$A:$A,0)),FALSE),ROUND(D8+(E8-D8)*(1+G8)*((8-1)/(MaxLevel-1))^(2^F8),0),D8+(E8-D8)*(1+G8)*((8-1)/(MaxLevel-1))^(2^F8)))</f>
        <v/>
      </c>
      <c r="P8" s="12" t="str">
        <f>IF(OR(D8="",E8=""),"",IF(IFERROR(INDEX(Stats!$D:$D,MATCH($C8,Stats!$A:$A,0)),FALSE),ROUND(D8+(E8-D8)*(1+G8)*((9-1)/(MaxLevel-1))^(2^F8),0),D8+(E8-D8)*(1+G8)*((9-1)/(MaxLevel-1))^(2^F8)))</f>
        <v/>
      </c>
      <c r="Q8" s="12" t="str">
        <f>IF(OR(D8="",E8=""),"",IF(IFERROR(INDEX(Stats!$D:$D,MATCH($C8,Stats!$A:$A,0)),FALSE),ROUND(D8+(E8-D8)*(1+G8)*((10-1)/(MaxLevel-1))^(2^F8),0),D8+(E8-D8)*(1+G8)*((10-1)/(MaxLevel-1))^(2^F8)))</f>
        <v/>
      </c>
    </row>
    <row r="9" spans="1:17" x14ac:dyDescent="0.25">
      <c r="A9" s="4" t="s">
        <v>185</v>
      </c>
      <c r="B9" s="4" t="s">
        <v>186</v>
      </c>
      <c r="C9" s="4" t="s">
        <v>38</v>
      </c>
      <c r="D9" s="5"/>
      <c r="E9" s="5"/>
      <c r="F9" s="5"/>
      <c r="G9" s="5"/>
      <c r="H9" s="12" t="str">
        <f>IF(OR(D9="",E9=""),"",IF(IFERROR(INDEX(Stats!$D:$D,MATCH($C9,Stats!$A:$A,0)),FALSE),ROUND(D9+(E9-D9)*(1+G9)*((1-1)/(MaxLevel-1))^(2^F9),0),D9+(E9-D9)*(1+G9)*((1-1)/(MaxLevel-1))^(2^F9)))</f>
        <v/>
      </c>
      <c r="I9" s="12" t="str">
        <f>IF(OR(D9="",E9=""),"",IF(IFERROR(INDEX(Stats!$D:$D,MATCH($C9,Stats!$A:$A,0)),FALSE),ROUND(D9+(E9-D9)*(1+G9)*((2-1)/(MaxLevel-1))^(2^F9),0),D9+(E9-D9)*(1+G9)*((2-1)/(MaxLevel-1))^(2^F9)))</f>
        <v/>
      </c>
      <c r="J9" s="12" t="str">
        <f>IF(OR(D9="",E9=""),"",IF(IFERROR(INDEX(Stats!$D:$D,MATCH($C9,Stats!$A:$A,0)),FALSE),ROUND(D9+(E9-D9)*(1+G9)*((3-1)/(MaxLevel-1))^(2^F9),0),D9+(E9-D9)*(1+G9)*((3-1)/(MaxLevel-1))^(2^F9)))</f>
        <v/>
      </c>
      <c r="K9" s="12" t="str">
        <f>IF(OR(D9="",E9=""),"",IF(IFERROR(INDEX(Stats!$D:$D,MATCH($C9,Stats!$A:$A,0)),FALSE),ROUND(D9+(E9-D9)*(1+G9)*((4-1)/(MaxLevel-1))^(2^F9),0),D9+(E9-D9)*(1+G9)*((4-1)/(MaxLevel-1))^(2^F9)))</f>
        <v/>
      </c>
      <c r="L9" s="12" t="str">
        <f>IF(OR(D9="",E9=""),"",IF(IFERROR(INDEX(Stats!$D:$D,MATCH($C9,Stats!$A:$A,0)),FALSE),ROUND(D9+(E9-D9)*(1+G9)*((5-1)/(MaxLevel-1))^(2^F9),0),D9+(E9-D9)*(1+G9)*((5-1)/(MaxLevel-1))^(2^F9)))</f>
        <v/>
      </c>
      <c r="M9" s="12" t="str">
        <f>IF(OR(D9="",E9=""),"",IF(IFERROR(INDEX(Stats!$D:$D,MATCH($C9,Stats!$A:$A,0)),FALSE),ROUND(D9+(E9-D9)*(1+G9)*((6-1)/(MaxLevel-1))^(2^F9),0),D9+(E9-D9)*(1+G9)*((6-1)/(MaxLevel-1))^(2^F9)))</f>
        <v/>
      </c>
      <c r="N9" s="12" t="str">
        <f>IF(OR(D9="",E9=""),"",IF(IFERROR(INDEX(Stats!$D:$D,MATCH($C9,Stats!$A:$A,0)),FALSE),ROUND(D9+(E9-D9)*(1+G9)*((7-1)/(MaxLevel-1))^(2^F9),0),D9+(E9-D9)*(1+G9)*((7-1)/(MaxLevel-1))^(2^F9)))</f>
        <v/>
      </c>
      <c r="O9" s="12" t="str">
        <f>IF(OR(D9="",E9=""),"",IF(IFERROR(INDEX(Stats!$D:$D,MATCH($C9,Stats!$A:$A,0)),FALSE),ROUND(D9+(E9-D9)*(1+G9)*((8-1)/(MaxLevel-1))^(2^F9),0),D9+(E9-D9)*(1+G9)*((8-1)/(MaxLevel-1))^(2^F9)))</f>
        <v/>
      </c>
      <c r="P9" s="12" t="str">
        <f>IF(OR(D9="",E9=""),"",IF(IFERROR(INDEX(Stats!$D:$D,MATCH($C9,Stats!$A:$A,0)),FALSE),ROUND(D9+(E9-D9)*(1+G9)*((9-1)/(MaxLevel-1))^(2^F9),0),D9+(E9-D9)*(1+G9)*((9-1)/(MaxLevel-1))^(2^F9)))</f>
        <v/>
      </c>
      <c r="Q9" s="12" t="str">
        <f>IF(OR(D9="",E9=""),"",IF(IFERROR(INDEX(Stats!$D:$D,MATCH($C9,Stats!$A:$A,0)),FALSE),ROUND(D9+(E9-D9)*(1+G9)*((10-1)/(MaxLevel-1))^(2^F9),0),D9+(E9-D9)*(1+G9)*((10-1)/(MaxLevel-1))^(2^F9)))</f>
        <v/>
      </c>
    </row>
    <row r="10" spans="1:17" x14ac:dyDescent="0.25">
      <c r="A10" s="4" t="s">
        <v>185</v>
      </c>
      <c r="B10" s="4" t="s">
        <v>186</v>
      </c>
      <c r="C10" s="4" t="s">
        <v>40</v>
      </c>
      <c r="D10" s="5"/>
      <c r="E10" s="5"/>
      <c r="F10" s="5"/>
      <c r="G10" s="5"/>
      <c r="H10" s="12" t="str">
        <f>IF(OR(D10="",E10=""),"",IF(IFERROR(INDEX(Stats!$D:$D,MATCH($C10,Stats!$A:$A,0)),FALSE),ROUND(D10+(E10-D10)*(1+G10)*((1-1)/(MaxLevel-1))^(2^F10),0),D10+(E10-D10)*(1+G10)*((1-1)/(MaxLevel-1))^(2^F10)))</f>
        <v/>
      </c>
      <c r="I10" s="12" t="str">
        <f>IF(OR(D10="",E10=""),"",IF(IFERROR(INDEX(Stats!$D:$D,MATCH($C10,Stats!$A:$A,0)),FALSE),ROUND(D10+(E10-D10)*(1+G10)*((2-1)/(MaxLevel-1))^(2^F10),0),D10+(E10-D10)*(1+G10)*((2-1)/(MaxLevel-1))^(2^F10)))</f>
        <v/>
      </c>
      <c r="J10" s="12" t="str">
        <f>IF(OR(D10="",E10=""),"",IF(IFERROR(INDEX(Stats!$D:$D,MATCH($C10,Stats!$A:$A,0)),FALSE),ROUND(D10+(E10-D10)*(1+G10)*((3-1)/(MaxLevel-1))^(2^F10),0),D10+(E10-D10)*(1+G10)*((3-1)/(MaxLevel-1))^(2^F10)))</f>
        <v/>
      </c>
      <c r="K10" s="12" t="str">
        <f>IF(OR(D10="",E10=""),"",IF(IFERROR(INDEX(Stats!$D:$D,MATCH($C10,Stats!$A:$A,0)),FALSE),ROUND(D10+(E10-D10)*(1+G10)*((4-1)/(MaxLevel-1))^(2^F10),0),D10+(E10-D10)*(1+G10)*((4-1)/(MaxLevel-1))^(2^F10)))</f>
        <v/>
      </c>
      <c r="L10" s="12" t="str">
        <f>IF(OR(D10="",E10=""),"",IF(IFERROR(INDEX(Stats!$D:$D,MATCH($C10,Stats!$A:$A,0)),FALSE),ROUND(D10+(E10-D10)*(1+G10)*((5-1)/(MaxLevel-1))^(2^F10),0),D10+(E10-D10)*(1+G10)*((5-1)/(MaxLevel-1))^(2^F10)))</f>
        <v/>
      </c>
      <c r="M10" s="12" t="str">
        <f>IF(OR(D10="",E10=""),"",IF(IFERROR(INDEX(Stats!$D:$D,MATCH($C10,Stats!$A:$A,0)),FALSE),ROUND(D10+(E10-D10)*(1+G10)*((6-1)/(MaxLevel-1))^(2^F10),0),D10+(E10-D10)*(1+G10)*((6-1)/(MaxLevel-1))^(2^F10)))</f>
        <v/>
      </c>
      <c r="N10" s="12" t="str">
        <f>IF(OR(D10="",E10=""),"",IF(IFERROR(INDEX(Stats!$D:$D,MATCH($C10,Stats!$A:$A,0)),FALSE),ROUND(D10+(E10-D10)*(1+G10)*((7-1)/(MaxLevel-1))^(2^F10),0),D10+(E10-D10)*(1+G10)*((7-1)/(MaxLevel-1))^(2^F10)))</f>
        <v/>
      </c>
      <c r="O10" s="12" t="str">
        <f>IF(OR(D10="",E10=""),"",IF(IFERROR(INDEX(Stats!$D:$D,MATCH($C10,Stats!$A:$A,0)),FALSE),ROUND(D10+(E10-D10)*(1+G10)*((8-1)/(MaxLevel-1))^(2^F10),0),D10+(E10-D10)*(1+G10)*((8-1)/(MaxLevel-1))^(2^F10)))</f>
        <v/>
      </c>
      <c r="P10" s="12" t="str">
        <f>IF(OR(D10="",E10=""),"",IF(IFERROR(INDEX(Stats!$D:$D,MATCH($C10,Stats!$A:$A,0)),FALSE),ROUND(D10+(E10-D10)*(1+G10)*((9-1)/(MaxLevel-1))^(2^F10),0),D10+(E10-D10)*(1+G10)*((9-1)/(MaxLevel-1))^(2^F10)))</f>
        <v/>
      </c>
      <c r="Q10" s="12" t="str">
        <f>IF(OR(D10="",E10=""),"",IF(IFERROR(INDEX(Stats!$D:$D,MATCH($C10,Stats!$A:$A,0)),FALSE),ROUND(D10+(E10-D10)*(1+G10)*((10-1)/(MaxLevel-1))^(2^F10),0),D10+(E10-D10)*(1+G10)*((10-1)/(MaxLevel-1))^(2^F10)))</f>
        <v/>
      </c>
    </row>
    <row r="11" spans="1:17" x14ac:dyDescent="0.25">
      <c r="A11" s="4" t="s">
        <v>185</v>
      </c>
      <c r="B11" s="4" t="s">
        <v>186</v>
      </c>
      <c r="C11" s="4" t="s">
        <v>42</v>
      </c>
      <c r="D11" s="5"/>
      <c r="E11" s="5"/>
      <c r="F11" s="5"/>
      <c r="G11" s="5"/>
      <c r="H11" s="12" t="str">
        <f>IF(OR(D11="",E11=""),"",IF(IFERROR(INDEX(Stats!$D:$D,MATCH($C11,Stats!$A:$A,0)),FALSE),ROUND(D11+(E11-D11)*(1+G11)*((1-1)/(MaxLevel-1))^(2^F11),0),D11+(E11-D11)*(1+G11)*((1-1)/(MaxLevel-1))^(2^F11)))</f>
        <v/>
      </c>
      <c r="I11" s="12" t="str">
        <f>IF(OR(D11="",E11=""),"",IF(IFERROR(INDEX(Stats!$D:$D,MATCH($C11,Stats!$A:$A,0)),FALSE),ROUND(D11+(E11-D11)*(1+G11)*((2-1)/(MaxLevel-1))^(2^F11),0),D11+(E11-D11)*(1+G11)*((2-1)/(MaxLevel-1))^(2^F11)))</f>
        <v/>
      </c>
      <c r="J11" s="12" t="str">
        <f>IF(OR(D11="",E11=""),"",IF(IFERROR(INDEX(Stats!$D:$D,MATCH($C11,Stats!$A:$A,0)),FALSE),ROUND(D11+(E11-D11)*(1+G11)*((3-1)/(MaxLevel-1))^(2^F11),0),D11+(E11-D11)*(1+G11)*((3-1)/(MaxLevel-1))^(2^F11)))</f>
        <v/>
      </c>
      <c r="K11" s="12" t="str">
        <f>IF(OR(D11="",E11=""),"",IF(IFERROR(INDEX(Stats!$D:$D,MATCH($C11,Stats!$A:$A,0)),FALSE),ROUND(D11+(E11-D11)*(1+G11)*((4-1)/(MaxLevel-1))^(2^F11),0),D11+(E11-D11)*(1+G11)*((4-1)/(MaxLevel-1))^(2^F11)))</f>
        <v/>
      </c>
      <c r="L11" s="12" t="str">
        <f>IF(OR(D11="",E11=""),"",IF(IFERROR(INDEX(Stats!$D:$D,MATCH($C11,Stats!$A:$A,0)),FALSE),ROUND(D11+(E11-D11)*(1+G11)*((5-1)/(MaxLevel-1))^(2^F11),0),D11+(E11-D11)*(1+G11)*((5-1)/(MaxLevel-1))^(2^F11)))</f>
        <v/>
      </c>
      <c r="M11" s="12" t="str">
        <f>IF(OR(D11="",E11=""),"",IF(IFERROR(INDEX(Stats!$D:$D,MATCH($C11,Stats!$A:$A,0)),FALSE),ROUND(D11+(E11-D11)*(1+G11)*((6-1)/(MaxLevel-1))^(2^F11),0),D11+(E11-D11)*(1+G11)*((6-1)/(MaxLevel-1))^(2^F11)))</f>
        <v/>
      </c>
      <c r="N11" s="12" t="str">
        <f>IF(OR(D11="",E11=""),"",IF(IFERROR(INDEX(Stats!$D:$D,MATCH($C11,Stats!$A:$A,0)),FALSE),ROUND(D11+(E11-D11)*(1+G11)*((7-1)/(MaxLevel-1))^(2^F11),0),D11+(E11-D11)*(1+G11)*((7-1)/(MaxLevel-1))^(2^F11)))</f>
        <v/>
      </c>
      <c r="O11" s="12" t="str">
        <f>IF(OR(D11="",E11=""),"",IF(IFERROR(INDEX(Stats!$D:$D,MATCH($C11,Stats!$A:$A,0)),FALSE),ROUND(D11+(E11-D11)*(1+G11)*((8-1)/(MaxLevel-1))^(2^F11),0),D11+(E11-D11)*(1+G11)*((8-1)/(MaxLevel-1))^(2^F11)))</f>
        <v/>
      </c>
      <c r="P11" s="12" t="str">
        <f>IF(OR(D11="",E11=""),"",IF(IFERROR(INDEX(Stats!$D:$D,MATCH($C11,Stats!$A:$A,0)),FALSE),ROUND(D11+(E11-D11)*(1+G11)*((9-1)/(MaxLevel-1))^(2^F11),0),D11+(E11-D11)*(1+G11)*((9-1)/(MaxLevel-1))^(2^F11)))</f>
        <v/>
      </c>
      <c r="Q11" s="12" t="str">
        <f>IF(OR(D11="",E11=""),"",IF(IFERROR(INDEX(Stats!$D:$D,MATCH($C11,Stats!$A:$A,0)),FALSE),ROUND(D11+(E11-D11)*(1+G11)*((10-1)/(MaxLevel-1))^(2^F11),0),D11+(E11-D11)*(1+G11)*((10-1)/(MaxLevel-1))^(2^F11)))</f>
        <v/>
      </c>
    </row>
    <row r="12" spans="1:17" x14ac:dyDescent="0.25">
      <c r="A12" s="4" t="s">
        <v>185</v>
      </c>
      <c r="B12" s="4" t="s">
        <v>186</v>
      </c>
      <c r="C12" s="4" t="s">
        <v>44</v>
      </c>
      <c r="D12" s="5"/>
      <c r="E12" s="5"/>
      <c r="F12" s="5"/>
      <c r="G12" s="5"/>
      <c r="H12" s="12" t="str">
        <f>IF(OR(D12="",E12=""),"",IF(IFERROR(INDEX(Stats!$D:$D,MATCH($C12,Stats!$A:$A,0)),FALSE),ROUND(D12+(E12-D12)*(1+G12)*((1-1)/(MaxLevel-1))^(2^F12),0),D12+(E12-D12)*(1+G12)*((1-1)/(MaxLevel-1))^(2^F12)))</f>
        <v/>
      </c>
      <c r="I12" s="12" t="str">
        <f>IF(OR(D12="",E12=""),"",IF(IFERROR(INDEX(Stats!$D:$D,MATCH($C12,Stats!$A:$A,0)),FALSE),ROUND(D12+(E12-D12)*(1+G12)*((2-1)/(MaxLevel-1))^(2^F12),0),D12+(E12-D12)*(1+G12)*((2-1)/(MaxLevel-1))^(2^F12)))</f>
        <v/>
      </c>
      <c r="J12" s="12" t="str">
        <f>IF(OR(D12="",E12=""),"",IF(IFERROR(INDEX(Stats!$D:$D,MATCH($C12,Stats!$A:$A,0)),FALSE),ROUND(D12+(E12-D12)*(1+G12)*((3-1)/(MaxLevel-1))^(2^F12),0),D12+(E12-D12)*(1+G12)*((3-1)/(MaxLevel-1))^(2^F12)))</f>
        <v/>
      </c>
      <c r="K12" s="12" t="str">
        <f>IF(OR(D12="",E12=""),"",IF(IFERROR(INDEX(Stats!$D:$D,MATCH($C12,Stats!$A:$A,0)),FALSE),ROUND(D12+(E12-D12)*(1+G12)*((4-1)/(MaxLevel-1))^(2^F12),0),D12+(E12-D12)*(1+G12)*((4-1)/(MaxLevel-1))^(2^F12)))</f>
        <v/>
      </c>
      <c r="L12" s="12" t="str">
        <f>IF(OR(D12="",E12=""),"",IF(IFERROR(INDEX(Stats!$D:$D,MATCH($C12,Stats!$A:$A,0)),FALSE),ROUND(D12+(E12-D12)*(1+G12)*((5-1)/(MaxLevel-1))^(2^F12),0),D12+(E12-D12)*(1+G12)*((5-1)/(MaxLevel-1))^(2^F12)))</f>
        <v/>
      </c>
      <c r="M12" s="12" t="str">
        <f>IF(OR(D12="",E12=""),"",IF(IFERROR(INDEX(Stats!$D:$D,MATCH($C12,Stats!$A:$A,0)),FALSE),ROUND(D12+(E12-D12)*(1+G12)*((6-1)/(MaxLevel-1))^(2^F12),0),D12+(E12-D12)*(1+G12)*((6-1)/(MaxLevel-1))^(2^F12)))</f>
        <v/>
      </c>
      <c r="N12" s="12" t="str">
        <f>IF(OR(D12="",E12=""),"",IF(IFERROR(INDEX(Stats!$D:$D,MATCH($C12,Stats!$A:$A,0)),FALSE),ROUND(D12+(E12-D12)*(1+G12)*((7-1)/(MaxLevel-1))^(2^F12),0),D12+(E12-D12)*(1+G12)*((7-1)/(MaxLevel-1))^(2^F12)))</f>
        <v/>
      </c>
      <c r="O12" s="12" t="str">
        <f>IF(OR(D12="",E12=""),"",IF(IFERROR(INDEX(Stats!$D:$D,MATCH($C12,Stats!$A:$A,0)),FALSE),ROUND(D12+(E12-D12)*(1+G12)*((8-1)/(MaxLevel-1))^(2^F12),0),D12+(E12-D12)*(1+G12)*((8-1)/(MaxLevel-1))^(2^F12)))</f>
        <v/>
      </c>
      <c r="P12" s="12" t="str">
        <f>IF(OR(D12="",E12=""),"",IF(IFERROR(INDEX(Stats!$D:$D,MATCH($C12,Stats!$A:$A,0)),FALSE),ROUND(D12+(E12-D12)*(1+G12)*((9-1)/(MaxLevel-1))^(2^F12),0),D12+(E12-D12)*(1+G12)*((9-1)/(MaxLevel-1))^(2^F12)))</f>
        <v/>
      </c>
      <c r="Q12" s="12" t="str">
        <f>IF(OR(D12="",E12=""),"",IF(IFERROR(INDEX(Stats!$D:$D,MATCH($C12,Stats!$A:$A,0)),FALSE),ROUND(D12+(E12-D12)*(1+G12)*((10-1)/(MaxLevel-1))^(2^F12),0),D12+(E12-D12)*(1+G12)*((10-1)/(MaxLevel-1))^(2^F12)))</f>
        <v/>
      </c>
    </row>
    <row r="13" spans="1:17" x14ac:dyDescent="0.25">
      <c r="A13" s="4" t="s">
        <v>185</v>
      </c>
      <c r="B13" s="4" t="s">
        <v>186</v>
      </c>
      <c r="C13" s="4" t="s">
        <v>46</v>
      </c>
      <c r="D13" s="5"/>
      <c r="E13" s="5"/>
      <c r="F13" s="5"/>
      <c r="G13" s="5"/>
      <c r="H13" s="12" t="str">
        <f>IF(OR(D13="",E13=""),"",IF(IFERROR(INDEX(Stats!$D:$D,MATCH($C13,Stats!$A:$A,0)),FALSE),ROUND(D13+(E13-D13)*(1+G13)*((1-1)/(MaxLevel-1))^(2^F13),0),D13+(E13-D13)*(1+G13)*((1-1)/(MaxLevel-1))^(2^F13)))</f>
        <v/>
      </c>
      <c r="I13" s="12" t="str">
        <f>IF(OR(D13="",E13=""),"",IF(IFERROR(INDEX(Stats!$D:$D,MATCH($C13,Stats!$A:$A,0)),FALSE),ROUND(D13+(E13-D13)*(1+G13)*((2-1)/(MaxLevel-1))^(2^F13),0),D13+(E13-D13)*(1+G13)*((2-1)/(MaxLevel-1))^(2^F13)))</f>
        <v/>
      </c>
      <c r="J13" s="12" t="str">
        <f>IF(OR(D13="",E13=""),"",IF(IFERROR(INDEX(Stats!$D:$D,MATCH($C13,Stats!$A:$A,0)),FALSE),ROUND(D13+(E13-D13)*(1+G13)*((3-1)/(MaxLevel-1))^(2^F13),0),D13+(E13-D13)*(1+G13)*((3-1)/(MaxLevel-1))^(2^F13)))</f>
        <v/>
      </c>
      <c r="K13" s="12" t="str">
        <f>IF(OR(D13="",E13=""),"",IF(IFERROR(INDEX(Stats!$D:$D,MATCH($C13,Stats!$A:$A,0)),FALSE),ROUND(D13+(E13-D13)*(1+G13)*((4-1)/(MaxLevel-1))^(2^F13),0),D13+(E13-D13)*(1+G13)*((4-1)/(MaxLevel-1))^(2^F13)))</f>
        <v/>
      </c>
      <c r="L13" s="12" t="str">
        <f>IF(OR(D13="",E13=""),"",IF(IFERROR(INDEX(Stats!$D:$D,MATCH($C13,Stats!$A:$A,0)),FALSE),ROUND(D13+(E13-D13)*(1+G13)*((5-1)/(MaxLevel-1))^(2^F13),0),D13+(E13-D13)*(1+G13)*((5-1)/(MaxLevel-1))^(2^F13)))</f>
        <v/>
      </c>
      <c r="M13" s="12" t="str">
        <f>IF(OR(D13="",E13=""),"",IF(IFERROR(INDEX(Stats!$D:$D,MATCH($C13,Stats!$A:$A,0)),FALSE),ROUND(D13+(E13-D13)*(1+G13)*((6-1)/(MaxLevel-1))^(2^F13),0),D13+(E13-D13)*(1+G13)*((6-1)/(MaxLevel-1))^(2^F13)))</f>
        <v/>
      </c>
      <c r="N13" s="12" t="str">
        <f>IF(OR(D13="",E13=""),"",IF(IFERROR(INDEX(Stats!$D:$D,MATCH($C13,Stats!$A:$A,0)),FALSE),ROUND(D13+(E13-D13)*(1+G13)*((7-1)/(MaxLevel-1))^(2^F13),0),D13+(E13-D13)*(1+G13)*((7-1)/(MaxLevel-1))^(2^F13)))</f>
        <v/>
      </c>
      <c r="O13" s="12" t="str">
        <f>IF(OR(D13="",E13=""),"",IF(IFERROR(INDEX(Stats!$D:$D,MATCH($C13,Stats!$A:$A,0)),FALSE),ROUND(D13+(E13-D13)*(1+G13)*((8-1)/(MaxLevel-1))^(2^F13),0),D13+(E13-D13)*(1+G13)*((8-1)/(MaxLevel-1))^(2^F13)))</f>
        <v/>
      </c>
      <c r="P13" s="12" t="str">
        <f>IF(OR(D13="",E13=""),"",IF(IFERROR(INDEX(Stats!$D:$D,MATCH($C13,Stats!$A:$A,0)),FALSE),ROUND(D13+(E13-D13)*(1+G13)*((9-1)/(MaxLevel-1))^(2^F13),0),D13+(E13-D13)*(1+G13)*((9-1)/(MaxLevel-1))^(2^F13)))</f>
        <v/>
      </c>
      <c r="Q13" s="12" t="str">
        <f>IF(OR(D13="",E13=""),"",IF(IFERROR(INDEX(Stats!$D:$D,MATCH($C13,Stats!$A:$A,0)),FALSE),ROUND(D13+(E13-D13)*(1+G13)*((10-1)/(MaxLevel-1))^(2^F13),0),D13+(E13-D13)*(1+G13)*((10-1)/(MaxLevel-1))^(2^F13)))</f>
        <v/>
      </c>
    </row>
    <row r="14" spans="1:17" x14ac:dyDescent="0.25">
      <c r="A14" s="4" t="s">
        <v>185</v>
      </c>
      <c r="B14" s="4" t="s">
        <v>186</v>
      </c>
      <c r="C14" s="4" t="s">
        <v>48</v>
      </c>
      <c r="D14" s="5"/>
      <c r="E14" s="5"/>
      <c r="F14" s="5"/>
      <c r="G14" s="5"/>
      <c r="H14" s="12" t="str">
        <f>IF(OR(D14="",E14=""),"",IF(IFERROR(INDEX(Stats!$D:$D,MATCH($C14,Stats!$A:$A,0)),FALSE),ROUND(D14+(E14-D14)*(1+G14)*((1-1)/(MaxLevel-1))^(2^F14),0),D14+(E14-D14)*(1+G14)*((1-1)/(MaxLevel-1))^(2^F14)))</f>
        <v/>
      </c>
      <c r="I14" s="12" t="str">
        <f>IF(OR(D14="",E14=""),"",IF(IFERROR(INDEX(Stats!$D:$D,MATCH($C14,Stats!$A:$A,0)),FALSE),ROUND(D14+(E14-D14)*(1+G14)*((2-1)/(MaxLevel-1))^(2^F14),0),D14+(E14-D14)*(1+G14)*((2-1)/(MaxLevel-1))^(2^F14)))</f>
        <v/>
      </c>
      <c r="J14" s="12" t="str">
        <f>IF(OR(D14="",E14=""),"",IF(IFERROR(INDEX(Stats!$D:$D,MATCH($C14,Stats!$A:$A,0)),FALSE),ROUND(D14+(E14-D14)*(1+G14)*((3-1)/(MaxLevel-1))^(2^F14),0),D14+(E14-D14)*(1+G14)*((3-1)/(MaxLevel-1))^(2^F14)))</f>
        <v/>
      </c>
      <c r="K14" s="12" t="str">
        <f>IF(OR(D14="",E14=""),"",IF(IFERROR(INDEX(Stats!$D:$D,MATCH($C14,Stats!$A:$A,0)),FALSE),ROUND(D14+(E14-D14)*(1+G14)*((4-1)/(MaxLevel-1))^(2^F14),0),D14+(E14-D14)*(1+G14)*((4-1)/(MaxLevel-1))^(2^F14)))</f>
        <v/>
      </c>
      <c r="L14" s="12" t="str">
        <f>IF(OR(D14="",E14=""),"",IF(IFERROR(INDEX(Stats!$D:$D,MATCH($C14,Stats!$A:$A,0)),FALSE),ROUND(D14+(E14-D14)*(1+G14)*((5-1)/(MaxLevel-1))^(2^F14),0),D14+(E14-D14)*(1+G14)*((5-1)/(MaxLevel-1))^(2^F14)))</f>
        <v/>
      </c>
      <c r="M14" s="12" t="str">
        <f>IF(OR(D14="",E14=""),"",IF(IFERROR(INDEX(Stats!$D:$D,MATCH($C14,Stats!$A:$A,0)),FALSE),ROUND(D14+(E14-D14)*(1+G14)*((6-1)/(MaxLevel-1))^(2^F14),0),D14+(E14-D14)*(1+G14)*((6-1)/(MaxLevel-1))^(2^F14)))</f>
        <v/>
      </c>
      <c r="N14" s="12" t="str">
        <f>IF(OR(D14="",E14=""),"",IF(IFERROR(INDEX(Stats!$D:$D,MATCH($C14,Stats!$A:$A,0)),FALSE),ROUND(D14+(E14-D14)*(1+G14)*((7-1)/(MaxLevel-1))^(2^F14),0),D14+(E14-D14)*(1+G14)*((7-1)/(MaxLevel-1))^(2^F14)))</f>
        <v/>
      </c>
      <c r="O14" s="12" t="str">
        <f>IF(OR(D14="",E14=""),"",IF(IFERROR(INDEX(Stats!$D:$D,MATCH($C14,Stats!$A:$A,0)),FALSE),ROUND(D14+(E14-D14)*(1+G14)*((8-1)/(MaxLevel-1))^(2^F14),0),D14+(E14-D14)*(1+G14)*((8-1)/(MaxLevel-1))^(2^F14)))</f>
        <v/>
      </c>
      <c r="P14" s="12" t="str">
        <f>IF(OR(D14="",E14=""),"",IF(IFERROR(INDEX(Stats!$D:$D,MATCH($C14,Stats!$A:$A,0)),FALSE),ROUND(D14+(E14-D14)*(1+G14)*((9-1)/(MaxLevel-1))^(2^F14),0),D14+(E14-D14)*(1+G14)*((9-1)/(MaxLevel-1))^(2^F14)))</f>
        <v/>
      </c>
      <c r="Q14" s="12" t="str">
        <f>IF(OR(D14="",E14=""),"",IF(IFERROR(INDEX(Stats!$D:$D,MATCH($C14,Stats!$A:$A,0)),FALSE),ROUND(D14+(E14-D14)*(1+G14)*((10-1)/(MaxLevel-1))^(2^F14),0),D14+(E14-D14)*(1+G14)*((10-1)/(MaxLevel-1))^(2^F14)))</f>
        <v/>
      </c>
    </row>
    <row r="15" spans="1:17" x14ac:dyDescent="0.25">
      <c r="A15" s="4" t="s">
        <v>185</v>
      </c>
      <c r="B15" s="4" t="s">
        <v>186</v>
      </c>
      <c r="C15" s="4" t="s">
        <v>50</v>
      </c>
      <c r="D15" s="5"/>
      <c r="E15" s="5"/>
      <c r="F15" s="5"/>
      <c r="G15" s="5"/>
      <c r="H15" s="12" t="str">
        <f>IF(OR(D15="",E15=""),"",IF(IFERROR(INDEX(Stats!$D:$D,MATCH($C15,Stats!$A:$A,0)),FALSE),ROUND(D15+(E15-D15)*(1+G15)*((1-1)/(MaxLevel-1))^(2^F15),0),D15+(E15-D15)*(1+G15)*((1-1)/(MaxLevel-1))^(2^F15)))</f>
        <v/>
      </c>
      <c r="I15" s="12" t="str">
        <f>IF(OR(D15="",E15=""),"",IF(IFERROR(INDEX(Stats!$D:$D,MATCH($C15,Stats!$A:$A,0)),FALSE),ROUND(D15+(E15-D15)*(1+G15)*((2-1)/(MaxLevel-1))^(2^F15),0),D15+(E15-D15)*(1+G15)*((2-1)/(MaxLevel-1))^(2^F15)))</f>
        <v/>
      </c>
      <c r="J15" s="12" t="str">
        <f>IF(OR(D15="",E15=""),"",IF(IFERROR(INDEX(Stats!$D:$D,MATCH($C15,Stats!$A:$A,0)),FALSE),ROUND(D15+(E15-D15)*(1+G15)*((3-1)/(MaxLevel-1))^(2^F15),0),D15+(E15-D15)*(1+G15)*((3-1)/(MaxLevel-1))^(2^F15)))</f>
        <v/>
      </c>
      <c r="K15" s="12" t="str">
        <f>IF(OR(D15="",E15=""),"",IF(IFERROR(INDEX(Stats!$D:$D,MATCH($C15,Stats!$A:$A,0)),FALSE),ROUND(D15+(E15-D15)*(1+G15)*((4-1)/(MaxLevel-1))^(2^F15),0),D15+(E15-D15)*(1+G15)*((4-1)/(MaxLevel-1))^(2^F15)))</f>
        <v/>
      </c>
      <c r="L15" s="12" t="str">
        <f>IF(OR(D15="",E15=""),"",IF(IFERROR(INDEX(Stats!$D:$D,MATCH($C15,Stats!$A:$A,0)),FALSE),ROUND(D15+(E15-D15)*(1+G15)*((5-1)/(MaxLevel-1))^(2^F15),0),D15+(E15-D15)*(1+G15)*((5-1)/(MaxLevel-1))^(2^F15)))</f>
        <v/>
      </c>
      <c r="M15" s="12" t="str">
        <f>IF(OR(D15="",E15=""),"",IF(IFERROR(INDEX(Stats!$D:$D,MATCH($C15,Stats!$A:$A,0)),FALSE),ROUND(D15+(E15-D15)*(1+G15)*((6-1)/(MaxLevel-1))^(2^F15),0),D15+(E15-D15)*(1+G15)*((6-1)/(MaxLevel-1))^(2^F15)))</f>
        <v/>
      </c>
      <c r="N15" s="12" t="str">
        <f>IF(OR(D15="",E15=""),"",IF(IFERROR(INDEX(Stats!$D:$D,MATCH($C15,Stats!$A:$A,0)),FALSE),ROUND(D15+(E15-D15)*(1+G15)*((7-1)/(MaxLevel-1))^(2^F15),0),D15+(E15-D15)*(1+G15)*((7-1)/(MaxLevel-1))^(2^F15)))</f>
        <v/>
      </c>
      <c r="O15" s="12" t="str">
        <f>IF(OR(D15="",E15=""),"",IF(IFERROR(INDEX(Stats!$D:$D,MATCH($C15,Stats!$A:$A,0)),FALSE),ROUND(D15+(E15-D15)*(1+G15)*((8-1)/(MaxLevel-1))^(2^F15),0),D15+(E15-D15)*(1+G15)*((8-1)/(MaxLevel-1))^(2^F15)))</f>
        <v/>
      </c>
      <c r="P15" s="12" t="str">
        <f>IF(OR(D15="",E15=""),"",IF(IFERROR(INDEX(Stats!$D:$D,MATCH($C15,Stats!$A:$A,0)),FALSE),ROUND(D15+(E15-D15)*(1+G15)*((9-1)/(MaxLevel-1))^(2^F15),0),D15+(E15-D15)*(1+G15)*((9-1)/(MaxLevel-1))^(2^F15)))</f>
        <v/>
      </c>
      <c r="Q15" s="12" t="str">
        <f>IF(OR(D15="",E15=""),"",IF(IFERROR(INDEX(Stats!$D:$D,MATCH($C15,Stats!$A:$A,0)),FALSE),ROUND(D15+(E15-D15)*(1+G15)*((10-1)/(MaxLevel-1))^(2^F15),0),D15+(E15-D15)*(1+G15)*((10-1)/(MaxLevel-1))^(2^F15)))</f>
        <v/>
      </c>
    </row>
    <row r="16" spans="1:17" x14ac:dyDescent="0.25">
      <c r="A16" s="4" t="s">
        <v>185</v>
      </c>
      <c r="B16" s="4" t="s">
        <v>186</v>
      </c>
      <c r="C16" s="4" t="s">
        <v>52</v>
      </c>
      <c r="D16" s="5"/>
      <c r="E16" s="5"/>
      <c r="F16" s="5"/>
      <c r="G16" s="5"/>
      <c r="H16" s="12" t="str">
        <f>IF(OR(D16="",E16=""),"",IF(IFERROR(INDEX(Stats!$D:$D,MATCH($C16,Stats!$A:$A,0)),FALSE),ROUND(D16+(E16-D16)*(1+G16)*((1-1)/(MaxLevel-1))^(2^F16),0),D16+(E16-D16)*(1+G16)*((1-1)/(MaxLevel-1))^(2^F16)))</f>
        <v/>
      </c>
      <c r="I16" s="12" t="str">
        <f>IF(OR(D16="",E16=""),"",IF(IFERROR(INDEX(Stats!$D:$D,MATCH($C16,Stats!$A:$A,0)),FALSE),ROUND(D16+(E16-D16)*(1+G16)*((2-1)/(MaxLevel-1))^(2^F16),0),D16+(E16-D16)*(1+G16)*((2-1)/(MaxLevel-1))^(2^F16)))</f>
        <v/>
      </c>
      <c r="J16" s="12" t="str">
        <f>IF(OR(D16="",E16=""),"",IF(IFERROR(INDEX(Stats!$D:$D,MATCH($C16,Stats!$A:$A,0)),FALSE),ROUND(D16+(E16-D16)*(1+G16)*((3-1)/(MaxLevel-1))^(2^F16),0),D16+(E16-D16)*(1+G16)*((3-1)/(MaxLevel-1))^(2^F16)))</f>
        <v/>
      </c>
      <c r="K16" s="12" t="str">
        <f>IF(OR(D16="",E16=""),"",IF(IFERROR(INDEX(Stats!$D:$D,MATCH($C16,Stats!$A:$A,0)),FALSE),ROUND(D16+(E16-D16)*(1+G16)*((4-1)/(MaxLevel-1))^(2^F16),0),D16+(E16-D16)*(1+G16)*((4-1)/(MaxLevel-1))^(2^F16)))</f>
        <v/>
      </c>
      <c r="L16" s="12" t="str">
        <f>IF(OR(D16="",E16=""),"",IF(IFERROR(INDEX(Stats!$D:$D,MATCH($C16,Stats!$A:$A,0)),FALSE),ROUND(D16+(E16-D16)*(1+G16)*((5-1)/(MaxLevel-1))^(2^F16),0),D16+(E16-D16)*(1+G16)*((5-1)/(MaxLevel-1))^(2^F16)))</f>
        <v/>
      </c>
      <c r="M16" s="12" t="str">
        <f>IF(OR(D16="",E16=""),"",IF(IFERROR(INDEX(Stats!$D:$D,MATCH($C16,Stats!$A:$A,0)),FALSE),ROUND(D16+(E16-D16)*(1+G16)*((6-1)/(MaxLevel-1))^(2^F16),0),D16+(E16-D16)*(1+G16)*((6-1)/(MaxLevel-1))^(2^F16)))</f>
        <v/>
      </c>
      <c r="N16" s="12" t="str">
        <f>IF(OR(D16="",E16=""),"",IF(IFERROR(INDEX(Stats!$D:$D,MATCH($C16,Stats!$A:$A,0)),FALSE),ROUND(D16+(E16-D16)*(1+G16)*((7-1)/(MaxLevel-1))^(2^F16),0),D16+(E16-D16)*(1+G16)*((7-1)/(MaxLevel-1))^(2^F16)))</f>
        <v/>
      </c>
      <c r="O16" s="12" t="str">
        <f>IF(OR(D16="",E16=""),"",IF(IFERROR(INDEX(Stats!$D:$D,MATCH($C16,Stats!$A:$A,0)),FALSE),ROUND(D16+(E16-D16)*(1+G16)*((8-1)/(MaxLevel-1))^(2^F16),0),D16+(E16-D16)*(1+G16)*((8-1)/(MaxLevel-1))^(2^F16)))</f>
        <v/>
      </c>
      <c r="P16" s="12" t="str">
        <f>IF(OR(D16="",E16=""),"",IF(IFERROR(INDEX(Stats!$D:$D,MATCH($C16,Stats!$A:$A,0)),FALSE),ROUND(D16+(E16-D16)*(1+G16)*((9-1)/(MaxLevel-1))^(2^F16),0),D16+(E16-D16)*(1+G16)*((9-1)/(MaxLevel-1))^(2^F16)))</f>
        <v/>
      </c>
      <c r="Q16" s="12" t="str">
        <f>IF(OR(D16="",E16=""),"",IF(IFERROR(INDEX(Stats!$D:$D,MATCH($C16,Stats!$A:$A,0)),FALSE),ROUND(D16+(E16-D16)*(1+G16)*((10-1)/(MaxLevel-1))^(2^F16),0),D16+(E16-D16)*(1+G16)*((10-1)/(MaxLevel-1))^(2^F16)))</f>
        <v/>
      </c>
    </row>
    <row r="17" spans="1:17" x14ac:dyDescent="0.25">
      <c r="A17" s="4" t="s">
        <v>185</v>
      </c>
      <c r="B17" s="4" t="s">
        <v>186</v>
      </c>
      <c r="C17" s="4" t="s">
        <v>54</v>
      </c>
      <c r="D17" s="5"/>
      <c r="E17" s="5"/>
      <c r="F17" s="5"/>
      <c r="G17" s="5"/>
      <c r="H17" s="12" t="str">
        <f>IF(OR(D17="",E17=""),"",IF(IFERROR(INDEX(Stats!$D:$D,MATCH($C17,Stats!$A:$A,0)),FALSE),ROUND(D17+(E17-D17)*(1+G17)*((1-1)/(MaxLevel-1))^(2^F17),0),D17+(E17-D17)*(1+G17)*((1-1)/(MaxLevel-1))^(2^F17)))</f>
        <v/>
      </c>
      <c r="I17" s="12" t="str">
        <f>IF(OR(D17="",E17=""),"",IF(IFERROR(INDEX(Stats!$D:$D,MATCH($C17,Stats!$A:$A,0)),FALSE),ROUND(D17+(E17-D17)*(1+G17)*((2-1)/(MaxLevel-1))^(2^F17),0),D17+(E17-D17)*(1+G17)*((2-1)/(MaxLevel-1))^(2^F17)))</f>
        <v/>
      </c>
      <c r="J17" s="12" t="str">
        <f>IF(OR(D17="",E17=""),"",IF(IFERROR(INDEX(Stats!$D:$D,MATCH($C17,Stats!$A:$A,0)),FALSE),ROUND(D17+(E17-D17)*(1+G17)*((3-1)/(MaxLevel-1))^(2^F17),0),D17+(E17-D17)*(1+G17)*((3-1)/(MaxLevel-1))^(2^F17)))</f>
        <v/>
      </c>
      <c r="K17" s="12" t="str">
        <f>IF(OR(D17="",E17=""),"",IF(IFERROR(INDEX(Stats!$D:$D,MATCH($C17,Stats!$A:$A,0)),FALSE),ROUND(D17+(E17-D17)*(1+G17)*((4-1)/(MaxLevel-1))^(2^F17),0),D17+(E17-D17)*(1+G17)*((4-1)/(MaxLevel-1))^(2^F17)))</f>
        <v/>
      </c>
      <c r="L17" s="12" t="str">
        <f>IF(OR(D17="",E17=""),"",IF(IFERROR(INDEX(Stats!$D:$D,MATCH($C17,Stats!$A:$A,0)),FALSE),ROUND(D17+(E17-D17)*(1+G17)*((5-1)/(MaxLevel-1))^(2^F17),0),D17+(E17-D17)*(1+G17)*((5-1)/(MaxLevel-1))^(2^F17)))</f>
        <v/>
      </c>
      <c r="M17" s="12" t="str">
        <f>IF(OR(D17="",E17=""),"",IF(IFERROR(INDEX(Stats!$D:$D,MATCH($C17,Stats!$A:$A,0)),FALSE),ROUND(D17+(E17-D17)*(1+G17)*((6-1)/(MaxLevel-1))^(2^F17),0),D17+(E17-D17)*(1+G17)*((6-1)/(MaxLevel-1))^(2^F17)))</f>
        <v/>
      </c>
      <c r="N17" s="12" t="str">
        <f>IF(OR(D17="",E17=""),"",IF(IFERROR(INDEX(Stats!$D:$D,MATCH($C17,Stats!$A:$A,0)),FALSE),ROUND(D17+(E17-D17)*(1+G17)*((7-1)/(MaxLevel-1))^(2^F17),0),D17+(E17-D17)*(1+G17)*((7-1)/(MaxLevel-1))^(2^F17)))</f>
        <v/>
      </c>
      <c r="O17" s="12" t="str">
        <f>IF(OR(D17="",E17=""),"",IF(IFERROR(INDEX(Stats!$D:$D,MATCH($C17,Stats!$A:$A,0)),FALSE),ROUND(D17+(E17-D17)*(1+G17)*((8-1)/(MaxLevel-1))^(2^F17),0),D17+(E17-D17)*(1+G17)*((8-1)/(MaxLevel-1))^(2^F17)))</f>
        <v/>
      </c>
      <c r="P17" s="12" t="str">
        <f>IF(OR(D17="",E17=""),"",IF(IFERROR(INDEX(Stats!$D:$D,MATCH($C17,Stats!$A:$A,0)),FALSE),ROUND(D17+(E17-D17)*(1+G17)*((9-1)/(MaxLevel-1))^(2^F17),0),D17+(E17-D17)*(1+G17)*((9-1)/(MaxLevel-1))^(2^F17)))</f>
        <v/>
      </c>
      <c r="Q17" s="12" t="str">
        <f>IF(OR(D17="",E17=""),"",IF(IFERROR(INDEX(Stats!$D:$D,MATCH($C17,Stats!$A:$A,0)),FALSE),ROUND(D17+(E17-D17)*(1+G17)*((10-1)/(MaxLevel-1))^(2^F17),0),D17+(E17-D17)*(1+G17)*((10-1)/(MaxLevel-1))^(2^F17)))</f>
        <v/>
      </c>
    </row>
    <row r="18" spans="1:17" x14ac:dyDescent="0.25">
      <c r="A18" s="4" t="s">
        <v>185</v>
      </c>
      <c r="B18" s="4" t="s">
        <v>186</v>
      </c>
      <c r="C18" s="4" t="s">
        <v>56</v>
      </c>
      <c r="D18" s="5"/>
      <c r="E18" s="5"/>
      <c r="F18" s="5"/>
      <c r="G18" s="5"/>
      <c r="H18" s="12" t="str">
        <f>IF(OR(D18="",E18=""),"",IF(IFERROR(INDEX(Stats!$D:$D,MATCH($C18,Stats!$A:$A,0)),FALSE),ROUND(D18+(E18-D18)*(1+G18)*((1-1)/(MaxLevel-1))^(2^F18),0),D18+(E18-D18)*(1+G18)*((1-1)/(MaxLevel-1))^(2^F18)))</f>
        <v/>
      </c>
      <c r="I18" s="12" t="str">
        <f>IF(OR(D18="",E18=""),"",IF(IFERROR(INDEX(Stats!$D:$D,MATCH($C18,Stats!$A:$A,0)),FALSE),ROUND(D18+(E18-D18)*(1+G18)*((2-1)/(MaxLevel-1))^(2^F18),0),D18+(E18-D18)*(1+G18)*((2-1)/(MaxLevel-1))^(2^F18)))</f>
        <v/>
      </c>
      <c r="J18" s="12" t="str">
        <f>IF(OR(D18="",E18=""),"",IF(IFERROR(INDEX(Stats!$D:$D,MATCH($C18,Stats!$A:$A,0)),FALSE),ROUND(D18+(E18-D18)*(1+G18)*((3-1)/(MaxLevel-1))^(2^F18),0),D18+(E18-D18)*(1+G18)*((3-1)/(MaxLevel-1))^(2^F18)))</f>
        <v/>
      </c>
      <c r="K18" s="12" t="str">
        <f>IF(OR(D18="",E18=""),"",IF(IFERROR(INDEX(Stats!$D:$D,MATCH($C18,Stats!$A:$A,0)),FALSE),ROUND(D18+(E18-D18)*(1+G18)*((4-1)/(MaxLevel-1))^(2^F18),0),D18+(E18-D18)*(1+G18)*((4-1)/(MaxLevel-1))^(2^F18)))</f>
        <v/>
      </c>
      <c r="L18" s="12" t="str">
        <f>IF(OR(D18="",E18=""),"",IF(IFERROR(INDEX(Stats!$D:$D,MATCH($C18,Stats!$A:$A,0)),FALSE),ROUND(D18+(E18-D18)*(1+G18)*((5-1)/(MaxLevel-1))^(2^F18),0),D18+(E18-D18)*(1+G18)*((5-1)/(MaxLevel-1))^(2^F18)))</f>
        <v/>
      </c>
      <c r="M18" s="12" t="str">
        <f>IF(OR(D18="",E18=""),"",IF(IFERROR(INDEX(Stats!$D:$D,MATCH($C18,Stats!$A:$A,0)),FALSE),ROUND(D18+(E18-D18)*(1+G18)*((6-1)/(MaxLevel-1))^(2^F18),0),D18+(E18-D18)*(1+G18)*((6-1)/(MaxLevel-1))^(2^F18)))</f>
        <v/>
      </c>
      <c r="N18" s="12" t="str">
        <f>IF(OR(D18="",E18=""),"",IF(IFERROR(INDEX(Stats!$D:$D,MATCH($C18,Stats!$A:$A,0)),FALSE),ROUND(D18+(E18-D18)*(1+G18)*((7-1)/(MaxLevel-1))^(2^F18),0),D18+(E18-D18)*(1+G18)*((7-1)/(MaxLevel-1))^(2^F18)))</f>
        <v/>
      </c>
      <c r="O18" s="12" t="str">
        <f>IF(OR(D18="",E18=""),"",IF(IFERROR(INDEX(Stats!$D:$D,MATCH($C18,Stats!$A:$A,0)),FALSE),ROUND(D18+(E18-D18)*(1+G18)*((8-1)/(MaxLevel-1))^(2^F18),0),D18+(E18-D18)*(1+G18)*((8-1)/(MaxLevel-1))^(2^F18)))</f>
        <v/>
      </c>
      <c r="P18" s="12" t="str">
        <f>IF(OR(D18="",E18=""),"",IF(IFERROR(INDEX(Stats!$D:$D,MATCH($C18,Stats!$A:$A,0)),FALSE),ROUND(D18+(E18-D18)*(1+G18)*((9-1)/(MaxLevel-1))^(2^F18),0),D18+(E18-D18)*(1+G18)*((9-1)/(MaxLevel-1))^(2^F18)))</f>
        <v/>
      </c>
      <c r="Q18" s="12" t="str">
        <f>IF(OR(D18="",E18=""),"",IF(IFERROR(INDEX(Stats!$D:$D,MATCH($C18,Stats!$A:$A,0)),FALSE),ROUND(D18+(E18-D18)*(1+G18)*((10-1)/(MaxLevel-1))^(2^F18),0),D18+(E18-D18)*(1+G18)*((10-1)/(MaxLevel-1))^(2^F18)))</f>
        <v/>
      </c>
    </row>
    <row r="19" spans="1:17" x14ac:dyDescent="0.25">
      <c r="A19" s="4" t="s">
        <v>185</v>
      </c>
      <c r="B19" s="4" t="s">
        <v>186</v>
      </c>
      <c r="C19" s="4" t="s">
        <v>58</v>
      </c>
      <c r="D19" s="5"/>
      <c r="E19" s="5"/>
      <c r="F19" s="5"/>
      <c r="G19" s="5"/>
      <c r="H19" s="12" t="str">
        <f>IF(OR(D19="",E19=""),"",IF(IFERROR(INDEX(Stats!$D:$D,MATCH($C19,Stats!$A:$A,0)),FALSE),ROUND(D19+(E19-D19)*(1+G19)*((1-1)/(MaxLevel-1))^(2^F19),0),D19+(E19-D19)*(1+G19)*((1-1)/(MaxLevel-1))^(2^F19)))</f>
        <v/>
      </c>
      <c r="I19" s="12" t="str">
        <f>IF(OR(D19="",E19=""),"",IF(IFERROR(INDEX(Stats!$D:$D,MATCH($C19,Stats!$A:$A,0)),FALSE),ROUND(D19+(E19-D19)*(1+G19)*((2-1)/(MaxLevel-1))^(2^F19),0),D19+(E19-D19)*(1+G19)*((2-1)/(MaxLevel-1))^(2^F19)))</f>
        <v/>
      </c>
      <c r="J19" s="12" t="str">
        <f>IF(OR(D19="",E19=""),"",IF(IFERROR(INDEX(Stats!$D:$D,MATCH($C19,Stats!$A:$A,0)),FALSE),ROUND(D19+(E19-D19)*(1+G19)*((3-1)/(MaxLevel-1))^(2^F19),0),D19+(E19-D19)*(1+G19)*((3-1)/(MaxLevel-1))^(2^F19)))</f>
        <v/>
      </c>
      <c r="K19" s="12" t="str">
        <f>IF(OR(D19="",E19=""),"",IF(IFERROR(INDEX(Stats!$D:$D,MATCH($C19,Stats!$A:$A,0)),FALSE),ROUND(D19+(E19-D19)*(1+G19)*((4-1)/(MaxLevel-1))^(2^F19),0),D19+(E19-D19)*(1+G19)*((4-1)/(MaxLevel-1))^(2^F19)))</f>
        <v/>
      </c>
      <c r="L19" s="12" t="str">
        <f>IF(OR(D19="",E19=""),"",IF(IFERROR(INDEX(Stats!$D:$D,MATCH($C19,Stats!$A:$A,0)),FALSE),ROUND(D19+(E19-D19)*(1+G19)*((5-1)/(MaxLevel-1))^(2^F19),0),D19+(E19-D19)*(1+G19)*((5-1)/(MaxLevel-1))^(2^F19)))</f>
        <v/>
      </c>
      <c r="M19" s="12" t="str">
        <f>IF(OR(D19="",E19=""),"",IF(IFERROR(INDEX(Stats!$D:$D,MATCH($C19,Stats!$A:$A,0)),FALSE),ROUND(D19+(E19-D19)*(1+G19)*((6-1)/(MaxLevel-1))^(2^F19),0),D19+(E19-D19)*(1+G19)*((6-1)/(MaxLevel-1))^(2^F19)))</f>
        <v/>
      </c>
      <c r="N19" s="12" t="str">
        <f>IF(OR(D19="",E19=""),"",IF(IFERROR(INDEX(Stats!$D:$D,MATCH($C19,Stats!$A:$A,0)),FALSE),ROUND(D19+(E19-D19)*(1+G19)*((7-1)/(MaxLevel-1))^(2^F19),0),D19+(E19-D19)*(1+G19)*((7-1)/(MaxLevel-1))^(2^F19)))</f>
        <v/>
      </c>
      <c r="O19" s="12" t="str">
        <f>IF(OR(D19="",E19=""),"",IF(IFERROR(INDEX(Stats!$D:$D,MATCH($C19,Stats!$A:$A,0)),FALSE),ROUND(D19+(E19-D19)*(1+G19)*((8-1)/(MaxLevel-1))^(2^F19),0),D19+(E19-D19)*(1+G19)*((8-1)/(MaxLevel-1))^(2^F19)))</f>
        <v/>
      </c>
      <c r="P19" s="12" t="str">
        <f>IF(OR(D19="",E19=""),"",IF(IFERROR(INDEX(Stats!$D:$D,MATCH($C19,Stats!$A:$A,0)),FALSE),ROUND(D19+(E19-D19)*(1+G19)*((9-1)/(MaxLevel-1))^(2^F19),0),D19+(E19-D19)*(1+G19)*((9-1)/(MaxLevel-1))^(2^F19)))</f>
        <v/>
      </c>
      <c r="Q19" s="12" t="str">
        <f>IF(OR(D19="",E19=""),"",IF(IFERROR(INDEX(Stats!$D:$D,MATCH($C19,Stats!$A:$A,0)),FALSE),ROUND(D19+(E19-D19)*(1+G19)*((10-1)/(MaxLevel-1))^(2^F19),0),D19+(E19-D19)*(1+G19)*((10-1)/(MaxLevel-1))^(2^F19)))</f>
        <v/>
      </c>
    </row>
    <row r="20" spans="1:17" x14ac:dyDescent="0.25">
      <c r="A20" s="4" t="s">
        <v>185</v>
      </c>
      <c r="B20" s="4" t="s">
        <v>186</v>
      </c>
      <c r="C20" s="4" t="s">
        <v>60</v>
      </c>
      <c r="D20" s="5">
        <v>0.3</v>
      </c>
      <c r="E20" s="5">
        <v>0.1</v>
      </c>
      <c r="F20" s="5">
        <v>0</v>
      </c>
      <c r="G20" s="5">
        <v>0</v>
      </c>
      <c r="H20" s="12">
        <f>IF(OR(D20="",E20=""),"",IF(IFERROR(INDEX(Stats!$D:$D,MATCH($C20,Stats!$A:$A,0)),FALSE),ROUND(D20+(E20-D20)*(1+G20)*((1-1)/(MaxLevel-1))^(2^F20),0),D20+(E20-D20)*(1+G20)*((1-1)/(MaxLevel-1))^(2^F20)))</f>
        <v>0.3</v>
      </c>
      <c r="I20" s="12">
        <f>IF(OR(D20="",E20=""),"",IF(IFERROR(INDEX(Stats!$D:$D,MATCH($C20,Stats!$A:$A,0)),FALSE),ROUND(D20+(E20-D20)*(1+G20)*((2-1)/(MaxLevel-1))^(2^F20),0),D20+(E20-D20)*(1+G20)*((2-1)/(MaxLevel-1))^(2^F20)))</f>
        <v>0.27777777777777779</v>
      </c>
      <c r="J20" s="12">
        <f>IF(OR(D20="",E20=""),"",IF(IFERROR(INDEX(Stats!$D:$D,MATCH($C20,Stats!$A:$A,0)),FALSE),ROUND(D20+(E20-D20)*(1+G20)*((3-1)/(MaxLevel-1))^(2^F20),0),D20+(E20-D20)*(1+G20)*((3-1)/(MaxLevel-1))^(2^F20)))</f>
        <v>0.25555555555555554</v>
      </c>
      <c r="K20" s="12">
        <f>IF(OR(D20="",E20=""),"",IF(IFERROR(INDEX(Stats!$D:$D,MATCH($C20,Stats!$A:$A,0)),FALSE),ROUND(D20+(E20-D20)*(1+G20)*((4-1)/(MaxLevel-1))^(2^F20),0),D20+(E20-D20)*(1+G20)*((4-1)/(MaxLevel-1))^(2^F20)))</f>
        <v>0.23333333333333334</v>
      </c>
      <c r="L20" s="12">
        <f>IF(OR(D20="",E20=""),"",IF(IFERROR(INDEX(Stats!$D:$D,MATCH($C20,Stats!$A:$A,0)),FALSE),ROUND(D20+(E20-D20)*(1+G20)*((5-1)/(MaxLevel-1))^(2^F20),0),D20+(E20-D20)*(1+G20)*((5-1)/(MaxLevel-1))^(2^F20)))</f>
        <v>0.21111111111111111</v>
      </c>
      <c r="M20" s="12">
        <f>IF(OR(D20="",E20=""),"",IF(IFERROR(INDEX(Stats!$D:$D,MATCH($C20,Stats!$A:$A,0)),FALSE),ROUND(D20+(E20-D20)*(1+G20)*((6-1)/(MaxLevel-1))^(2^F20),0),D20+(E20-D20)*(1+G20)*((6-1)/(MaxLevel-1))^(2^F20)))</f>
        <v>0.18888888888888888</v>
      </c>
      <c r="N20" s="12">
        <f>IF(OR(D20="",E20=""),"",IF(IFERROR(INDEX(Stats!$D:$D,MATCH($C20,Stats!$A:$A,0)),FALSE),ROUND(D20+(E20-D20)*(1+G20)*((7-1)/(MaxLevel-1))^(2^F20),0),D20+(E20-D20)*(1+G20)*((7-1)/(MaxLevel-1))^(2^F20)))</f>
        <v>0.16666666666666669</v>
      </c>
      <c r="O20" s="12">
        <f>IF(OR(D20="",E20=""),"",IF(IFERROR(INDEX(Stats!$D:$D,MATCH($C20,Stats!$A:$A,0)),FALSE),ROUND(D20+(E20-D20)*(1+G20)*((8-1)/(MaxLevel-1))^(2^F20),0),D20+(E20-D20)*(1+G20)*((8-1)/(MaxLevel-1))^(2^F20)))</f>
        <v>0.14444444444444443</v>
      </c>
      <c r="P20" s="12">
        <f>IF(OR(D20="",E20=""),"",IF(IFERROR(INDEX(Stats!$D:$D,MATCH($C20,Stats!$A:$A,0)),FALSE),ROUND(D20+(E20-D20)*(1+G20)*((9-1)/(MaxLevel-1))^(2^F20),0),D20+(E20-D20)*(1+G20)*((9-1)/(MaxLevel-1))^(2^F20)))</f>
        <v>0.12222222222222223</v>
      </c>
      <c r="Q20" s="12">
        <f>IF(OR(D20="",E20=""),"",IF(IFERROR(INDEX(Stats!$D:$D,MATCH($C20,Stats!$A:$A,0)),FALSE),ROUND(D20+(E20-D20)*(1+G20)*((10-1)/(MaxLevel-1))^(2^F20),0),D20+(E20-D20)*(1+G20)*((10-1)/(MaxLevel-1))^(2^F20)))</f>
        <v>0.1</v>
      </c>
    </row>
    <row r="21" spans="1:17" x14ac:dyDescent="0.25">
      <c r="A21" s="4" t="s">
        <v>185</v>
      </c>
      <c r="B21" s="19" t="s">
        <v>218</v>
      </c>
      <c r="C21" s="4" t="s">
        <v>24</v>
      </c>
      <c r="D21" s="5">
        <v>0</v>
      </c>
      <c r="E21" s="5">
        <v>20000</v>
      </c>
      <c r="F21" s="5">
        <v>1</v>
      </c>
      <c r="G21" s="5">
        <v>0</v>
      </c>
      <c r="H21" s="12">
        <f>IF(OR(D21="",E21=""),"",IF(IFERROR(INDEX(Stats!$D:$D,MATCH($C21,Stats!$A:$A,0)),FALSE),ROUND(D21+(E21-D21)*(1+G21)*((1-1)/(MaxLevel-1))^(2^F21),0),D21+(E21-D21)*(1+G21)*((1-1)/(MaxLevel-1))^(2^F21)))</f>
        <v>0</v>
      </c>
      <c r="I21" s="12">
        <f>IF(OR(D21="",E21=""),"",IF(IFERROR(INDEX(Stats!$D:$D,MATCH($C21,Stats!$A:$A,0)),FALSE),ROUND(D21+(E21-D21)*(1+G21)*((2-1)/(MaxLevel-1))^(2^F21),0),D21+(E21-D21)*(1+G21)*((2-1)/(MaxLevel-1))^(2^F21)))</f>
        <v>247</v>
      </c>
      <c r="J21" s="12">
        <f>IF(OR(D21="",E21=""),"",IF(IFERROR(INDEX(Stats!$D:$D,MATCH($C21,Stats!$A:$A,0)),FALSE),ROUND(D21+(E21-D21)*(1+G21)*((3-1)/(MaxLevel-1))^(2^F21),0),D21+(E21-D21)*(1+G21)*((3-1)/(MaxLevel-1))^(2^F21)))</f>
        <v>988</v>
      </c>
      <c r="K21" s="12">
        <f>IF(OR(D21="",E21=""),"",IF(IFERROR(INDEX(Stats!$D:$D,MATCH($C21,Stats!$A:$A,0)),FALSE),ROUND(D21+(E21-D21)*(1+G21)*((4-1)/(MaxLevel-1))^(2^F21),0),D21+(E21-D21)*(1+G21)*((4-1)/(MaxLevel-1))^(2^F21)))</f>
        <v>2222</v>
      </c>
      <c r="L21" s="12">
        <f>IF(OR(D21="",E21=""),"",IF(IFERROR(INDEX(Stats!$D:$D,MATCH($C21,Stats!$A:$A,0)),FALSE),ROUND(D21+(E21-D21)*(1+G21)*((5-1)/(MaxLevel-1))^(2^F21),0),D21+(E21-D21)*(1+G21)*((5-1)/(MaxLevel-1))^(2^F21)))</f>
        <v>3951</v>
      </c>
      <c r="M21" s="12">
        <f>IF(OR(D21="",E21=""),"",IF(IFERROR(INDEX(Stats!$D:$D,MATCH($C21,Stats!$A:$A,0)),FALSE),ROUND(D21+(E21-D21)*(1+G21)*((6-1)/(MaxLevel-1))^(2^F21),0),D21+(E21-D21)*(1+G21)*((6-1)/(MaxLevel-1))^(2^F21)))</f>
        <v>6173</v>
      </c>
      <c r="N21" s="12">
        <f>IF(OR(D21="",E21=""),"",IF(IFERROR(INDEX(Stats!$D:$D,MATCH($C21,Stats!$A:$A,0)),FALSE),ROUND(D21+(E21-D21)*(1+G21)*((7-1)/(MaxLevel-1))^(2^F21),0),D21+(E21-D21)*(1+G21)*((7-1)/(MaxLevel-1))^(2^F21)))</f>
        <v>8889</v>
      </c>
      <c r="O21" s="12">
        <f>IF(OR(D21="",E21=""),"",IF(IFERROR(INDEX(Stats!$D:$D,MATCH($C21,Stats!$A:$A,0)),FALSE),ROUND(D21+(E21-D21)*(1+G21)*((8-1)/(MaxLevel-1))^(2^F21),0),D21+(E21-D21)*(1+G21)*((8-1)/(MaxLevel-1))^(2^F21)))</f>
        <v>12099</v>
      </c>
      <c r="P21" s="12">
        <f>IF(OR(D21="",E21=""),"",IF(IFERROR(INDEX(Stats!$D:$D,MATCH($C21,Stats!$A:$A,0)),FALSE),ROUND(D21+(E21-D21)*(1+G21)*((9-1)/(MaxLevel-1))^(2^F21),0),D21+(E21-D21)*(1+G21)*((9-1)/(MaxLevel-1))^(2^F21)))</f>
        <v>15802</v>
      </c>
      <c r="Q21" s="12">
        <f>IF(OR(D21="",E21=""),"",IF(IFERROR(INDEX(Stats!$D:$D,MATCH($C21,Stats!$A:$A,0)),FALSE),ROUND(D21+(E21-D21)*(1+G21)*((10-1)/(MaxLevel-1))^(2^F21),0),D21+(E21-D21)*(1+G21)*((10-1)/(MaxLevel-1))^(2^F21)))</f>
        <v>20000</v>
      </c>
    </row>
    <row r="22" spans="1:17" x14ac:dyDescent="0.25">
      <c r="A22" s="4" t="s">
        <v>185</v>
      </c>
      <c r="B22" s="19" t="s">
        <v>218</v>
      </c>
      <c r="C22" s="4" t="s">
        <v>26</v>
      </c>
      <c r="D22" s="5">
        <v>50</v>
      </c>
      <c r="E22" s="5">
        <v>300</v>
      </c>
      <c r="F22" s="5">
        <v>0</v>
      </c>
      <c r="G22" s="5">
        <v>0</v>
      </c>
      <c r="H22" s="12">
        <f>IF(OR(D22="",E22=""),"",IF(IFERROR(INDEX(Stats!$D:$D,MATCH($C22,Stats!$A:$A,0)),FALSE),ROUND(D22+(E22-D22)*(1+G22)*((1-1)/(MaxLevel-1))^(2^F22),0),D22+(E22-D22)*(1+G22)*((1-1)/(MaxLevel-1))^(2^F22)))</f>
        <v>50</v>
      </c>
      <c r="I22" s="12">
        <f>IF(OR(D22="",E22=""),"",IF(IFERROR(INDEX(Stats!$D:$D,MATCH($C22,Stats!$A:$A,0)),FALSE),ROUND(D22+(E22-D22)*(1+G22)*((2-1)/(MaxLevel-1))^(2^F22),0),D22+(E22-D22)*(1+G22)*((2-1)/(MaxLevel-1))^(2^F22)))</f>
        <v>78</v>
      </c>
      <c r="J22" s="12">
        <f>IF(OR(D22="",E22=""),"",IF(IFERROR(INDEX(Stats!$D:$D,MATCH($C22,Stats!$A:$A,0)),FALSE),ROUND(D22+(E22-D22)*(1+G22)*((3-1)/(MaxLevel-1))^(2^F22),0),D22+(E22-D22)*(1+G22)*((3-1)/(MaxLevel-1))^(2^F22)))</f>
        <v>106</v>
      </c>
      <c r="K22" s="12">
        <f>IF(OR(D22="",E22=""),"",IF(IFERROR(INDEX(Stats!$D:$D,MATCH($C22,Stats!$A:$A,0)),FALSE),ROUND(D22+(E22-D22)*(1+G22)*((4-1)/(MaxLevel-1))^(2^F22),0),D22+(E22-D22)*(1+G22)*((4-1)/(MaxLevel-1))^(2^F22)))</f>
        <v>133</v>
      </c>
      <c r="L22" s="12">
        <f>IF(OR(D22="",E22=""),"",IF(IFERROR(INDEX(Stats!$D:$D,MATCH($C22,Stats!$A:$A,0)),FALSE),ROUND(D22+(E22-D22)*(1+G22)*((5-1)/(MaxLevel-1))^(2^F22),0),D22+(E22-D22)*(1+G22)*((5-1)/(MaxLevel-1))^(2^F22)))</f>
        <v>161</v>
      </c>
      <c r="M22" s="12">
        <f>IF(OR(D22="",E22=""),"",IF(IFERROR(INDEX(Stats!$D:$D,MATCH($C22,Stats!$A:$A,0)),FALSE),ROUND(D22+(E22-D22)*(1+G22)*((6-1)/(MaxLevel-1))^(2^F22),0),D22+(E22-D22)*(1+G22)*((6-1)/(MaxLevel-1))^(2^F22)))</f>
        <v>189</v>
      </c>
      <c r="N22" s="12">
        <f>IF(OR(D22="",E22=""),"",IF(IFERROR(INDEX(Stats!$D:$D,MATCH($C22,Stats!$A:$A,0)),FALSE),ROUND(D22+(E22-D22)*(1+G22)*((7-1)/(MaxLevel-1))^(2^F22),0),D22+(E22-D22)*(1+G22)*((7-1)/(MaxLevel-1))^(2^F22)))</f>
        <v>217</v>
      </c>
      <c r="O22" s="12">
        <f>IF(OR(D22="",E22=""),"",IF(IFERROR(INDEX(Stats!$D:$D,MATCH($C22,Stats!$A:$A,0)),FALSE),ROUND(D22+(E22-D22)*(1+G22)*((8-1)/(MaxLevel-1))^(2^F22),0),D22+(E22-D22)*(1+G22)*((8-1)/(MaxLevel-1))^(2^F22)))</f>
        <v>244</v>
      </c>
      <c r="P22" s="12">
        <f>IF(OR(D22="",E22=""),"",IF(IFERROR(INDEX(Stats!$D:$D,MATCH($C22,Stats!$A:$A,0)),FALSE),ROUND(D22+(E22-D22)*(1+G22)*((9-1)/(MaxLevel-1))^(2^F22),0),D22+(E22-D22)*(1+G22)*((9-1)/(MaxLevel-1))^(2^F22)))</f>
        <v>272</v>
      </c>
      <c r="Q22" s="12">
        <f>IF(OR(D22="",E22=""),"",IF(IFERROR(INDEX(Stats!$D:$D,MATCH($C22,Stats!$A:$A,0)),FALSE),ROUND(D22+(E22-D22)*(1+G22)*((10-1)/(MaxLevel-1))^(2^F22),0),D22+(E22-D22)*(1+G22)*((10-1)/(MaxLevel-1))^(2^F22)))</f>
        <v>300</v>
      </c>
    </row>
    <row r="23" spans="1:17" x14ac:dyDescent="0.25">
      <c r="A23" s="4" t="s">
        <v>185</v>
      </c>
      <c r="B23" s="19" t="s">
        <v>218</v>
      </c>
      <c r="C23" s="4" t="s">
        <v>28</v>
      </c>
      <c r="D23" s="5">
        <v>400</v>
      </c>
      <c r="E23" s="5">
        <v>1600</v>
      </c>
      <c r="F23" s="5">
        <v>0</v>
      </c>
      <c r="G23" s="5">
        <v>0</v>
      </c>
      <c r="H23" s="12">
        <f>IF(OR(D23="",E23=""),"",IF(IFERROR(INDEX(Stats!$D:$D,MATCH($C23,Stats!$A:$A,0)),FALSE),ROUND(D23+(E23-D23)*(1+G23)*((1-1)/(MaxLevel-1))^(2^F23),0),D23+(E23-D23)*(1+G23)*((1-1)/(MaxLevel-1))^(2^F23)))</f>
        <v>400</v>
      </c>
      <c r="I23" s="12">
        <f>IF(OR(D23="",E23=""),"",IF(IFERROR(INDEX(Stats!$D:$D,MATCH($C23,Stats!$A:$A,0)),FALSE),ROUND(D23+(E23-D23)*(1+G23)*((2-1)/(MaxLevel-1))^(2^F23),0),D23+(E23-D23)*(1+G23)*((2-1)/(MaxLevel-1))^(2^F23)))</f>
        <v>533</v>
      </c>
      <c r="J23" s="12">
        <f>IF(OR(D23="",E23=""),"",IF(IFERROR(INDEX(Stats!$D:$D,MATCH($C23,Stats!$A:$A,0)),FALSE),ROUND(D23+(E23-D23)*(1+G23)*((3-1)/(MaxLevel-1))^(2^F23),0),D23+(E23-D23)*(1+G23)*((3-1)/(MaxLevel-1))^(2^F23)))</f>
        <v>667</v>
      </c>
      <c r="K23" s="12">
        <f>IF(OR(D23="",E23=""),"",IF(IFERROR(INDEX(Stats!$D:$D,MATCH($C23,Stats!$A:$A,0)),FALSE),ROUND(D23+(E23-D23)*(1+G23)*((4-1)/(MaxLevel-1))^(2^F23),0),D23+(E23-D23)*(1+G23)*((4-1)/(MaxLevel-1))^(2^F23)))</f>
        <v>800</v>
      </c>
      <c r="L23" s="12">
        <f>IF(OR(D23="",E23=""),"",IF(IFERROR(INDEX(Stats!$D:$D,MATCH($C23,Stats!$A:$A,0)),FALSE),ROUND(D23+(E23-D23)*(1+G23)*((5-1)/(MaxLevel-1))^(2^F23),0),D23+(E23-D23)*(1+G23)*((5-1)/(MaxLevel-1))^(2^F23)))</f>
        <v>933</v>
      </c>
      <c r="M23" s="12">
        <f>IF(OR(D23="",E23=""),"",IF(IFERROR(INDEX(Stats!$D:$D,MATCH($C23,Stats!$A:$A,0)),FALSE),ROUND(D23+(E23-D23)*(1+G23)*((6-1)/(MaxLevel-1))^(2^F23),0),D23+(E23-D23)*(1+G23)*((6-1)/(MaxLevel-1))^(2^F23)))</f>
        <v>1067</v>
      </c>
      <c r="N23" s="12">
        <f>IF(OR(D23="",E23=""),"",IF(IFERROR(INDEX(Stats!$D:$D,MATCH($C23,Stats!$A:$A,0)),FALSE),ROUND(D23+(E23-D23)*(1+G23)*((7-1)/(MaxLevel-1))^(2^F23),0),D23+(E23-D23)*(1+G23)*((7-1)/(MaxLevel-1))^(2^F23)))</f>
        <v>1200</v>
      </c>
      <c r="O23" s="12">
        <f>IF(OR(D23="",E23=""),"",IF(IFERROR(INDEX(Stats!$D:$D,MATCH($C23,Stats!$A:$A,0)),FALSE),ROUND(D23+(E23-D23)*(1+G23)*((8-1)/(MaxLevel-1))^(2^F23),0),D23+(E23-D23)*(1+G23)*((8-1)/(MaxLevel-1))^(2^F23)))</f>
        <v>1333</v>
      </c>
      <c r="P23" s="12">
        <f>IF(OR(D23="",E23=""),"",IF(IFERROR(INDEX(Stats!$D:$D,MATCH($C23,Stats!$A:$A,0)),FALSE),ROUND(D23+(E23-D23)*(1+G23)*((9-1)/(MaxLevel-1))^(2^F23),0),D23+(E23-D23)*(1+G23)*((9-1)/(MaxLevel-1))^(2^F23)))</f>
        <v>1467</v>
      </c>
      <c r="Q23" s="12">
        <f>IF(OR(D23="",E23=""),"",IF(IFERROR(INDEX(Stats!$D:$D,MATCH($C23,Stats!$A:$A,0)),FALSE),ROUND(D23+(E23-D23)*(1+G23)*((10-1)/(MaxLevel-1))^(2^F23),0),D23+(E23-D23)*(1+G23)*((10-1)/(MaxLevel-1))^(2^F23)))</f>
        <v>1600</v>
      </c>
    </row>
    <row r="24" spans="1:17" x14ac:dyDescent="0.25">
      <c r="A24" s="4" t="s">
        <v>185</v>
      </c>
      <c r="B24" s="19" t="s">
        <v>218</v>
      </c>
      <c r="C24" s="4" t="s">
        <v>30</v>
      </c>
      <c r="D24" s="5">
        <v>30</v>
      </c>
      <c r="E24" s="5">
        <v>120</v>
      </c>
      <c r="F24" s="5">
        <v>0</v>
      </c>
      <c r="G24" s="5">
        <v>0</v>
      </c>
      <c r="H24" s="12">
        <f>IF(OR(D24="",E24=""),"",IF(IFERROR(INDEX(Stats!$D:$D,MATCH($C24,Stats!$A:$A,0)),FALSE),ROUND(D24+(E24-D24)*(1+G24)*((1-1)/(MaxLevel-1))^(2^F24),0),D24+(E24-D24)*(1+G24)*((1-1)/(MaxLevel-1))^(2^F24)))</f>
        <v>30</v>
      </c>
      <c r="I24" s="12">
        <f>IF(OR(D24="",E24=""),"",IF(IFERROR(INDEX(Stats!$D:$D,MATCH($C24,Stats!$A:$A,0)),FALSE),ROUND(D24+(E24-D24)*(1+G24)*((2-1)/(MaxLevel-1))^(2^F24),0),D24+(E24-D24)*(1+G24)*((2-1)/(MaxLevel-1))^(2^F24)))</f>
        <v>40</v>
      </c>
      <c r="J24" s="12">
        <f>IF(OR(D24="",E24=""),"",IF(IFERROR(INDEX(Stats!$D:$D,MATCH($C24,Stats!$A:$A,0)),FALSE),ROUND(D24+(E24-D24)*(1+G24)*((3-1)/(MaxLevel-1))^(2^F24),0),D24+(E24-D24)*(1+G24)*((3-1)/(MaxLevel-1))^(2^F24)))</f>
        <v>50</v>
      </c>
      <c r="K24" s="12">
        <f>IF(OR(D24="",E24=""),"",IF(IFERROR(INDEX(Stats!$D:$D,MATCH($C24,Stats!$A:$A,0)),FALSE),ROUND(D24+(E24-D24)*(1+G24)*((4-1)/(MaxLevel-1))^(2^F24),0),D24+(E24-D24)*(1+G24)*((4-1)/(MaxLevel-1))^(2^F24)))</f>
        <v>60</v>
      </c>
      <c r="L24" s="12">
        <f>IF(OR(D24="",E24=""),"",IF(IFERROR(INDEX(Stats!$D:$D,MATCH($C24,Stats!$A:$A,0)),FALSE),ROUND(D24+(E24-D24)*(1+G24)*((5-1)/(MaxLevel-1))^(2^F24),0),D24+(E24-D24)*(1+G24)*((5-1)/(MaxLevel-1))^(2^F24)))</f>
        <v>70</v>
      </c>
      <c r="M24" s="12">
        <f>IF(OR(D24="",E24=""),"",IF(IFERROR(INDEX(Stats!$D:$D,MATCH($C24,Stats!$A:$A,0)),FALSE),ROUND(D24+(E24-D24)*(1+G24)*((6-1)/(MaxLevel-1))^(2^F24),0),D24+(E24-D24)*(1+G24)*((6-1)/(MaxLevel-1))^(2^F24)))</f>
        <v>80</v>
      </c>
      <c r="N24" s="12">
        <f>IF(OR(D24="",E24=""),"",IF(IFERROR(INDEX(Stats!$D:$D,MATCH($C24,Stats!$A:$A,0)),FALSE),ROUND(D24+(E24-D24)*(1+G24)*((7-1)/(MaxLevel-1))^(2^F24),0),D24+(E24-D24)*(1+G24)*((7-1)/(MaxLevel-1))^(2^F24)))</f>
        <v>90</v>
      </c>
      <c r="O24" s="12">
        <f>IF(OR(D24="",E24=""),"",IF(IFERROR(INDEX(Stats!$D:$D,MATCH($C24,Stats!$A:$A,0)),FALSE),ROUND(D24+(E24-D24)*(1+G24)*((8-1)/(MaxLevel-1))^(2^F24),0),D24+(E24-D24)*(1+G24)*((8-1)/(MaxLevel-1))^(2^F24)))</f>
        <v>100</v>
      </c>
      <c r="P24" s="12">
        <f>IF(OR(D24="",E24=""),"",IF(IFERROR(INDEX(Stats!$D:$D,MATCH($C24,Stats!$A:$A,0)),FALSE),ROUND(D24+(E24-D24)*(1+G24)*((9-1)/(MaxLevel-1))^(2^F24),0),D24+(E24-D24)*(1+G24)*((9-1)/(MaxLevel-1))^(2^F24)))</f>
        <v>110</v>
      </c>
      <c r="Q24" s="12">
        <f>IF(OR(D24="",E24=""),"",IF(IFERROR(INDEX(Stats!$D:$D,MATCH($C24,Stats!$A:$A,0)),FALSE),ROUND(D24+(E24-D24)*(1+G24)*((10-1)/(MaxLevel-1))^(2^F24),0),D24+(E24-D24)*(1+G24)*((10-1)/(MaxLevel-1))^(2^F24)))</f>
        <v>120</v>
      </c>
    </row>
    <row r="25" spans="1:17" x14ac:dyDescent="0.25">
      <c r="A25" s="4" t="s">
        <v>185</v>
      </c>
      <c r="B25" s="19" t="s">
        <v>218</v>
      </c>
      <c r="C25" s="4" t="s">
        <v>32</v>
      </c>
      <c r="D25" s="5">
        <v>0.7</v>
      </c>
      <c r="E25" s="5">
        <v>0.95</v>
      </c>
      <c r="F25" s="5">
        <v>-1</v>
      </c>
      <c r="G25" s="5">
        <v>0</v>
      </c>
      <c r="H25" s="12">
        <f>IF(OR(D25="",E25=""),"",IF(IFERROR(INDEX(Stats!$D:$D,MATCH($C25,Stats!$A:$A,0)),FALSE),ROUND(D25+(E25-D25)*(1+G25)*((1-1)/(MaxLevel-1))^(2^F25),0),D25+(E25-D25)*(1+G25)*((1-1)/(MaxLevel-1))^(2^F25)))</f>
        <v>0.7</v>
      </c>
      <c r="I25" s="12">
        <f>IF(OR(D25="",E25=""),"",IF(IFERROR(INDEX(Stats!$D:$D,MATCH($C25,Stats!$A:$A,0)),FALSE),ROUND(D25+(E25-D25)*(1+G25)*((2-1)/(MaxLevel-1))^(2^F25),0),D25+(E25-D25)*(1+G25)*((2-1)/(MaxLevel-1))^(2^F25)))</f>
        <v>0.78333333333333333</v>
      </c>
      <c r="J25" s="12">
        <f>IF(OR(D25="",E25=""),"",IF(IFERROR(INDEX(Stats!$D:$D,MATCH($C25,Stats!$A:$A,0)),FALSE),ROUND(D25+(E25-D25)*(1+G25)*((3-1)/(MaxLevel-1))^(2^F25),0),D25+(E25-D25)*(1+G25)*((3-1)/(MaxLevel-1))^(2^F25)))</f>
        <v>0.8178511301977579</v>
      </c>
      <c r="K25" s="12">
        <f>IF(OR(D25="",E25=""),"",IF(IFERROR(INDEX(Stats!$D:$D,MATCH($C25,Stats!$A:$A,0)),FALSE),ROUND(D25+(E25-D25)*(1+G25)*((4-1)/(MaxLevel-1))^(2^F25),0),D25+(E25-D25)*(1+G25)*((4-1)/(MaxLevel-1))^(2^F25)))</f>
        <v>0.84433756729740639</v>
      </c>
      <c r="L25" s="12">
        <f>IF(OR(D25="",E25=""),"",IF(IFERROR(INDEX(Stats!$D:$D,MATCH($C25,Stats!$A:$A,0)),FALSE),ROUND(D25+(E25-D25)*(1+G25)*((5-1)/(MaxLevel-1))^(2^F25),0),D25+(E25-D25)*(1+G25)*((5-1)/(MaxLevel-1))^(2^F25)))</f>
        <v>0.86666666666666659</v>
      </c>
      <c r="M25" s="12">
        <f>IF(OR(D25="",E25=""),"",IF(IFERROR(INDEX(Stats!$D:$D,MATCH($C25,Stats!$A:$A,0)),FALSE),ROUND(D25+(E25-D25)*(1+G25)*((6-1)/(MaxLevel-1))^(2^F25),0),D25+(E25-D25)*(1+G25)*((6-1)/(MaxLevel-1))^(2^F25)))</f>
        <v>0.8863389981249824</v>
      </c>
      <c r="N25" s="12">
        <f>IF(OR(D25="",E25=""),"",IF(IFERROR(INDEX(Stats!$D:$D,MATCH($C25,Stats!$A:$A,0)),FALSE),ROUND(D25+(E25-D25)*(1+G25)*((7-1)/(MaxLevel-1))^(2^F25),0),D25+(E25-D25)*(1+G25)*((7-1)/(MaxLevel-1))^(2^F25)))</f>
        <v>0.90412414523193152</v>
      </c>
      <c r="O25" s="12">
        <f>IF(OR(D25="",E25=""),"",IF(IFERROR(INDEX(Stats!$D:$D,MATCH($C25,Stats!$A:$A,0)),FALSE),ROUND(D25+(E25-D25)*(1+G25)*((8-1)/(MaxLevel-1))^(2^F25),0),D25+(E25-D25)*(1+G25)*((8-1)/(MaxLevel-1))^(2^F25)))</f>
        <v>0.92047927592204914</v>
      </c>
      <c r="P25" s="12">
        <f>IF(OR(D25="",E25=""),"",IF(IFERROR(INDEX(Stats!$D:$D,MATCH($C25,Stats!$A:$A,0)),FALSE),ROUND(D25+(E25-D25)*(1+G25)*((9-1)/(MaxLevel-1))^(2^F25),0),D25+(E25-D25)*(1+G25)*((9-1)/(MaxLevel-1))^(2^F25)))</f>
        <v>0.93570226039551585</v>
      </c>
      <c r="Q25" s="12">
        <f>IF(OR(D25="",E25=""),"",IF(IFERROR(INDEX(Stats!$D:$D,MATCH($C25,Stats!$A:$A,0)),FALSE),ROUND(D25+(E25-D25)*(1+G25)*((10-1)/(MaxLevel-1))^(2^F25),0),D25+(E25-D25)*(1+G25)*((10-1)/(MaxLevel-1))^(2^F25)))</f>
        <v>0.95</v>
      </c>
    </row>
    <row r="26" spans="1:17" x14ac:dyDescent="0.25">
      <c r="A26" s="4" t="s">
        <v>185</v>
      </c>
      <c r="B26" s="19" t="s">
        <v>218</v>
      </c>
      <c r="C26" s="4" t="s">
        <v>34</v>
      </c>
      <c r="D26" s="5">
        <v>0.1</v>
      </c>
      <c r="E26" s="5">
        <v>0.3</v>
      </c>
      <c r="F26" s="5">
        <v>0</v>
      </c>
      <c r="G26" s="5">
        <v>0</v>
      </c>
      <c r="H26" s="12">
        <f>IF(OR(D26="",E26=""),"",IF(IFERROR(INDEX(Stats!$D:$D,MATCH($C26,Stats!$A:$A,0)),FALSE),ROUND(D26+(E26-D26)*(1+G26)*((1-1)/(MaxLevel-1))^(2^F26),0),D26+(E26-D26)*(1+G26)*((1-1)/(MaxLevel-1))^(2^F26)))</f>
        <v>0.1</v>
      </c>
      <c r="I26" s="12">
        <f>IF(OR(D26="",E26=""),"",IF(IFERROR(INDEX(Stats!$D:$D,MATCH($C26,Stats!$A:$A,0)),FALSE),ROUND(D26+(E26-D26)*(1+G26)*((2-1)/(MaxLevel-1))^(2^F26),0),D26+(E26-D26)*(1+G26)*((2-1)/(MaxLevel-1))^(2^F26)))</f>
        <v>0.12222222222222223</v>
      </c>
      <c r="J26" s="12">
        <f>IF(OR(D26="",E26=""),"",IF(IFERROR(INDEX(Stats!$D:$D,MATCH($C26,Stats!$A:$A,0)),FALSE),ROUND(D26+(E26-D26)*(1+G26)*((3-1)/(MaxLevel-1))^(2^F26),0),D26+(E26-D26)*(1+G26)*((3-1)/(MaxLevel-1))^(2^F26)))</f>
        <v>0.14444444444444443</v>
      </c>
      <c r="K26" s="12">
        <f>IF(OR(D26="",E26=""),"",IF(IFERROR(INDEX(Stats!$D:$D,MATCH($C26,Stats!$A:$A,0)),FALSE),ROUND(D26+(E26-D26)*(1+G26)*((4-1)/(MaxLevel-1))^(2^F26),0),D26+(E26-D26)*(1+G26)*((4-1)/(MaxLevel-1))^(2^F26)))</f>
        <v>0.16666666666666666</v>
      </c>
      <c r="L26" s="12">
        <f>IF(OR(D26="",E26=""),"",IF(IFERROR(INDEX(Stats!$D:$D,MATCH($C26,Stats!$A:$A,0)),FALSE),ROUND(D26+(E26-D26)*(1+G26)*((5-1)/(MaxLevel-1))^(2^F26),0),D26+(E26-D26)*(1+G26)*((5-1)/(MaxLevel-1))^(2^F26)))</f>
        <v>0.18888888888888888</v>
      </c>
      <c r="M26" s="12">
        <f>IF(OR(D26="",E26=""),"",IF(IFERROR(INDEX(Stats!$D:$D,MATCH($C26,Stats!$A:$A,0)),FALSE),ROUND(D26+(E26-D26)*(1+G26)*((6-1)/(MaxLevel-1))^(2^F26),0),D26+(E26-D26)*(1+G26)*((6-1)/(MaxLevel-1))^(2^F26)))</f>
        <v>0.21111111111111111</v>
      </c>
      <c r="N26" s="12">
        <f>IF(OR(D26="",E26=""),"",IF(IFERROR(INDEX(Stats!$D:$D,MATCH($C26,Stats!$A:$A,0)),FALSE),ROUND(D26+(E26-D26)*(1+G26)*((7-1)/(MaxLevel-1))^(2^F26),0),D26+(E26-D26)*(1+G26)*((7-1)/(MaxLevel-1))^(2^F26)))</f>
        <v>0.23333333333333331</v>
      </c>
      <c r="O26" s="12">
        <f>IF(OR(D26="",E26=""),"",IF(IFERROR(INDEX(Stats!$D:$D,MATCH($C26,Stats!$A:$A,0)),FALSE),ROUND(D26+(E26-D26)*(1+G26)*((8-1)/(MaxLevel-1))^(2^F26),0),D26+(E26-D26)*(1+G26)*((8-1)/(MaxLevel-1))^(2^F26)))</f>
        <v>0.25555555555555554</v>
      </c>
      <c r="P26" s="12">
        <f>IF(OR(D26="",E26=""),"",IF(IFERROR(INDEX(Stats!$D:$D,MATCH($C26,Stats!$A:$A,0)),FALSE),ROUND(D26+(E26-D26)*(1+G26)*((9-1)/(MaxLevel-1))^(2^F26),0),D26+(E26-D26)*(1+G26)*((9-1)/(MaxLevel-1))^(2^F26)))</f>
        <v>0.27777777777777779</v>
      </c>
      <c r="Q26" s="12">
        <f>IF(OR(D26="",E26=""),"",IF(IFERROR(INDEX(Stats!$D:$D,MATCH($C26,Stats!$A:$A,0)),FALSE),ROUND(D26+(E26-D26)*(1+G26)*((10-1)/(MaxLevel-1))^(2^F26),0),D26+(E26-D26)*(1+G26)*((10-1)/(MaxLevel-1))^(2^F26)))</f>
        <v>0.3</v>
      </c>
    </row>
    <row r="27" spans="1:17" x14ac:dyDescent="0.25">
      <c r="A27" s="4" t="s">
        <v>185</v>
      </c>
      <c r="B27" s="19" t="s">
        <v>218</v>
      </c>
      <c r="C27" s="4" t="s">
        <v>36</v>
      </c>
      <c r="D27" s="5"/>
      <c r="E27" s="5"/>
      <c r="F27" s="5"/>
      <c r="G27" s="5"/>
      <c r="H27" s="12" t="str">
        <f>IF(OR(D27="",E27=""),"",IF(IFERROR(INDEX(Stats!$D:$D,MATCH($C27,Stats!$A:$A,0)),FALSE),ROUND(D27+(E27-D27)*(1+G27)*((1-1)/(MaxLevel-1))^(2^F27),0),D27+(E27-D27)*(1+G27)*((1-1)/(MaxLevel-1))^(2^F27)))</f>
        <v/>
      </c>
      <c r="I27" s="12" t="str">
        <f>IF(OR(D27="",E27=""),"",IF(IFERROR(INDEX(Stats!$D:$D,MATCH($C27,Stats!$A:$A,0)),FALSE),ROUND(D27+(E27-D27)*(1+G27)*((2-1)/(MaxLevel-1))^(2^F27),0),D27+(E27-D27)*(1+G27)*((2-1)/(MaxLevel-1))^(2^F27)))</f>
        <v/>
      </c>
      <c r="J27" s="12" t="str">
        <f>IF(OR(D27="",E27=""),"",IF(IFERROR(INDEX(Stats!$D:$D,MATCH($C27,Stats!$A:$A,0)),FALSE),ROUND(D27+(E27-D27)*(1+G27)*((3-1)/(MaxLevel-1))^(2^F27),0),D27+(E27-D27)*(1+G27)*((3-1)/(MaxLevel-1))^(2^F27)))</f>
        <v/>
      </c>
      <c r="K27" s="12" t="str">
        <f>IF(OR(D27="",E27=""),"",IF(IFERROR(INDEX(Stats!$D:$D,MATCH($C27,Stats!$A:$A,0)),FALSE),ROUND(D27+(E27-D27)*(1+G27)*((4-1)/(MaxLevel-1))^(2^F27),0),D27+(E27-D27)*(1+G27)*((4-1)/(MaxLevel-1))^(2^F27)))</f>
        <v/>
      </c>
      <c r="L27" s="12" t="str">
        <f>IF(OR(D27="",E27=""),"",IF(IFERROR(INDEX(Stats!$D:$D,MATCH($C27,Stats!$A:$A,0)),FALSE),ROUND(D27+(E27-D27)*(1+G27)*((5-1)/(MaxLevel-1))^(2^F27),0),D27+(E27-D27)*(1+G27)*((5-1)/(MaxLevel-1))^(2^F27)))</f>
        <v/>
      </c>
      <c r="M27" s="12" t="str">
        <f>IF(OR(D27="",E27=""),"",IF(IFERROR(INDEX(Stats!$D:$D,MATCH($C27,Stats!$A:$A,0)),FALSE),ROUND(D27+(E27-D27)*(1+G27)*((6-1)/(MaxLevel-1))^(2^F27),0),D27+(E27-D27)*(1+G27)*((6-1)/(MaxLevel-1))^(2^F27)))</f>
        <v/>
      </c>
      <c r="N27" s="12" t="str">
        <f>IF(OR(D27="",E27=""),"",IF(IFERROR(INDEX(Stats!$D:$D,MATCH($C27,Stats!$A:$A,0)),FALSE),ROUND(D27+(E27-D27)*(1+G27)*((7-1)/(MaxLevel-1))^(2^F27),0),D27+(E27-D27)*(1+G27)*((7-1)/(MaxLevel-1))^(2^F27)))</f>
        <v/>
      </c>
      <c r="O27" s="12" t="str">
        <f>IF(OR(D27="",E27=""),"",IF(IFERROR(INDEX(Stats!$D:$D,MATCH($C27,Stats!$A:$A,0)),FALSE),ROUND(D27+(E27-D27)*(1+G27)*((8-1)/(MaxLevel-1))^(2^F27),0),D27+(E27-D27)*(1+G27)*((8-1)/(MaxLevel-1))^(2^F27)))</f>
        <v/>
      </c>
      <c r="P27" s="12" t="str">
        <f>IF(OR(D27="",E27=""),"",IF(IFERROR(INDEX(Stats!$D:$D,MATCH($C27,Stats!$A:$A,0)),FALSE),ROUND(D27+(E27-D27)*(1+G27)*((9-1)/(MaxLevel-1))^(2^F27),0),D27+(E27-D27)*(1+G27)*((9-1)/(MaxLevel-1))^(2^F27)))</f>
        <v/>
      </c>
      <c r="Q27" s="12" t="str">
        <f>IF(OR(D27="",E27=""),"",IF(IFERROR(INDEX(Stats!$D:$D,MATCH($C27,Stats!$A:$A,0)),FALSE),ROUND(D27+(E27-D27)*(1+G27)*((10-1)/(MaxLevel-1))^(2^F27),0),D27+(E27-D27)*(1+G27)*((10-1)/(MaxLevel-1))^(2^F27)))</f>
        <v/>
      </c>
    </row>
    <row r="28" spans="1:17" x14ac:dyDescent="0.25">
      <c r="A28" s="4" t="s">
        <v>185</v>
      </c>
      <c r="B28" s="19" t="s">
        <v>218</v>
      </c>
      <c r="C28" s="4" t="s">
        <v>38</v>
      </c>
      <c r="D28" s="5"/>
      <c r="E28" s="5"/>
      <c r="F28" s="5"/>
      <c r="G28" s="5"/>
      <c r="H28" s="12" t="str">
        <f>IF(OR(D28="",E28=""),"",IF(IFERROR(INDEX(Stats!$D:$D,MATCH($C28,Stats!$A:$A,0)),FALSE),ROUND(D28+(E28-D28)*(1+G28)*((1-1)/(MaxLevel-1))^(2^F28),0),D28+(E28-D28)*(1+G28)*((1-1)/(MaxLevel-1))^(2^F28)))</f>
        <v/>
      </c>
      <c r="I28" s="12" t="str">
        <f>IF(OR(D28="",E28=""),"",IF(IFERROR(INDEX(Stats!$D:$D,MATCH($C28,Stats!$A:$A,0)),FALSE),ROUND(D28+(E28-D28)*(1+G28)*((2-1)/(MaxLevel-1))^(2^F28),0),D28+(E28-D28)*(1+G28)*((2-1)/(MaxLevel-1))^(2^F28)))</f>
        <v/>
      </c>
      <c r="J28" s="12" t="str">
        <f>IF(OR(D28="",E28=""),"",IF(IFERROR(INDEX(Stats!$D:$D,MATCH($C28,Stats!$A:$A,0)),FALSE),ROUND(D28+(E28-D28)*(1+G28)*((3-1)/(MaxLevel-1))^(2^F28),0),D28+(E28-D28)*(1+G28)*((3-1)/(MaxLevel-1))^(2^F28)))</f>
        <v/>
      </c>
      <c r="K28" s="12" t="str">
        <f>IF(OR(D28="",E28=""),"",IF(IFERROR(INDEX(Stats!$D:$D,MATCH($C28,Stats!$A:$A,0)),FALSE),ROUND(D28+(E28-D28)*(1+G28)*((4-1)/(MaxLevel-1))^(2^F28),0),D28+(E28-D28)*(1+G28)*((4-1)/(MaxLevel-1))^(2^F28)))</f>
        <v/>
      </c>
      <c r="L28" s="12" t="str">
        <f>IF(OR(D28="",E28=""),"",IF(IFERROR(INDEX(Stats!$D:$D,MATCH($C28,Stats!$A:$A,0)),FALSE),ROUND(D28+(E28-D28)*(1+G28)*((5-1)/(MaxLevel-1))^(2^F28),0),D28+(E28-D28)*(1+G28)*((5-1)/(MaxLevel-1))^(2^F28)))</f>
        <v/>
      </c>
      <c r="M28" s="12" t="str">
        <f>IF(OR(D28="",E28=""),"",IF(IFERROR(INDEX(Stats!$D:$D,MATCH($C28,Stats!$A:$A,0)),FALSE),ROUND(D28+(E28-D28)*(1+G28)*((6-1)/(MaxLevel-1))^(2^F28),0),D28+(E28-D28)*(1+G28)*((6-1)/(MaxLevel-1))^(2^F28)))</f>
        <v/>
      </c>
      <c r="N28" s="12" t="str">
        <f>IF(OR(D28="",E28=""),"",IF(IFERROR(INDEX(Stats!$D:$D,MATCH($C28,Stats!$A:$A,0)),FALSE),ROUND(D28+(E28-D28)*(1+G28)*((7-1)/(MaxLevel-1))^(2^F28),0),D28+(E28-D28)*(1+G28)*((7-1)/(MaxLevel-1))^(2^F28)))</f>
        <v/>
      </c>
      <c r="O28" s="12" t="str">
        <f>IF(OR(D28="",E28=""),"",IF(IFERROR(INDEX(Stats!$D:$D,MATCH($C28,Stats!$A:$A,0)),FALSE),ROUND(D28+(E28-D28)*(1+G28)*((8-1)/(MaxLevel-1))^(2^F28),0),D28+(E28-D28)*(1+G28)*((8-1)/(MaxLevel-1))^(2^F28)))</f>
        <v/>
      </c>
      <c r="P28" s="12" t="str">
        <f>IF(OR(D28="",E28=""),"",IF(IFERROR(INDEX(Stats!$D:$D,MATCH($C28,Stats!$A:$A,0)),FALSE),ROUND(D28+(E28-D28)*(1+G28)*((9-1)/(MaxLevel-1))^(2^F28),0),D28+(E28-D28)*(1+G28)*((9-1)/(MaxLevel-1))^(2^F28)))</f>
        <v/>
      </c>
      <c r="Q28" s="12" t="str">
        <f>IF(OR(D28="",E28=""),"",IF(IFERROR(INDEX(Stats!$D:$D,MATCH($C28,Stats!$A:$A,0)),FALSE),ROUND(D28+(E28-D28)*(1+G28)*((10-1)/(MaxLevel-1))^(2^F28),0),D28+(E28-D28)*(1+G28)*((10-1)/(MaxLevel-1))^(2^F28)))</f>
        <v/>
      </c>
    </row>
    <row r="29" spans="1:17" x14ac:dyDescent="0.25">
      <c r="A29" s="4" t="s">
        <v>185</v>
      </c>
      <c r="B29" s="19" t="s">
        <v>218</v>
      </c>
      <c r="C29" s="4" t="s">
        <v>40</v>
      </c>
      <c r="D29" s="5"/>
      <c r="E29" s="5"/>
      <c r="F29" s="5"/>
      <c r="G29" s="5"/>
      <c r="H29" s="12" t="str">
        <f>IF(OR(D29="",E29=""),"",IF(IFERROR(INDEX(Stats!$D:$D,MATCH($C29,Stats!$A:$A,0)),FALSE),ROUND(D29+(E29-D29)*(1+G29)*((1-1)/(MaxLevel-1))^(2^F29),0),D29+(E29-D29)*(1+G29)*((1-1)/(MaxLevel-1))^(2^F29)))</f>
        <v/>
      </c>
      <c r="I29" s="12" t="str">
        <f>IF(OR(D29="",E29=""),"",IF(IFERROR(INDEX(Stats!$D:$D,MATCH($C29,Stats!$A:$A,0)),FALSE),ROUND(D29+(E29-D29)*(1+G29)*((2-1)/(MaxLevel-1))^(2^F29),0),D29+(E29-D29)*(1+G29)*((2-1)/(MaxLevel-1))^(2^F29)))</f>
        <v/>
      </c>
      <c r="J29" s="12" t="str">
        <f>IF(OR(D29="",E29=""),"",IF(IFERROR(INDEX(Stats!$D:$D,MATCH($C29,Stats!$A:$A,0)),FALSE),ROUND(D29+(E29-D29)*(1+G29)*((3-1)/(MaxLevel-1))^(2^F29),0),D29+(E29-D29)*(1+G29)*((3-1)/(MaxLevel-1))^(2^F29)))</f>
        <v/>
      </c>
      <c r="K29" s="12" t="str">
        <f>IF(OR(D29="",E29=""),"",IF(IFERROR(INDEX(Stats!$D:$D,MATCH($C29,Stats!$A:$A,0)),FALSE),ROUND(D29+(E29-D29)*(1+G29)*((4-1)/(MaxLevel-1))^(2^F29),0),D29+(E29-D29)*(1+G29)*((4-1)/(MaxLevel-1))^(2^F29)))</f>
        <v/>
      </c>
      <c r="L29" s="12" t="str">
        <f>IF(OR(D29="",E29=""),"",IF(IFERROR(INDEX(Stats!$D:$D,MATCH($C29,Stats!$A:$A,0)),FALSE),ROUND(D29+(E29-D29)*(1+G29)*((5-1)/(MaxLevel-1))^(2^F29),0),D29+(E29-D29)*(1+G29)*((5-1)/(MaxLevel-1))^(2^F29)))</f>
        <v/>
      </c>
      <c r="M29" s="12" t="str">
        <f>IF(OR(D29="",E29=""),"",IF(IFERROR(INDEX(Stats!$D:$D,MATCH($C29,Stats!$A:$A,0)),FALSE),ROUND(D29+(E29-D29)*(1+G29)*((6-1)/(MaxLevel-1))^(2^F29),0),D29+(E29-D29)*(1+G29)*((6-1)/(MaxLevel-1))^(2^F29)))</f>
        <v/>
      </c>
      <c r="N29" s="12" t="str">
        <f>IF(OR(D29="",E29=""),"",IF(IFERROR(INDEX(Stats!$D:$D,MATCH($C29,Stats!$A:$A,0)),FALSE),ROUND(D29+(E29-D29)*(1+G29)*((7-1)/(MaxLevel-1))^(2^F29),0),D29+(E29-D29)*(1+G29)*((7-1)/(MaxLevel-1))^(2^F29)))</f>
        <v/>
      </c>
      <c r="O29" s="12" t="str">
        <f>IF(OR(D29="",E29=""),"",IF(IFERROR(INDEX(Stats!$D:$D,MATCH($C29,Stats!$A:$A,0)),FALSE),ROUND(D29+(E29-D29)*(1+G29)*((8-1)/(MaxLevel-1))^(2^F29),0),D29+(E29-D29)*(1+G29)*((8-1)/(MaxLevel-1))^(2^F29)))</f>
        <v/>
      </c>
      <c r="P29" s="12" t="str">
        <f>IF(OR(D29="",E29=""),"",IF(IFERROR(INDEX(Stats!$D:$D,MATCH($C29,Stats!$A:$A,0)),FALSE),ROUND(D29+(E29-D29)*(1+G29)*((9-1)/(MaxLevel-1))^(2^F29),0),D29+(E29-D29)*(1+G29)*((9-1)/(MaxLevel-1))^(2^F29)))</f>
        <v/>
      </c>
      <c r="Q29" s="12" t="str">
        <f>IF(OR(D29="",E29=""),"",IF(IFERROR(INDEX(Stats!$D:$D,MATCH($C29,Stats!$A:$A,0)),FALSE),ROUND(D29+(E29-D29)*(1+G29)*((10-1)/(MaxLevel-1))^(2^F29),0),D29+(E29-D29)*(1+G29)*((10-1)/(MaxLevel-1))^(2^F29)))</f>
        <v/>
      </c>
    </row>
    <row r="30" spans="1:17" x14ac:dyDescent="0.25">
      <c r="A30" s="4" t="s">
        <v>185</v>
      </c>
      <c r="B30" s="19" t="s">
        <v>218</v>
      </c>
      <c r="C30" s="4" t="s">
        <v>42</v>
      </c>
      <c r="D30" s="5"/>
      <c r="E30" s="5"/>
      <c r="F30" s="5"/>
      <c r="G30" s="5"/>
      <c r="H30" s="12" t="str">
        <f>IF(OR(D30="",E30=""),"",IF(IFERROR(INDEX(Stats!$D:$D,MATCH($C30,Stats!$A:$A,0)),FALSE),ROUND(D30+(E30-D30)*(1+G30)*((1-1)/(MaxLevel-1))^(2^F30),0),D30+(E30-D30)*(1+G30)*((1-1)/(MaxLevel-1))^(2^F30)))</f>
        <v/>
      </c>
      <c r="I30" s="12" t="str">
        <f>IF(OR(D30="",E30=""),"",IF(IFERROR(INDEX(Stats!$D:$D,MATCH($C30,Stats!$A:$A,0)),FALSE),ROUND(D30+(E30-D30)*(1+G30)*((2-1)/(MaxLevel-1))^(2^F30),0),D30+(E30-D30)*(1+G30)*((2-1)/(MaxLevel-1))^(2^F30)))</f>
        <v/>
      </c>
      <c r="J30" s="12" t="str">
        <f>IF(OR(D30="",E30=""),"",IF(IFERROR(INDEX(Stats!$D:$D,MATCH($C30,Stats!$A:$A,0)),FALSE),ROUND(D30+(E30-D30)*(1+G30)*((3-1)/(MaxLevel-1))^(2^F30),0),D30+(E30-D30)*(1+G30)*((3-1)/(MaxLevel-1))^(2^F30)))</f>
        <v/>
      </c>
      <c r="K30" s="12" t="str">
        <f>IF(OR(D30="",E30=""),"",IF(IFERROR(INDEX(Stats!$D:$D,MATCH($C30,Stats!$A:$A,0)),FALSE),ROUND(D30+(E30-D30)*(1+G30)*((4-1)/(MaxLevel-1))^(2^F30),0),D30+(E30-D30)*(1+G30)*((4-1)/(MaxLevel-1))^(2^F30)))</f>
        <v/>
      </c>
      <c r="L30" s="12" t="str">
        <f>IF(OR(D30="",E30=""),"",IF(IFERROR(INDEX(Stats!$D:$D,MATCH($C30,Stats!$A:$A,0)),FALSE),ROUND(D30+(E30-D30)*(1+G30)*((5-1)/(MaxLevel-1))^(2^F30),0),D30+(E30-D30)*(1+G30)*((5-1)/(MaxLevel-1))^(2^F30)))</f>
        <v/>
      </c>
      <c r="M30" s="12" t="str">
        <f>IF(OR(D30="",E30=""),"",IF(IFERROR(INDEX(Stats!$D:$D,MATCH($C30,Stats!$A:$A,0)),FALSE),ROUND(D30+(E30-D30)*(1+G30)*((6-1)/(MaxLevel-1))^(2^F30),0),D30+(E30-D30)*(1+G30)*((6-1)/(MaxLevel-1))^(2^F30)))</f>
        <v/>
      </c>
      <c r="N30" s="12" t="str">
        <f>IF(OR(D30="",E30=""),"",IF(IFERROR(INDEX(Stats!$D:$D,MATCH($C30,Stats!$A:$A,0)),FALSE),ROUND(D30+(E30-D30)*(1+G30)*((7-1)/(MaxLevel-1))^(2^F30),0),D30+(E30-D30)*(1+G30)*((7-1)/(MaxLevel-1))^(2^F30)))</f>
        <v/>
      </c>
      <c r="O30" s="12" t="str">
        <f>IF(OR(D30="",E30=""),"",IF(IFERROR(INDEX(Stats!$D:$D,MATCH($C30,Stats!$A:$A,0)),FALSE),ROUND(D30+(E30-D30)*(1+G30)*((8-1)/(MaxLevel-1))^(2^F30),0),D30+(E30-D30)*(1+G30)*((8-1)/(MaxLevel-1))^(2^F30)))</f>
        <v/>
      </c>
      <c r="P30" s="12" t="str">
        <f>IF(OR(D30="",E30=""),"",IF(IFERROR(INDEX(Stats!$D:$D,MATCH($C30,Stats!$A:$A,0)),FALSE),ROUND(D30+(E30-D30)*(1+G30)*((9-1)/(MaxLevel-1))^(2^F30),0),D30+(E30-D30)*(1+G30)*((9-1)/(MaxLevel-1))^(2^F30)))</f>
        <v/>
      </c>
      <c r="Q30" s="12" t="str">
        <f>IF(OR(D30="",E30=""),"",IF(IFERROR(INDEX(Stats!$D:$D,MATCH($C30,Stats!$A:$A,0)),FALSE),ROUND(D30+(E30-D30)*(1+G30)*((10-1)/(MaxLevel-1))^(2^F30),0),D30+(E30-D30)*(1+G30)*((10-1)/(MaxLevel-1))^(2^F30)))</f>
        <v/>
      </c>
    </row>
    <row r="31" spans="1:17" x14ac:dyDescent="0.25">
      <c r="A31" s="4" t="s">
        <v>185</v>
      </c>
      <c r="B31" s="19" t="s">
        <v>218</v>
      </c>
      <c r="C31" s="4" t="s">
        <v>44</v>
      </c>
      <c r="D31" s="5"/>
      <c r="E31" s="5"/>
      <c r="F31" s="5"/>
      <c r="G31" s="5"/>
      <c r="H31" s="12" t="str">
        <f>IF(OR(D31="",E31=""),"",IF(IFERROR(INDEX(Stats!$D:$D,MATCH($C31,Stats!$A:$A,0)),FALSE),ROUND(D31+(E31-D31)*(1+G31)*((1-1)/(MaxLevel-1))^(2^F31),0),D31+(E31-D31)*(1+G31)*((1-1)/(MaxLevel-1))^(2^F31)))</f>
        <v/>
      </c>
      <c r="I31" s="12" t="str">
        <f>IF(OR(D31="",E31=""),"",IF(IFERROR(INDEX(Stats!$D:$D,MATCH($C31,Stats!$A:$A,0)),FALSE),ROUND(D31+(E31-D31)*(1+G31)*((2-1)/(MaxLevel-1))^(2^F31),0),D31+(E31-D31)*(1+G31)*((2-1)/(MaxLevel-1))^(2^F31)))</f>
        <v/>
      </c>
      <c r="J31" s="12" t="str">
        <f>IF(OR(D31="",E31=""),"",IF(IFERROR(INDEX(Stats!$D:$D,MATCH($C31,Stats!$A:$A,0)),FALSE),ROUND(D31+(E31-D31)*(1+G31)*((3-1)/(MaxLevel-1))^(2^F31),0),D31+(E31-D31)*(1+G31)*((3-1)/(MaxLevel-1))^(2^F31)))</f>
        <v/>
      </c>
      <c r="K31" s="12" t="str">
        <f>IF(OR(D31="",E31=""),"",IF(IFERROR(INDEX(Stats!$D:$D,MATCH($C31,Stats!$A:$A,0)),FALSE),ROUND(D31+(E31-D31)*(1+G31)*((4-1)/(MaxLevel-1))^(2^F31),0),D31+(E31-D31)*(1+G31)*((4-1)/(MaxLevel-1))^(2^F31)))</f>
        <v/>
      </c>
      <c r="L31" s="12" t="str">
        <f>IF(OR(D31="",E31=""),"",IF(IFERROR(INDEX(Stats!$D:$D,MATCH($C31,Stats!$A:$A,0)),FALSE),ROUND(D31+(E31-D31)*(1+G31)*((5-1)/(MaxLevel-1))^(2^F31),0),D31+(E31-D31)*(1+G31)*((5-1)/(MaxLevel-1))^(2^F31)))</f>
        <v/>
      </c>
      <c r="M31" s="12" t="str">
        <f>IF(OR(D31="",E31=""),"",IF(IFERROR(INDEX(Stats!$D:$D,MATCH($C31,Stats!$A:$A,0)),FALSE),ROUND(D31+(E31-D31)*(1+G31)*((6-1)/(MaxLevel-1))^(2^F31),0),D31+(E31-D31)*(1+G31)*((6-1)/(MaxLevel-1))^(2^F31)))</f>
        <v/>
      </c>
      <c r="N31" s="12" t="str">
        <f>IF(OR(D31="",E31=""),"",IF(IFERROR(INDEX(Stats!$D:$D,MATCH($C31,Stats!$A:$A,0)),FALSE),ROUND(D31+(E31-D31)*(1+G31)*((7-1)/(MaxLevel-1))^(2^F31),0),D31+(E31-D31)*(1+G31)*((7-1)/(MaxLevel-1))^(2^F31)))</f>
        <v/>
      </c>
      <c r="O31" s="12" t="str">
        <f>IF(OR(D31="",E31=""),"",IF(IFERROR(INDEX(Stats!$D:$D,MATCH($C31,Stats!$A:$A,0)),FALSE),ROUND(D31+(E31-D31)*(1+G31)*((8-1)/(MaxLevel-1))^(2^F31),0),D31+(E31-D31)*(1+G31)*((8-1)/(MaxLevel-1))^(2^F31)))</f>
        <v/>
      </c>
      <c r="P31" s="12" t="str">
        <f>IF(OR(D31="",E31=""),"",IF(IFERROR(INDEX(Stats!$D:$D,MATCH($C31,Stats!$A:$A,0)),FALSE),ROUND(D31+(E31-D31)*(1+G31)*((9-1)/(MaxLevel-1))^(2^F31),0),D31+(E31-D31)*(1+G31)*((9-1)/(MaxLevel-1))^(2^F31)))</f>
        <v/>
      </c>
      <c r="Q31" s="12" t="str">
        <f>IF(OR(D31="",E31=""),"",IF(IFERROR(INDEX(Stats!$D:$D,MATCH($C31,Stats!$A:$A,0)),FALSE),ROUND(D31+(E31-D31)*(1+G31)*((10-1)/(MaxLevel-1))^(2^F31),0),D31+(E31-D31)*(1+G31)*((10-1)/(MaxLevel-1))^(2^F31)))</f>
        <v/>
      </c>
    </row>
    <row r="32" spans="1:17" x14ac:dyDescent="0.25">
      <c r="A32" s="4" t="s">
        <v>185</v>
      </c>
      <c r="B32" s="19" t="s">
        <v>218</v>
      </c>
      <c r="C32" s="4" t="s">
        <v>46</v>
      </c>
      <c r="D32" s="5"/>
      <c r="E32" s="5"/>
      <c r="F32" s="5"/>
      <c r="G32" s="5"/>
      <c r="H32" s="12" t="str">
        <f>IF(OR(D32="",E32=""),"",IF(IFERROR(INDEX(Stats!$D:$D,MATCH($C32,Stats!$A:$A,0)),FALSE),ROUND(D32+(E32-D32)*(1+G32)*((1-1)/(MaxLevel-1))^(2^F32),0),D32+(E32-D32)*(1+G32)*((1-1)/(MaxLevel-1))^(2^F32)))</f>
        <v/>
      </c>
      <c r="I32" s="12" t="str">
        <f>IF(OR(D32="",E32=""),"",IF(IFERROR(INDEX(Stats!$D:$D,MATCH($C32,Stats!$A:$A,0)),FALSE),ROUND(D32+(E32-D32)*(1+G32)*((2-1)/(MaxLevel-1))^(2^F32),0),D32+(E32-D32)*(1+G32)*((2-1)/(MaxLevel-1))^(2^F32)))</f>
        <v/>
      </c>
      <c r="J32" s="12" t="str">
        <f>IF(OR(D32="",E32=""),"",IF(IFERROR(INDEX(Stats!$D:$D,MATCH($C32,Stats!$A:$A,0)),FALSE),ROUND(D32+(E32-D32)*(1+G32)*((3-1)/(MaxLevel-1))^(2^F32),0),D32+(E32-D32)*(1+G32)*((3-1)/(MaxLevel-1))^(2^F32)))</f>
        <v/>
      </c>
      <c r="K32" s="12" t="str">
        <f>IF(OR(D32="",E32=""),"",IF(IFERROR(INDEX(Stats!$D:$D,MATCH($C32,Stats!$A:$A,0)),FALSE),ROUND(D32+(E32-D32)*(1+G32)*((4-1)/(MaxLevel-1))^(2^F32),0),D32+(E32-D32)*(1+G32)*((4-1)/(MaxLevel-1))^(2^F32)))</f>
        <v/>
      </c>
      <c r="L32" s="12" t="str">
        <f>IF(OR(D32="",E32=""),"",IF(IFERROR(INDEX(Stats!$D:$D,MATCH($C32,Stats!$A:$A,0)),FALSE),ROUND(D32+(E32-D32)*(1+G32)*((5-1)/(MaxLevel-1))^(2^F32),0),D32+(E32-D32)*(1+G32)*((5-1)/(MaxLevel-1))^(2^F32)))</f>
        <v/>
      </c>
      <c r="M32" s="12" t="str">
        <f>IF(OR(D32="",E32=""),"",IF(IFERROR(INDEX(Stats!$D:$D,MATCH($C32,Stats!$A:$A,0)),FALSE),ROUND(D32+(E32-D32)*(1+G32)*((6-1)/(MaxLevel-1))^(2^F32),0),D32+(E32-D32)*(1+G32)*((6-1)/(MaxLevel-1))^(2^F32)))</f>
        <v/>
      </c>
      <c r="N32" s="12" t="str">
        <f>IF(OR(D32="",E32=""),"",IF(IFERROR(INDEX(Stats!$D:$D,MATCH($C32,Stats!$A:$A,0)),FALSE),ROUND(D32+(E32-D32)*(1+G32)*((7-1)/(MaxLevel-1))^(2^F32),0),D32+(E32-D32)*(1+G32)*((7-1)/(MaxLevel-1))^(2^F32)))</f>
        <v/>
      </c>
      <c r="O32" s="12" t="str">
        <f>IF(OR(D32="",E32=""),"",IF(IFERROR(INDEX(Stats!$D:$D,MATCH($C32,Stats!$A:$A,0)),FALSE),ROUND(D32+(E32-D32)*(1+G32)*((8-1)/(MaxLevel-1))^(2^F32),0),D32+(E32-D32)*(1+G32)*((8-1)/(MaxLevel-1))^(2^F32)))</f>
        <v/>
      </c>
      <c r="P32" s="12" t="str">
        <f>IF(OR(D32="",E32=""),"",IF(IFERROR(INDEX(Stats!$D:$D,MATCH($C32,Stats!$A:$A,0)),FALSE),ROUND(D32+(E32-D32)*(1+G32)*((9-1)/(MaxLevel-1))^(2^F32),0),D32+(E32-D32)*(1+G32)*((9-1)/(MaxLevel-1))^(2^F32)))</f>
        <v/>
      </c>
      <c r="Q32" s="12" t="str">
        <f>IF(OR(D32="",E32=""),"",IF(IFERROR(INDEX(Stats!$D:$D,MATCH($C32,Stats!$A:$A,0)),FALSE),ROUND(D32+(E32-D32)*(1+G32)*((10-1)/(MaxLevel-1))^(2^F32),0),D32+(E32-D32)*(1+G32)*((10-1)/(MaxLevel-1))^(2^F32)))</f>
        <v/>
      </c>
    </row>
    <row r="33" spans="1:17" x14ac:dyDescent="0.25">
      <c r="A33" s="4" t="s">
        <v>185</v>
      </c>
      <c r="B33" s="19" t="s">
        <v>218</v>
      </c>
      <c r="C33" s="4" t="s">
        <v>48</v>
      </c>
      <c r="D33" s="5"/>
      <c r="E33" s="5"/>
      <c r="F33" s="5"/>
      <c r="G33" s="5"/>
      <c r="H33" s="12" t="str">
        <f>IF(OR(D33="",E33=""),"",IF(IFERROR(INDEX(Stats!$D:$D,MATCH($C33,Stats!$A:$A,0)),FALSE),ROUND(D33+(E33-D33)*(1+G33)*((1-1)/(MaxLevel-1))^(2^F33),0),D33+(E33-D33)*(1+G33)*((1-1)/(MaxLevel-1))^(2^F33)))</f>
        <v/>
      </c>
      <c r="I33" s="12" t="str">
        <f>IF(OR(D33="",E33=""),"",IF(IFERROR(INDEX(Stats!$D:$D,MATCH($C33,Stats!$A:$A,0)),FALSE),ROUND(D33+(E33-D33)*(1+G33)*((2-1)/(MaxLevel-1))^(2^F33),0),D33+(E33-D33)*(1+G33)*((2-1)/(MaxLevel-1))^(2^F33)))</f>
        <v/>
      </c>
      <c r="J33" s="12" t="str">
        <f>IF(OR(D33="",E33=""),"",IF(IFERROR(INDEX(Stats!$D:$D,MATCH($C33,Stats!$A:$A,0)),FALSE),ROUND(D33+(E33-D33)*(1+G33)*((3-1)/(MaxLevel-1))^(2^F33),0),D33+(E33-D33)*(1+G33)*((3-1)/(MaxLevel-1))^(2^F33)))</f>
        <v/>
      </c>
      <c r="K33" s="12" t="str">
        <f>IF(OR(D33="",E33=""),"",IF(IFERROR(INDEX(Stats!$D:$D,MATCH($C33,Stats!$A:$A,0)),FALSE),ROUND(D33+(E33-D33)*(1+G33)*((4-1)/(MaxLevel-1))^(2^F33),0),D33+(E33-D33)*(1+G33)*((4-1)/(MaxLevel-1))^(2^F33)))</f>
        <v/>
      </c>
      <c r="L33" s="12" t="str">
        <f>IF(OR(D33="",E33=""),"",IF(IFERROR(INDEX(Stats!$D:$D,MATCH($C33,Stats!$A:$A,0)),FALSE),ROUND(D33+(E33-D33)*(1+G33)*((5-1)/(MaxLevel-1))^(2^F33),0),D33+(E33-D33)*(1+G33)*((5-1)/(MaxLevel-1))^(2^F33)))</f>
        <v/>
      </c>
      <c r="M33" s="12" t="str">
        <f>IF(OR(D33="",E33=""),"",IF(IFERROR(INDEX(Stats!$D:$D,MATCH($C33,Stats!$A:$A,0)),FALSE),ROUND(D33+(E33-D33)*(1+G33)*((6-1)/(MaxLevel-1))^(2^F33),0),D33+(E33-D33)*(1+G33)*((6-1)/(MaxLevel-1))^(2^F33)))</f>
        <v/>
      </c>
      <c r="N33" s="12" t="str">
        <f>IF(OR(D33="",E33=""),"",IF(IFERROR(INDEX(Stats!$D:$D,MATCH($C33,Stats!$A:$A,0)),FALSE),ROUND(D33+(E33-D33)*(1+G33)*((7-1)/(MaxLevel-1))^(2^F33),0),D33+(E33-D33)*(1+G33)*((7-1)/(MaxLevel-1))^(2^F33)))</f>
        <v/>
      </c>
      <c r="O33" s="12" t="str">
        <f>IF(OR(D33="",E33=""),"",IF(IFERROR(INDEX(Stats!$D:$D,MATCH($C33,Stats!$A:$A,0)),FALSE),ROUND(D33+(E33-D33)*(1+G33)*((8-1)/(MaxLevel-1))^(2^F33),0),D33+(E33-D33)*(1+G33)*((8-1)/(MaxLevel-1))^(2^F33)))</f>
        <v/>
      </c>
      <c r="P33" s="12" t="str">
        <f>IF(OR(D33="",E33=""),"",IF(IFERROR(INDEX(Stats!$D:$D,MATCH($C33,Stats!$A:$A,0)),FALSE),ROUND(D33+(E33-D33)*(1+G33)*((9-1)/(MaxLevel-1))^(2^F33),0),D33+(E33-D33)*(1+G33)*((9-1)/(MaxLevel-1))^(2^F33)))</f>
        <v/>
      </c>
      <c r="Q33" s="12" t="str">
        <f>IF(OR(D33="",E33=""),"",IF(IFERROR(INDEX(Stats!$D:$D,MATCH($C33,Stats!$A:$A,0)),FALSE),ROUND(D33+(E33-D33)*(1+G33)*((10-1)/(MaxLevel-1))^(2^F33),0),D33+(E33-D33)*(1+G33)*((10-1)/(MaxLevel-1))^(2^F33)))</f>
        <v/>
      </c>
    </row>
    <row r="34" spans="1:17" x14ac:dyDescent="0.25">
      <c r="A34" s="4" t="s">
        <v>185</v>
      </c>
      <c r="B34" s="19" t="s">
        <v>218</v>
      </c>
      <c r="C34" s="4" t="s">
        <v>50</v>
      </c>
      <c r="D34" s="5"/>
      <c r="E34" s="5"/>
      <c r="F34" s="5"/>
      <c r="G34" s="5"/>
      <c r="H34" s="12" t="str">
        <f>IF(OR(D34="",E34=""),"",IF(IFERROR(INDEX(Stats!$D:$D,MATCH($C34,Stats!$A:$A,0)),FALSE),ROUND(D34+(E34-D34)*(1+G34)*((1-1)/(MaxLevel-1))^(2^F34),0),D34+(E34-D34)*(1+G34)*((1-1)/(MaxLevel-1))^(2^F34)))</f>
        <v/>
      </c>
      <c r="I34" s="12" t="str">
        <f>IF(OR(D34="",E34=""),"",IF(IFERROR(INDEX(Stats!$D:$D,MATCH($C34,Stats!$A:$A,0)),FALSE),ROUND(D34+(E34-D34)*(1+G34)*((2-1)/(MaxLevel-1))^(2^F34),0),D34+(E34-D34)*(1+G34)*((2-1)/(MaxLevel-1))^(2^F34)))</f>
        <v/>
      </c>
      <c r="J34" s="12" t="str">
        <f>IF(OR(D34="",E34=""),"",IF(IFERROR(INDEX(Stats!$D:$D,MATCH($C34,Stats!$A:$A,0)),FALSE),ROUND(D34+(E34-D34)*(1+G34)*((3-1)/(MaxLevel-1))^(2^F34),0),D34+(E34-D34)*(1+G34)*((3-1)/(MaxLevel-1))^(2^F34)))</f>
        <v/>
      </c>
      <c r="K34" s="12" t="str">
        <f>IF(OR(D34="",E34=""),"",IF(IFERROR(INDEX(Stats!$D:$D,MATCH($C34,Stats!$A:$A,0)),FALSE),ROUND(D34+(E34-D34)*(1+G34)*((4-1)/(MaxLevel-1))^(2^F34),0),D34+(E34-D34)*(1+G34)*((4-1)/(MaxLevel-1))^(2^F34)))</f>
        <v/>
      </c>
      <c r="L34" s="12" t="str">
        <f>IF(OR(D34="",E34=""),"",IF(IFERROR(INDEX(Stats!$D:$D,MATCH($C34,Stats!$A:$A,0)),FALSE),ROUND(D34+(E34-D34)*(1+G34)*((5-1)/(MaxLevel-1))^(2^F34),0),D34+(E34-D34)*(1+G34)*((5-1)/(MaxLevel-1))^(2^F34)))</f>
        <v/>
      </c>
      <c r="M34" s="12" t="str">
        <f>IF(OR(D34="",E34=""),"",IF(IFERROR(INDEX(Stats!$D:$D,MATCH($C34,Stats!$A:$A,0)),FALSE),ROUND(D34+(E34-D34)*(1+G34)*((6-1)/(MaxLevel-1))^(2^F34),0),D34+(E34-D34)*(1+G34)*((6-1)/(MaxLevel-1))^(2^F34)))</f>
        <v/>
      </c>
      <c r="N34" s="12" t="str">
        <f>IF(OR(D34="",E34=""),"",IF(IFERROR(INDEX(Stats!$D:$D,MATCH($C34,Stats!$A:$A,0)),FALSE),ROUND(D34+(E34-D34)*(1+G34)*((7-1)/(MaxLevel-1))^(2^F34),0),D34+(E34-D34)*(1+G34)*((7-1)/(MaxLevel-1))^(2^F34)))</f>
        <v/>
      </c>
      <c r="O34" s="12" t="str">
        <f>IF(OR(D34="",E34=""),"",IF(IFERROR(INDEX(Stats!$D:$D,MATCH($C34,Stats!$A:$A,0)),FALSE),ROUND(D34+(E34-D34)*(1+G34)*((8-1)/(MaxLevel-1))^(2^F34),0),D34+(E34-D34)*(1+G34)*((8-1)/(MaxLevel-1))^(2^F34)))</f>
        <v/>
      </c>
      <c r="P34" s="12" t="str">
        <f>IF(OR(D34="",E34=""),"",IF(IFERROR(INDEX(Stats!$D:$D,MATCH($C34,Stats!$A:$A,0)),FALSE),ROUND(D34+(E34-D34)*(1+G34)*((9-1)/(MaxLevel-1))^(2^F34),0),D34+(E34-D34)*(1+G34)*((9-1)/(MaxLevel-1))^(2^F34)))</f>
        <v/>
      </c>
      <c r="Q34" s="12" t="str">
        <f>IF(OR(D34="",E34=""),"",IF(IFERROR(INDEX(Stats!$D:$D,MATCH($C34,Stats!$A:$A,0)),FALSE),ROUND(D34+(E34-D34)*(1+G34)*((10-1)/(MaxLevel-1))^(2^F34),0),D34+(E34-D34)*(1+G34)*((10-1)/(MaxLevel-1))^(2^F34)))</f>
        <v/>
      </c>
    </row>
    <row r="35" spans="1:17" x14ac:dyDescent="0.25">
      <c r="A35" s="4" t="s">
        <v>185</v>
      </c>
      <c r="B35" s="19" t="s">
        <v>218</v>
      </c>
      <c r="C35" s="4" t="s">
        <v>52</v>
      </c>
      <c r="D35" s="5"/>
      <c r="E35" s="5"/>
      <c r="F35" s="5"/>
      <c r="G35" s="5"/>
      <c r="H35" s="12" t="str">
        <f>IF(OR(D35="",E35=""),"",IF(IFERROR(INDEX(Stats!$D:$D,MATCH($C35,Stats!$A:$A,0)),FALSE),ROUND(D35+(E35-D35)*(1+G35)*((1-1)/(MaxLevel-1))^(2^F35),0),D35+(E35-D35)*(1+G35)*((1-1)/(MaxLevel-1))^(2^F35)))</f>
        <v/>
      </c>
      <c r="I35" s="12" t="str">
        <f>IF(OR(D35="",E35=""),"",IF(IFERROR(INDEX(Stats!$D:$D,MATCH($C35,Stats!$A:$A,0)),FALSE),ROUND(D35+(E35-D35)*(1+G35)*((2-1)/(MaxLevel-1))^(2^F35),0),D35+(E35-D35)*(1+G35)*((2-1)/(MaxLevel-1))^(2^F35)))</f>
        <v/>
      </c>
      <c r="J35" s="12" t="str">
        <f>IF(OR(D35="",E35=""),"",IF(IFERROR(INDEX(Stats!$D:$D,MATCH($C35,Stats!$A:$A,0)),FALSE),ROUND(D35+(E35-D35)*(1+G35)*((3-1)/(MaxLevel-1))^(2^F35),0),D35+(E35-D35)*(1+G35)*((3-1)/(MaxLevel-1))^(2^F35)))</f>
        <v/>
      </c>
      <c r="K35" s="12" t="str">
        <f>IF(OR(D35="",E35=""),"",IF(IFERROR(INDEX(Stats!$D:$D,MATCH($C35,Stats!$A:$A,0)),FALSE),ROUND(D35+(E35-D35)*(1+G35)*((4-1)/(MaxLevel-1))^(2^F35),0),D35+(E35-D35)*(1+G35)*((4-1)/(MaxLevel-1))^(2^F35)))</f>
        <v/>
      </c>
      <c r="L35" s="12" t="str">
        <f>IF(OR(D35="",E35=""),"",IF(IFERROR(INDEX(Stats!$D:$D,MATCH($C35,Stats!$A:$A,0)),FALSE),ROUND(D35+(E35-D35)*(1+G35)*((5-1)/(MaxLevel-1))^(2^F35),0),D35+(E35-D35)*(1+G35)*((5-1)/(MaxLevel-1))^(2^F35)))</f>
        <v/>
      </c>
      <c r="M35" s="12" t="str">
        <f>IF(OR(D35="",E35=""),"",IF(IFERROR(INDEX(Stats!$D:$D,MATCH($C35,Stats!$A:$A,0)),FALSE),ROUND(D35+(E35-D35)*(1+G35)*((6-1)/(MaxLevel-1))^(2^F35),0),D35+(E35-D35)*(1+G35)*((6-1)/(MaxLevel-1))^(2^F35)))</f>
        <v/>
      </c>
      <c r="N35" s="12" t="str">
        <f>IF(OR(D35="",E35=""),"",IF(IFERROR(INDEX(Stats!$D:$D,MATCH($C35,Stats!$A:$A,0)),FALSE),ROUND(D35+(E35-D35)*(1+G35)*((7-1)/(MaxLevel-1))^(2^F35),0),D35+(E35-D35)*(1+G35)*((7-1)/(MaxLevel-1))^(2^F35)))</f>
        <v/>
      </c>
      <c r="O35" s="12" t="str">
        <f>IF(OR(D35="",E35=""),"",IF(IFERROR(INDEX(Stats!$D:$D,MATCH($C35,Stats!$A:$A,0)),FALSE),ROUND(D35+(E35-D35)*(1+G35)*((8-1)/(MaxLevel-1))^(2^F35),0),D35+(E35-D35)*(1+G35)*((8-1)/(MaxLevel-1))^(2^F35)))</f>
        <v/>
      </c>
      <c r="P35" s="12" t="str">
        <f>IF(OR(D35="",E35=""),"",IF(IFERROR(INDEX(Stats!$D:$D,MATCH($C35,Stats!$A:$A,0)),FALSE),ROUND(D35+(E35-D35)*(1+G35)*((9-1)/(MaxLevel-1))^(2^F35),0),D35+(E35-D35)*(1+G35)*((9-1)/(MaxLevel-1))^(2^F35)))</f>
        <v/>
      </c>
      <c r="Q35" s="12" t="str">
        <f>IF(OR(D35="",E35=""),"",IF(IFERROR(INDEX(Stats!$D:$D,MATCH($C35,Stats!$A:$A,0)),FALSE),ROUND(D35+(E35-D35)*(1+G35)*((10-1)/(MaxLevel-1))^(2^F35),0),D35+(E35-D35)*(1+G35)*((10-1)/(MaxLevel-1))^(2^F35)))</f>
        <v/>
      </c>
    </row>
    <row r="36" spans="1:17" x14ac:dyDescent="0.25">
      <c r="A36" s="4" t="s">
        <v>185</v>
      </c>
      <c r="B36" s="19" t="s">
        <v>218</v>
      </c>
      <c r="C36" s="4" t="s">
        <v>54</v>
      </c>
      <c r="D36" s="5"/>
      <c r="E36" s="5"/>
      <c r="F36" s="5"/>
      <c r="G36" s="5"/>
      <c r="H36" s="12" t="str">
        <f>IF(OR(D36="",E36=""),"",IF(IFERROR(INDEX(Stats!$D:$D,MATCH($C36,Stats!$A:$A,0)),FALSE),ROUND(D36+(E36-D36)*(1+G36)*((1-1)/(MaxLevel-1))^(2^F36),0),D36+(E36-D36)*(1+G36)*((1-1)/(MaxLevel-1))^(2^F36)))</f>
        <v/>
      </c>
      <c r="I36" s="12" t="str">
        <f>IF(OR(D36="",E36=""),"",IF(IFERROR(INDEX(Stats!$D:$D,MATCH($C36,Stats!$A:$A,0)),FALSE),ROUND(D36+(E36-D36)*(1+G36)*((2-1)/(MaxLevel-1))^(2^F36),0),D36+(E36-D36)*(1+G36)*((2-1)/(MaxLevel-1))^(2^F36)))</f>
        <v/>
      </c>
      <c r="J36" s="12" t="str">
        <f>IF(OR(D36="",E36=""),"",IF(IFERROR(INDEX(Stats!$D:$D,MATCH($C36,Stats!$A:$A,0)),FALSE),ROUND(D36+(E36-D36)*(1+G36)*((3-1)/(MaxLevel-1))^(2^F36),0),D36+(E36-D36)*(1+G36)*((3-1)/(MaxLevel-1))^(2^F36)))</f>
        <v/>
      </c>
      <c r="K36" s="12" t="str">
        <f>IF(OR(D36="",E36=""),"",IF(IFERROR(INDEX(Stats!$D:$D,MATCH($C36,Stats!$A:$A,0)),FALSE),ROUND(D36+(E36-D36)*(1+G36)*((4-1)/(MaxLevel-1))^(2^F36),0),D36+(E36-D36)*(1+G36)*((4-1)/(MaxLevel-1))^(2^F36)))</f>
        <v/>
      </c>
      <c r="L36" s="12" t="str">
        <f>IF(OR(D36="",E36=""),"",IF(IFERROR(INDEX(Stats!$D:$D,MATCH($C36,Stats!$A:$A,0)),FALSE),ROUND(D36+(E36-D36)*(1+G36)*((5-1)/(MaxLevel-1))^(2^F36),0),D36+(E36-D36)*(1+G36)*((5-1)/(MaxLevel-1))^(2^F36)))</f>
        <v/>
      </c>
      <c r="M36" s="12" t="str">
        <f>IF(OR(D36="",E36=""),"",IF(IFERROR(INDEX(Stats!$D:$D,MATCH($C36,Stats!$A:$A,0)),FALSE),ROUND(D36+(E36-D36)*(1+G36)*((6-1)/(MaxLevel-1))^(2^F36),0),D36+(E36-D36)*(1+G36)*((6-1)/(MaxLevel-1))^(2^F36)))</f>
        <v/>
      </c>
      <c r="N36" s="12" t="str">
        <f>IF(OR(D36="",E36=""),"",IF(IFERROR(INDEX(Stats!$D:$D,MATCH($C36,Stats!$A:$A,0)),FALSE),ROUND(D36+(E36-D36)*(1+G36)*((7-1)/(MaxLevel-1))^(2^F36),0),D36+(E36-D36)*(1+G36)*((7-1)/(MaxLevel-1))^(2^F36)))</f>
        <v/>
      </c>
      <c r="O36" s="12" t="str">
        <f>IF(OR(D36="",E36=""),"",IF(IFERROR(INDEX(Stats!$D:$D,MATCH($C36,Stats!$A:$A,0)),FALSE),ROUND(D36+(E36-D36)*(1+G36)*((8-1)/(MaxLevel-1))^(2^F36),0),D36+(E36-D36)*(1+G36)*((8-1)/(MaxLevel-1))^(2^F36)))</f>
        <v/>
      </c>
      <c r="P36" s="12" t="str">
        <f>IF(OR(D36="",E36=""),"",IF(IFERROR(INDEX(Stats!$D:$D,MATCH($C36,Stats!$A:$A,0)),FALSE),ROUND(D36+(E36-D36)*(1+G36)*((9-1)/(MaxLevel-1))^(2^F36),0),D36+(E36-D36)*(1+G36)*((9-1)/(MaxLevel-1))^(2^F36)))</f>
        <v/>
      </c>
      <c r="Q36" s="12" t="str">
        <f>IF(OR(D36="",E36=""),"",IF(IFERROR(INDEX(Stats!$D:$D,MATCH($C36,Stats!$A:$A,0)),FALSE),ROUND(D36+(E36-D36)*(1+G36)*((10-1)/(MaxLevel-1))^(2^F36),0),D36+(E36-D36)*(1+G36)*((10-1)/(MaxLevel-1))^(2^F36)))</f>
        <v/>
      </c>
    </row>
    <row r="37" spans="1:17" x14ac:dyDescent="0.25">
      <c r="A37" s="4" t="s">
        <v>185</v>
      </c>
      <c r="B37" s="19" t="s">
        <v>218</v>
      </c>
      <c r="C37" s="4" t="s">
        <v>56</v>
      </c>
      <c r="D37" s="5"/>
      <c r="E37" s="5"/>
      <c r="F37" s="5"/>
      <c r="G37" s="5"/>
      <c r="H37" s="12" t="str">
        <f>IF(OR(D37="",E37=""),"",IF(IFERROR(INDEX(Stats!$D:$D,MATCH($C37,Stats!$A:$A,0)),FALSE),ROUND(D37+(E37-D37)*(1+G37)*((1-1)/(MaxLevel-1))^(2^F37),0),D37+(E37-D37)*(1+G37)*((1-1)/(MaxLevel-1))^(2^F37)))</f>
        <v/>
      </c>
      <c r="I37" s="12" t="str">
        <f>IF(OR(D37="",E37=""),"",IF(IFERROR(INDEX(Stats!$D:$D,MATCH($C37,Stats!$A:$A,0)),FALSE),ROUND(D37+(E37-D37)*(1+G37)*((2-1)/(MaxLevel-1))^(2^F37),0),D37+(E37-D37)*(1+G37)*((2-1)/(MaxLevel-1))^(2^F37)))</f>
        <v/>
      </c>
      <c r="J37" s="12" t="str">
        <f>IF(OR(D37="",E37=""),"",IF(IFERROR(INDEX(Stats!$D:$D,MATCH($C37,Stats!$A:$A,0)),FALSE),ROUND(D37+(E37-D37)*(1+G37)*((3-1)/(MaxLevel-1))^(2^F37),0),D37+(E37-D37)*(1+G37)*((3-1)/(MaxLevel-1))^(2^F37)))</f>
        <v/>
      </c>
      <c r="K37" s="12" t="str">
        <f>IF(OR(D37="",E37=""),"",IF(IFERROR(INDEX(Stats!$D:$D,MATCH($C37,Stats!$A:$A,0)),FALSE),ROUND(D37+(E37-D37)*(1+G37)*((4-1)/(MaxLevel-1))^(2^F37),0),D37+(E37-D37)*(1+G37)*((4-1)/(MaxLevel-1))^(2^F37)))</f>
        <v/>
      </c>
      <c r="L37" s="12" t="str">
        <f>IF(OR(D37="",E37=""),"",IF(IFERROR(INDEX(Stats!$D:$D,MATCH($C37,Stats!$A:$A,0)),FALSE),ROUND(D37+(E37-D37)*(1+G37)*((5-1)/(MaxLevel-1))^(2^F37),0),D37+(E37-D37)*(1+G37)*((5-1)/(MaxLevel-1))^(2^F37)))</f>
        <v/>
      </c>
      <c r="M37" s="12" t="str">
        <f>IF(OR(D37="",E37=""),"",IF(IFERROR(INDEX(Stats!$D:$D,MATCH($C37,Stats!$A:$A,0)),FALSE),ROUND(D37+(E37-D37)*(1+G37)*((6-1)/(MaxLevel-1))^(2^F37),0),D37+(E37-D37)*(1+G37)*((6-1)/(MaxLevel-1))^(2^F37)))</f>
        <v/>
      </c>
      <c r="N37" s="12" t="str">
        <f>IF(OR(D37="",E37=""),"",IF(IFERROR(INDEX(Stats!$D:$D,MATCH($C37,Stats!$A:$A,0)),FALSE),ROUND(D37+(E37-D37)*(1+G37)*((7-1)/(MaxLevel-1))^(2^F37),0),D37+(E37-D37)*(1+G37)*((7-1)/(MaxLevel-1))^(2^F37)))</f>
        <v/>
      </c>
      <c r="O37" s="12" t="str">
        <f>IF(OR(D37="",E37=""),"",IF(IFERROR(INDEX(Stats!$D:$D,MATCH($C37,Stats!$A:$A,0)),FALSE),ROUND(D37+(E37-D37)*(1+G37)*((8-1)/(MaxLevel-1))^(2^F37),0),D37+(E37-D37)*(1+G37)*((8-1)/(MaxLevel-1))^(2^F37)))</f>
        <v/>
      </c>
      <c r="P37" s="12" t="str">
        <f>IF(OR(D37="",E37=""),"",IF(IFERROR(INDEX(Stats!$D:$D,MATCH($C37,Stats!$A:$A,0)),FALSE),ROUND(D37+(E37-D37)*(1+G37)*((9-1)/(MaxLevel-1))^(2^F37),0),D37+(E37-D37)*(1+G37)*((9-1)/(MaxLevel-1))^(2^F37)))</f>
        <v/>
      </c>
      <c r="Q37" s="12" t="str">
        <f>IF(OR(D37="",E37=""),"",IF(IFERROR(INDEX(Stats!$D:$D,MATCH($C37,Stats!$A:$A,0)),FALSE),ROUND(D37+(E37-D37)*(1+G37)*((10-1)/(MaxLevel-1))^(2^F37),0),D37+(E37-D37)*(1+G37)*((10-1)/(MaxLevel-1))^(2^F37)))</f>
        <v/>
      </c>
    </row>
    <row r="38" spans="1:17" x14ac:dyDescent="0.25">
      <c r="A38" s="4" t="s">
        <v>185</v>
      </c>
      <c r="B38" s="19" t="s">
        <v>218</v>
      </c>
      <c r="C38" s="4" t="s">
        <v>58</v>
      </c>
      <c r="D38" s="5"/>
      <c r="E38" s="5"/>
      <c r="F38" s="5"/>
      <c r="G38" s="5"/>
      <c r="H38" s="12" t="str">
        <f>IF(OR(D38="",E38=""),"",IF(IFERROR(INDEX(Stats!$D:$D,MATCH($C38,Stats!$A:$A,0)),FALSE),ROUND(D38+(E38-D38)*(1+G38)*((1-1)/(MaxLevel-1))^(2^F38),0),D38+(E38-D38)*(1+G38)*((1-1)/(MaxLevel-1))^(2^F38)))</f>
        <v/>
      </c>
      <c r="I38" s="12" t="str">
        <f>IF(OR(D38="",E38=""),"",IF(IFERROR(INDEX(Stats!$D:$D,MATCH($C38,Stats!$A:$A,0)),FALSE),ROUND(D38+(E38-D38)*(1+G38)*((2-1)/(MaxLevel-1))^(2^F38),0),D38+(E38-D38)*(1+G38)*((2-1)/(MaxLevel-1))^(2^F38)))</f>
        <v/>
      </c>
      <c r="J38" s="12" t="str">
        <f>IF(OR(D38="",E38=""),"",IF(IFERROR(INDEX(Stats!$D:$D,MATCH($C38,Stats!$A:$A,0)),FALSE),ROUND(D38+(E38-D38)*(1+G38)*((3-1)/(MaxLevel-1))^(2^F38),0),D38+(E38-D38)*(1+G38)*((3-1)/(MaxLevel-1))^(2^F38)))</f>
        <v/>
      </c>
      <c r="K38" s="12" t="str">
        <f>IF(OR(D38="",E38=""),"",IF(IFERROR(INDEX(Stats!$D:$D,MATCH($C38,Stats!$A:$A,0)),FALSE),ROUND(D38+(E38-D38)*(1+G38)*((4-1)/(MaxLevel-1))^(2^F38),0),D38+(E38-D38)*(1+G38)*((4-1)/(MaxLevel-1))^(2^F38)))</f>
        <v/>
      </c>
      <c r="L38" s="12" t="str">
        <f>IF(OR(D38="",E38=""),"",IF(IFERROR(INDEX(Stats!$D:$D,MATCH($C38,Stats!$A:$A,0)),FALSE),ROUND(D38+(E38-D38)*(1+G38)*((5-1)/(MaxLevel-1))^(2^F38),0),D38+(E38-D38)*(1+G38)*((5-1)/(MaxLevel-1))^(2^F38)))</f>
        <v/>
      </c>
      <c r="M38" s="12" t="str">
        <f>IF(OR(D38="",E38=""),"",IF(IFERROR(INDEX(Stats!$D:$D,MATCH($C38,Stats!$A:$A,0)),FALSE),ROUND(D38+(E38-D38)*(1+G38)*((6-1)/(MaxLevel-1))^(2^F38),0),D38+(E38-D38)*(1+G38)*((6-1)/(MaxLevel-1))^(2^F38)))</f>
        <v/>
      </c>
      <c r="N38" s="12" t="str">
        <f>IF(OR(D38="",E38=""),"",IF(IFERROR(INDEX(Stats!$D:$D,MATCH($C38,Stats!$A:$A,0)),FALSE),ROUND(D38+(E38-D38)*(1+G38)*((7-1)/(MaxLevel-1))^(2^F38),0),D38+(E38-D38)*(1+G38)*((7-1)/(MaxLevel-1))^(2^F38)))</f>
        <v/>
      </c>
      <c r="O38" s="12" t="str">
        <f>IF(OR(D38="",E38=""),"",IF(IFERROR(INDEX(Stats!$D:$D,MATCH($C38,Stats!$A:$A,0)),FALSE),ROUND(D38+(E38-D38)*(1+G38)*((8-1)/(MaxLevel-1))^(2^F38),0),D38+(E38-D38)*(1+G38)*((8-1)/(MaxLevel-1))^(2^F38)))</f>
        <v/>
      </c>
      <c r="P38" s="12" t="str">
        <f>IF(OR(D38="",E38=""),"",IF(IFERROR(INDEX(Stats!$D:$D,MATCH($C38,Stats!$A:$A,0)),FALSE),ROUND(D38+(E38-D38)*(1+G38)*((9-1)/(MaxLevel-1))^(2^F38),0),D38+(E38-D38)*(1+G38)*((9-1)/(MaxLevel-1))^(2^F38)))</f>
        <v/>
      </c>
      <c r="Q38" s="12" t="str">
        <f>IF(OR(D38="",E38=""),"",IF(IFERROR(INDEX(Stats!$D:$D,MATCH($C38,Stats!$A:$A,0)),FALSE),ROUND(D38+(E38-D38)*(1+G38)*((10-1)/(MaxLevel-1))^(2^F38),0),D38+(E38-D38)*(1+G38)*((10-1)/(MaxLevel-1))^(2^F38)))</f>
        <v/>
      </c>
    </row>
    <row r="39" spans="1:17" x14ac:dyDescent="0.25">
      <c r="A39" s="4" t="s">
        <v>185</v>
      </c>
      <c r="B39" s="19" t="s">
        <v>218</v>
      </c>
      <c r="C39" s="4" t="s">
        <v>60</v>
      </c>
      <c r="D39" s="5">
        <v>0.3</v>
      </c>
      <c r="E39" s="5">
        <v>0.1</v>
      </c>
      <c r="F39" s="5">
        <v>0</v>
      </c>
      <c r="G39" s="5">
        <v>0</v>
      </c>
      <c r="H39" s="12">
        <f>IF(OR(D39="",E39=""),"",IF(IFERROR(INDEX(Stats!$D:$D,MATCH($C39,Stats!$A:$A,0)),FALSE),ROUND(D39+(E39-D39)*(1+G39)*((1-1)/(MaxLevel-1))^(2^F39),0),D39+(E39-D39)*(1+G39)*((1-1)/(MaxLevel-1))^(2^F39)))</f>
        <v>0.3</v>
      </c>
      <c r="I39" s="12">
        <f>IF(OR(D39="",E39=""),"",IF(IFERROR(INDEX(Stats!$D:$D,MATCH($C39,Stats!$A:$A,0)),FALSE),ROUND(D39+(E39-D39)*(1+G39)*((2-1)/(MaxLevel-1))^(2^F39),0),D39+(E39-D39)*(1+G39)*((2-1)/(MaxLevel-1))^(2^F39)))</f>
        <v>0.27777777777777779</v>
      </c>
      <c r="J39" s="12">
        <f>IF(OR(D39="",E39=""),"",IF(IFERROR(INDEX(Stats!$D:$D,MATCH($C39,Stats!$A:$A,0)),FALSE),ROUND(D39+(E39-D39)*(1+G39)*((3-1)/(MaxLevel-1))^(2^F39),0),D39+(E39-D39)*(1+G39)*((3-1)/(MaxLevel-1))^(2^F39)))</f>
        <v>0.25555555555555554</v>
      </c>
      <c r="K39" s="12">
        <f>IF(OR(D39="",E39=""),"",IF(IFERROR(INDEX(Stats!$D:$D,MATCH($C39,Stats!$A:$A,0)),FALSE),ROUND(D39+(E39-D39)*(1+G39)*((4-1)/(MaxLevel-1))^(2^F39),0),D39+(E39-D39)*(1+G39)*((4-1)/(MaxLevel-1))^(2^F39)))</f>
        <v>0.23333333333333334</v>
      </c>
      <c r="L39" s="12">
        <f>IF(OR(D39="",E39=""),"",IF(IFERROR(INDEX(Stats!$D:$D,MATCH($C39,Stats!$A:$A,0)),FALSE),ROUND(D39+(E39-D39)*(1+G39)*((5-1)/(MaxLevel-1))^(2^F39),0),D39+(E39-D39)*(1+G39)*((5-1)/(MaxLevel-1))^(2^F39)))</f>
        <v>0.21111111111111111</v>
      </c>
      <c r="M39" s="12">
        <f>IF(OR(D39="",E39=""),"",IF(IFERROR(INDEX(Stats!$D:$D,MATCH($C39,Stats!$A:$A,0)),FALSE),ROUND(D39+(E39-D39)*(1+G39)*((6-1)/(MaxLevel-1))^(2^F39),0),D39+(E39-D39)*(1+G39)*((6-1)/(MaxLevel-1))^(2^F39)))</f>
        <v>0.18888888888888888</v>
      </c>
      <c r="N39" s="12">
        <f>IF(OR(D39="",E39=""),"",IF(IFERROR(INDEX(Stats!$D:$D,MATCH($C39,Stats!$A:$A,0)),FALSE),ROUND(D39+(E39-D39)*(1+G39)*((7-1)/(MaxLevel-1))^(2^F39),0),D39+(E39-D39)*(1+G39)*((7-1)/(MaxLevel-1))^(2^F39)))</f>
        <v>0.16666666666666669</v>
      </c>
      <c r="O39" s="12">
        <f>IF(OR(D39="",E39=""),"",IF(IFERROR(INDEX(Stats!$D:$D,MATCH($C39,Stats!$A:$A,0)),FALSE),ROUND(D39+(E39-D39)*(1+G39)*((8-1)/(MaxLevel-1))^(2^F39),0),D39+(E39-D39)*(1+G39)*((8-1)/(MaxLevel-1))^(2^F39)))</f>
        <v>0.14444444444444443</v>
      </c>
      <c r="P39" s="12">
        <f>IF(OR(D39="",E39=""),"",IF(IFERROR(INDEX(Stats!$D:$D,MATCH($C39,Stats!$A:$A,0)),FALSE),ROUND(D39+(E39-D39)*(1+G39)*((9-1)/(MaxLevel-1))^(2^F39),0),D39+(E39-D39)*(1+G39)*((9-1)/(MaxLevel-1))^(2^F39)))</f>
        <v>0.12222222222222223</v>
      </c>
      <c r="Q39" s="12">
        <f>IF(OR(D39="",E39=""),"",IF(IFERROR(INDEX(Stats!$D:$D,MATCH($C39,Stats!$A:$A,0)),FALSE),ROUND(D39+(E39-D39)*(1+G39)*((10-1)/(MaxLevel-1))^(2^F39),0),D39+(E39-D39)*(1+G39)*((10-1)/(MaxLevel-1))^(2^F39)))</f>
        <v>0.1</v>
      </c>
    </row>
    <row r="40" spans="1:17" x14ac:dyDescent="0.25">
      <c r="A40" s="4" t="s">
        <v>185</v>
      </c>
      <c r="B40" s="19" t="s">
        <v>219</v>
      </c>
      <c r="C40" s="4" t="s">
        <v>24</v>
      </c>
      <c r="D40" s="5">
        <v>0</v>
      </c>
      <c r="E40" s="5">
        <v>20000</v>
      </c>
      <c r="F40" s="5">
        <v>1</v>
      </c>
      <c r="G40" s="5">
        <v>0</v>
      </c>
      <c r="H40" s="12">
        <f>IF(OR(D40="",E40=""),"",IF(IFERROR(INDEX(Stats!$D:$D,MATCH($C40,Stats!$A:$A,0)),FALSE),ROUND(D40+(E40-D40)*(1+G40)*((1-1)/(MaxLevel-1))^(2^F40),0),D40+(E40-D40)*(1+G40)*((1-1)/(MaxLevel-1))^(2^F40)))</f>
        <v>0</v>
      </c>
      <c r="I40" s="12">
        <f>IF(OR(D40="",E40=""),"",IF(IFERROR(INDEX(Stats!$D:$D,MATCH($C40,Stats!$A:$A,0)),FALSE),ROUND(D40+(E40-D40)*(1+G40)*((2-1)/(MaxLevel-1))^(2^F40),0),D40+(E40-D40)*(1+G40)*((2-1)/(MaxLevel-1))^(2^F40)))</f>
        <v>247</v>
      </c>
      <c r="J40" s="12">
        <f>IF(OR(D40="",E40=""),"",IF(IFERROR(INDEX(Stats!$D:$D,MATCH($C40,Stats!$A:$A,0)),FALSE),ROUND(D40+(E40-D40)*(1+G40)*((3-1)/(MaxLevel-1))^(2^F40),0),D40+(E40-D40)*(1+G40)*((3-1)/(MaxLevel-1))^(2^F40)))</f>
        <v>988</v>
      </c>
      <c r="K40" s="12">
        <f>IF(OR(D40="",E40=""),"",IF(IFERROR(INDEX(Stats!$D:$D,MATCH($C40,Stats!$A:$A,0)),FALSE),ROUND(D40+(E40-D40)*(1+G40)*((4-1)/(MaxLevel-1))^(2^F40),0),D40+(E40-D40)*(1+G40)*((4-1)/(MaxLevel-1))^(2^F40)))</f>
        <v>2222</v>
      </c>
      <c r="L40" s="12">
        <f>IF(OR(D40="",E40=""),"",IF(IFERROR(INDEX(Stats!$D:$D,MATCH($C40,Stats!$A:$A,0)),FALSE),ROUND(D40+(E40-D40)*(1+G40)*((5-1)/(MaxLevel-1))^(2^F40),0),D40+(E40-D40)*(1+G40)*((5-1)/(MaxLevel-1))^(2^F40)))</f>
        <v>3951</v>
      </c>
      <c r="M40" s="12">
        <f>IF(OR(D40="",E40=""),"",IF(IFERROR(INDEX(Stats!$D:$D,MATCH($C40,Stats!$A:$A,0)),FALSE),ROUND(D40+(E40-D40)*(1+G40)*((6-1)/(MaxLevel-1))^(2^F40),0),D40+(E40-D40)*(1+G40)*((6-1)/(MaxLevel-1))^(2^F40)))</f>
        <v>6173</v>
      </c>
      <c r="N40" s="12">
        <f>IF(OR(D40="",E40=""),"",IF(IFERROR(INDEX(Stats!$D:$D,MATCH($C40,Stats!$A:$A,0)),FALSE),ROUND(D40+(E40-D40)*(1+G40)*((7-1)/(MaxLevel-1))^(2^F40),0),D40+(E40-D40)*(1+G40)*((7-1)/(MaxLevel-1))^(2^F40)))</f>
        <v>8889</v>
      </c>
      <c r="O40" s="12">
        <f>IF(OR(D40="",E40=""),"",IF(IFERROR(INDEX(Stats!$D:$D,MATCH($C40,Stats!$A:$A,0)),FALSE),ROUND(D40+(E40-D40)*(1+G40)*((8-1)/(MaxLevel-1))^(2^F40),0),D40+(E40-D40)*(1+G40)*((8-1)/(MaxLevel-1))^(2^F40)))</f>
        <v>12099</v>
      </c>
      <c r="P40" s="12">
        <f>IF(OR(D40="",E40=""),"",IF(IFERROR(INDEX(Stats!$D:$D,MATCH($C40,Stats!$A:$A,0)),FALSE),ROUND(D40+(E40-D40)*(1+G40)*((9-1)/(MaxLevel-1))^(2^F40),0),D40+(E40-D40)*(1+G40)*((9-1)/(MaxLevel-1))^(2^F40)))</f>
        <v>15802</v>
      </c>
      <c r="Q40" s="12">
        <f>IF(OR(D40="",E40=""),"",IF(IFERROR(INDEX(Stats!$D:$D,MATCH($C40,Stats!$A:$A,0)),FALSE),ROUND(D40+(E40-D40)*(1+G40)*((10-1)/(MaxLevel-1))^(2^F40),0),D40+(E40-D40)*(1+G40)*((10-1)/(MaxLevel-1))^(2^F40)))</f>
        <v>20000</v>
      </c>
    </row>
    <row r="41" spans="1:17" x14ac:dyDescent="0.25">
      <c r="A41" s="4" t="s">
        <v>185</v>
      </c>
      <c r="B41" s="19" t="s">
        <v>219</v>
      </c>
      <c r="C41" s="4" t="s">
        <v>26</v>
      </c>
      <c r="D41" s="5">
        <v>50</v>
      </c>
      <c r="E41" s="5">
        <v>300</v>
      </c>
      <c r="F41" s="5">
        <v>0</v>
      </c>
      <c r="G41" s="5">
        <v>0</v>
      </c>
      <c r="H41" s="12">
        <f>IF(OR(D41="",E41=""),"",IF(IFERROR(INDEX(Stats!$D:$D,MATCH($C41,Stats!$A:$A,0)),FALSE),ROUND(D41+(E41-D41)*(1+G41)*((1-1)/(MaxLevel-1))^(2^F41),0),D41+(E41-D41)*(1+G41)*((1-1)/(MaxLevel-1))^(2^F41)))</f>
        <v>50</v>
      </c>
      <c r="I41" s="12">
        <f>IF(OR(D41="",E41=""),"",IF(IFERROR(INDEX(Stats!$D:$D,MATCH($C41,Stats!$A:$A,0)),FALSE),ROUND(D41+(E41-D41)*(1+G41)*((2-1)/(MaxLevel-1))^(2^F41),0),D41+(E41-D41)*(1+G41)*((2-1)/(MaxLevel-1))^(2^F41)))</f>
        <v>78</v>
      </c>
      <c r="J41" s="12">
        <f>IF(OR(D41="",E41=""),"",IF(IFERROR(INDEX(Stats!$D:$D,MATCH($C41,Stats!$A:$A,0)),FALSE),ROUND(D41+(E41-D41)*(1+G41)*((3-1)/(MaxLevel-1))^(2^F41),0),D41+(E41-D41)*(1+G41)*((3-1)/(MaxLevel-1))^(2^F41)))</f>
        <v>106</v>
      </c>
      <c r="K41" s="12">
        <f>IF(OR(D41="",E41=""),"",IF(IFERROR(INDEX(Stats!$D:$D,MATCH($C41,Stats!$A:$A,0)),FALSE),ROUND(D41+(E41-D41)*(1+G41)*((4-1)/(MaxLevel-1))^(2^F41),0),D41+(E41-D41)*(1+G41)*((4-1)/(MaxLevel-1))^(2^F41)))</f>
        <v>133</v>
      </c>
      <c r="L41" s="12">
        <f>IF(OR(D41="",E41=""),"",IF(IFERROR(INDEX(Stats!$D:$D,MATCH($C41,Stats!$A:$A,0)),FALSE),ROUND(D41+(E41-D41)*(1+G41)*((5-1)/(MaxLevel-1))^(2^F41),0),D41+(E41-D41)*(1+G41)*((5-1)/(MaxLevel-1))^(2^F41)))</f>
        <v>161</v>
      </c>
      <c r="M41" s="12">
        <f>IF(OR(D41="",E41=""),"",IF(IFERROR(INDEX(Stats!$D:$D,MATCH($C41,Stats!$A:$A,0)),FALSE),ROUND(D41+(E41-D41)*(1+G41)*((6-1)/(MaxLevel-1))^(2^F41),0),D41+(E41-D41)*(1+G41)*((6-1)/(MaxLevel-1))^(2^F41)))</f>
        <v>189</v>
      </c>
      <c r="N41" s="12">
        <f>IF(OR(D41="",E41=""),"",IF(IFERROR(INDEX(Stats!$D:$D,MATCH($C41,Stats!$A:$A,0)),FALSE),ROUND(D41+(E41-D41)*(1+G41)*((7-1)/(MaxLevel-1))^(2^F41),0),D41+(E41-D41)*(1+G41)*((7-1)/(MaxLevel-1))^(2^F41)))</f>
        <v>217</v>
      </c>
      <c r="O41" s="12">
        <f>IF(OR(D41="",E41=""),"",IF(IFERROR(INDEX(Stats!$D:$D,MATCH($C41,Stats!$A:$A,0)),FALSE),ROUND(D41+(E41-D41)*(1+G41)*((8-1)/(MaxLevel-1))^(2^F41),0),D41+(E41-D41)*(1+G41)*((8-1)/(MaxLevel-1))^(2^F41)))</f>
        <v>244</v>
      </c>
      <c r="P41" s="12">
        <f>IF(OR(D41="",E41=""),"",IF(IFERROR(INDEX(Stats!$D:$D,MATCH($C41,Stats!$A:$A,0)),FALSE),ROUND(D41+(E41-D41)*(1+G41)*((9-1)/(MaxLevel-1))^(2^F41),0),D41+(E41-D41)*(1+G41)*((9-1)/(MaxLevel-1))^(2^F41)))</f>
        <v>272</v>
      </c>
      <c r="Q41" s="12">
        <f>IF(OR(D41="",E41=""),"",IF(IFERROR(INDEX(Stats!$D:$D,MATCH($C41,Stats!$A:$A,0)),FALSE),ROUND(D41+(E41-D41)*(1+G41)*((10-1)/(MaxLevel-1))^(2^F41),0),D41+(E41-D41)*(1+G41)*((10-1)/(MaxLevel-1))^(2^F41)))</f>
        <v>300</v>
      </c>
    </row>
    <row r="42" spans="1:17" x14ac:dyDescent="0.25">
      <c r="A42" s="4" t="s">
        <v>185</v>
      </c>
      <c r="B42" s="19" t="s">
        <v>219</v>
      </c>
      <c r="C42" s="4" t="s">
        <v>28</v>
      </c>
      <c r="D42" s="5">
        <v>400</v>
      </c>
      <c r="E42" s="5">
        <v>1600</v>
      </c>
      <c r="F42" s="5">
        <v>0</v>
      </c>
      <c r="G42" s="5">
        <v>0</v>
      </c>
      <c r="H42" s="12">
        <f>IF(OR(D42="",E42=""),"",IF(IFERROR(INDEX(Stats!$D:$D,MATCH($C42,Stats!$A:$A,0)),FALSE),ROUND(D42+(E42-D42)*(1+G42)*((1-1)/(MaxLevel-1))^(2^F42),0),D42+(E42-D42)*(1+G42)*((1-1)/(MaxLevel-1))^(2^F42)))</f>
        <v>400</v>
      </c>
      <c r="I42" s="12">
        <f>IF(OR(D42="",E42=""),"",IF(IFERROR(INDEX(Stats!$D:$D,MATCH($C42,Stats!$A:$A,0)),FALSE),ROUND(D42+(E42-D42)*(1+G42)*((2-1)/(MaxLevel-1))^(2^F42),0),D42+(E42-D42)*(1+G42)*((2-1)/(MaxLevel-1))^(2^F42)))</f>
        <v>533</v>
      </c>
      <c r="J42" s="12">
        <f>IF(OR(D42="",E42=""),"",IF(IFERROR(INDEX(Stats!$D:$D,MATCH($C42,Stats!$A:$A,0)),FALSE),ROUND(D42+(E42-D42)*(1+G42)*((3-1)/(MaxLevel-1))^(2^F42),0),D42+(E42-D42)*(1+G42)*((3-1)/(MaxLevel-1))^(2^F42)))</f>
        <v>667</v>
      </c>
      <c r="K42" s="12">
        <f>IF(OR(D42="",E42=""),"",IF(IFERROR(INDEX(Stats!$D:$D,MATCH($C42,Stats!$A:$A,0)),FALSE),ROUND(D42+(E42-D42)*(1+G42)*((4-1)/(MaxLevel-1))^(2^F42),0),D42+(E42-D42)*(1+G42)*((4-1)/(MaxLevel-1))^(2^F42)))</f>
        <v>800</v>
      </c>
      <c r="L42" s="12">
        <f>IF(OR(D42="",E42=""),"",IF(IFERROR(INDEX(Stats!$D:$D,MATCH($C42,Stats!$A:$A,0)),FALSE),ROUND(D42+(E42-D42)*(1+G42)*((5-1)/(MaxLevel-1))^(2^F42),0),D42+(E42-D42)*(1+G42)*((5-1)/(MaxLevel-1))^(2^F42)))</f>
        <v>933</v>
      </c>
      <c r="M42" s="12">
        <f>IF(OR(D42="",E42=""),"",IF(IFERROR(INDEX(Stats!$D:$D,MATCH($C42,Stats!$A:$A,0)),FALSE),ROUND(D42+(E42-D42)*(1+G42)*((6-1)/(MaxLevel-1))^(2^F42),0),D42+(E42-D42)*(1+G42)*((6-1)/(MaxLevel-1))^(2^F42)))</f>
        <v>1067</v>
      </c>
      <c r="N42" s="12">
        <f>IF(OR(D42="",E42=""),"",IF(IFERROR(INDEX(Stats!$D:$D,MATCH($C42,Stats!$A:$A,0)),FALSE),ROUND(D42+(E42-D42)*(1+G42)*((7-1)/(MaxLevel-1))^(2^F42),0),D42+(E42-D42)*(1+G42)*((7-1)/(MaxLevel-1))^(2^F42)))</f>
        <v>1200</v>
      </c>
      <c r="O42" s="12">
        <f>IF(OR(D42="",E42=""),"",IF(IFERROR(INDEX(Stats!$D:$D,MATCH($C42,Stats!$A:$A,0)),FALSE),ROUND(D42+(E42-D42)*(1+G42)*((8-1)/(MaxLevel-1))^(2^F42),0),D42+(E42-D42)*(1+G42)*((8-1)/(MaxLevel-1))^(2^F42)))</f>
        <v>1333</v>
      </c>
      <c r="P42" s="12">
        <f>IF(OR(D42="",E42=""),"",IF(IFERROR(INDEX(Stats!$D:$D,MATCH($C42,Stats!$A:$A,0)),FALSE),ROUND(D42+(E42-D42)*(1+G42)*((9-1)/(MaxLevel-1))^(2^F42),0),D42+(E42-D42)*(1+G42)*((9-1)/(MaxLevel-1))^(2^F42)))</f>
        <v>1467</v>
      </c>
      <c r="Q42" s="12">
        <f>IF(OR(D42="",E42=""),"",IF(IFERROR(INDEX(Stats!$D:$D,MATCH($C42,Stats!$A:$A,0)),FALSE),ROUND(D42+(E42-D42)*(1+G42)*((10-1)/(MaxLevel-1))^(2^F42),0),D42+(E42-D42)*(1+G42)*((10-1)/(MaxLevel-1))^(2^F42)))</f>
        <v>1600</v>
      </c>
    </row>
    <row r="43" spans="1:17" x14ac:dyDescent="0.25">
      <c r="A43" s="4" t="s">
        <v>185</v>
      </c>
      <c r="B43" s="19" t="s">
        <v>219</v>
      </c>
      <c r="C43" s="4" t="s">
        <v>30</v>
      </c>
      <c r="D43" s="5">
        <v>30</v>
      </c>
      <c r="E43" s="5">
        <v>120</v>
      </c>
      <c r="F43" s="5">
        <v>0</v>
      </c>
      <c r="G43" s="5">
        <v>0</v>
      </c>
      <c r="H43" s="12">
        <f>IF(OR(D43="",E43=""),"",IF(IFERROR(INDEX(Stats!$D:$D,MATCH($C43,Stats!$A:$A,0)),FALSE),ROUND(D43+(E43-D43)*(1+G43)*((1-1)/(MaxLevel-1))^(2^F43),0),D43+(E43-D43)*(1+G43)*((1-1)/(MaxLevel-1))^(2^F43)))</f>
        <v>30</v>
      </c>
      <c r="I43" s="12">
        <f>IF(OR(D43="",E43=""),"",IF(IFERROR(INDEX(Stats!$D:$D,MATCH($C43,Stats!$A:$A,0)),FALSE),ROUND(D43+(E43-D43)*(1+G43)*((2-1)/(MaxLevel-1))^(2^F43),0),D43+(E43-D43)*(1+G43)*((2-1)/(MaxLevel-1))^(2^F43)))</f>
        <v>40</v>
      </c>
      <c r="J43" s="12">
        <f>IF(OR(D43="",E43=""),"",IF(IFERROR(INDEX(Stats!$D:$D,MATCH($C43,Stats!$A:$A,0)),FALSE),ROUND(D43+(E43-D43)*(1+G43)*((3-1)/(MaxLevel-1))^(2^F43),0),D43+(E43-D43)*(1+G43)*((3-1)/(MaxLevel-1))^(2^F43)))</f>
        <v>50</v>
      </c>
      <c r="K43" s="12">
        <f>IF(OR(D43="",E43=""),"",IF(IFERROR(INDEX(Stats!$D:$D,MATCH($C43,Stats!$A:$A,0)),FALSE),ROUND(D43+(E43-D43)*(1+G43)*((4-1)/(MaxLevel-1))^(2^F43),0),D43+(E43-D43)*(1+G43)*((4-1)/(MaxLevel-1))^(2^F43)))</f>
        <v>60</v>
      </c>
      <c r="L43" s="12">
        <f>IF(OR(D43="",E43=""),"",IF(IFERROR(INDEX(Stats!$D:$D,MATCH($C43,Stats!$A:$A,0)),FALSE),ROUND(D43+(E43-D43)*(1+G43)*((5-1)/(MaxLevel-1))^(2^F43),0),D43+(E43-D43)*(1+G43)*((5-1)/(MaxLevel-1))^(2^F43)))</f>
        <v>70</v>
      </c>
      <c r="M43" s="12">
        <f>IF(OR(D43="",E43=""),"",IF(IFERROR(INDEX(Stats!$D:$D,MATCH($C43,Stats!$A:$A,0)),FALSE),ROUND(D43+(E43-D43)*(1+G43)*((6-1)/(MaxLevel-1))^(2^F43),0),D43+(E43-D43)*(1+G43)*((6-1)/(MaxLevel-1))^(2^F43)))</f>
        <v>80</v>
      </c>
      <c r="N43" s="12">
        <f>IF(OR(D43="",E43=""),"",IF(IFERROR(INDEX(Stats!$D:$D,MATCH($C43,Stats!$A:$A,0)),FALSE),ROUND(D43+(E43-D43)*(1+G43)*((7-1)/(MaxLevel-1))^(2^F43),0),D43+(E43-D43)*(1+G43)*((7-1)/(MaxLevel-1))^(2^F43)))</f>
        <v>90</v>
      </c>
      <c r="O43" s="12">
        <f>IF(OR(D43="",E43=""),"",IF(IFERROR(INDEX(Stats!$D:$D,MATCH($C43,Stats!$A:$A,0)),FALSE),ROUND(D43+(E43-D43)*(1+G43)*((8-1)/(MaxLevel-1))^(2^F43),0),D43+(E43-D43)*(1+G43)*((8-1)/(MaxLevel-1))^(2^F43)))</f>
        <v>100</v>
      </c>
      <c r="P43" s="12">
        <f>IF(OR(D43="",E43=""),"",IF(IFERROR(INDEX(Stats!$D:$D,MATCH($C43,Stats!$A:$A,0)),FALSE),ROUND(D43+(E43-D43)*(1+G43)*((9-1)/(MaxLevel-1))^(2^F43),0),D43+(E43-D43)*(1+G43)*((9-1)/(MaxLevel-1))^(2^F43)))</f>
        <v>110</v>
      </c>
      <c r="Q43" s="12">
        <f>IF(OR(D43="",E43=""),"",IF(IFERROR(INDEX(Stats!$D:$D,MATCH($C43,Stats!$A:$A,0)),FALSE),ROUND(D43+(E43-D43)*(1+G43)*((10-1)/(MaxLevel-1))^(2^F43),0),D43+(E43-D43)*(1+G43)*((10-1)/(MaxLevel-1))^(2^F43)))</f>
        <v>120</v>
      </c>
    </row>
    <row r="44" spans="1:17" x14ac:dyDescent="0.25">
      <c r="A44" s="4" t="s">
        <v>185</v>
      </c>
      <c r="B44" s="19" t="s">
        <v>219</v>
      </c>
      <c r="C44" s="4" t="s">
        <v>32</v>
      </c>
      <c r="D44" s="5">
        <v>0.7</v>
      </c>
      <c r="E44" s="5">
        <v>0.95</v>
      </c>
      <c r="F44" s="5">
        <v>-1</v>
      </c>
      <c r="G44" s="5">
        <v>0</v>
      </c>
      <c r="H44" s="12">
        <f>IF(OR(D44="",E44=""),"",IF(IFERROR(INDEX(Stats!$D:$D,MATCH($C44,Stats!$A:$A,0)),FALSE),ROUND(D44+(E44-D44)*(1+G44)*((1-1)/(MaxLevel-1))^(2^F44),0),D44+(E44-D44)*(1+G44)*((1-1)/(MaxLevel-1))^(2^F44)))</f>
        <v>0.7</v>
      </c>
      <c r="I44" s="12">
        <f>IF(OR(D44="",E44=""),"",IF(IFERROR(INDEX(Stats!$D:$D,MATCH($C44,Stats!$A:$A,0)),FALSE),ROUND(D44+(E44-D44)*(1+G44)*((2-1)/(MaxLevel-1))^(2^F44),0),D44+(E44-D44)*(1+G44)*((2-1)/(MaxLevel-1))^(2^F44)))</f>
        <v>0.78333333333333333</v>
      </c>
      <c r="J44" s="12">
        <f>IF(OR(D44="",E44=""),"",IF(IFERROR(INDEX(Stats!$D:$D,MATCH($C44,Stats!$A:$A,0)),FALSE),ROUND(D44+(E44-D44)*(1+G44)*((3-1)/(MaxLevel-1))^(2^F44),0),D44+(E44-D44)*(1+G44)*((3-1)/(MaxLevel-1))^(2^F44)))</f>
        <v>0.8178511301977579</v>
      </c>
      <c r="K44" s="12">
        <f>IF(OR(D44="",E44=""),"",IF(IFERROR(INDEX(Stats!$D:$D,MATCH($C44,Stats!$A:$A,0)),FALSE),ROUND(D44+(E44-D44)*(1+G44)*((4-1)/(MaxLevel-1))^(2^F44),0),D44+(E44-D44)*(1+G44)*((4-1)/(MaxLevel-1))^(2^F44)))</f>
        <v>0.84433756729740639</v>
      </c>
      <c r="L44" s="12">
        <f>IF(OR(D44="",E44=""),"",IF(IFERROR(INDEX(Stats!$D:$D,MATCH($C44,Stats!$A:$A,0)),FALSE),ROUND(D44+(E44-D44)*(1+G44)*((5-1)/(MaxLevel-1))^(2^F44),0),D44+(E44-D44)*(1+G44)*((5-1)/(MaxLevel-1))^(2^F44)))</f>
        <v>0.86666666666666659</v>
      </c>
      <c r="M44" s="12">
        <f>IF(OR(D44="",E44=""),"",IF(IFERROR(INDEX(Stats!$D:$D,MATCH($C44,Stats!$A:$A,0)),FALSE),ROUND(D44+(E44-D44)*(1+G44)*((6-1)/(MaxLevel-1))^(2^F44),0),D44+(E44-D44)*(1+G44)*((6-1)/(MaxLevel-1))^(2^F44)))</f>
        <v>0.8863389981249824</v>
      </c>
      <c r="N44" s="12">
        <f>IF(OR(D44="",E44=""),"",IF(IFERROR(INDEX(Stats!$D:$D,MATCH($C44,Stats!$A:$A,0)),FALSE),ROUND(D44+(E44-D44)*(1+G44)*((7-1)/(MaxLevel-1))^(2^F44),0),D44+(E44-D44)*(1+G44)*((7-1)/(MaxLevel-1))^(2^F44)))</f>
        <v>0.90412414523193152</v>
      </c>
      <c r="O44" s="12">
        <f>IF(OR(D44="",E44=""),"",IF(IFERROR(INDEX(Stats!$D:$D,MATCH($C44,Stats!$A:$A,0)),FALSE),ROUND(D44+(E44-D44)*(1+G44)*((8-1)/(MaxLevel-1))^(2^F44),0),D44+(E44-D44)*(1+G44)*((8-1)/(MaxLevel-1))^(2^F44)))</f>
        <v>0.92047927592204914</v>
      </c>
      <c r="P44" s="12">
        <f>IF(OR(D44="",E44=""),"",IF(IFERROR(INDEX(Stats!$D:$D,MATCH($C44,Stats!$A:$A,0)),FALSE),ROUND(D44+(E44-D44)*(1+G44)*((9-1)/(MaxLevel-1))^(2^F44),0),D44+(E44-D44)*(1+G44)*((9-1)/(MaxLevel-1))^(2^F44)))</f>
        <v>0.93570226039551585</v>
      </c>
      <c r="Q44" s="12">
        <f>IF(OR(D44="",E44=""),"",IF(IFERROR(INDEX(Stats!$D:$D,MATCH($C44,Stats!$A:$A,0)),FALSE),ROUND(D44+(E44-D44)*(1+G44)*((10-1)/(MaxLevel-1))^(2^F44),0),D44+(E44-D44)*(1+G44)*((10-1)/(MaxLevel-1))^(2^F44)))</f>
        <v>0.95</v>
      </c>
    </row>
    <row r="45" spans="1:17" x14ac:dyDescent="0.25">
      <c r="A45" s="4" t="s">
        <v>185</v>
      </c>
      <c r="B45" s="19" t="s">
        <v>219</v>
      </c>
      <c r="C45" s="4" t="s">
        <v>34</v>
      </c>
      <c r="D45" s="5">
        <v>0.1</v>
      </c>
      <c r="E45" s="5">
        <v>0.3</v>
      </c>
      <c r="F45" s="5">
        <v>0</v>
      </c>
      <c r="G45" s="5">
        <v>0</v>
      </c>
      <c r="H45" s="12">
        <f>IF(OR(D45="",E45=""),"",IF(IFERROR(INDEX(Stats!$D:$D,MATCH($C45,Stats!$A:$A,0)),FALSE),ROUND(D45+(E45-D45)*(1+G45)*((1-1)/(MaxLevel-1))^(2^F45),0),D45+(E45-D45)*(1+G45)*((1-1)/(MaxLevel-1))^(2^F45)))</f>
        <v>0.1</v>
      </c>
      <c r="I45" s="12">
        <f>IF(OR(D45="",E45=""),"",IF(IFERROR(INDEX(Stats!$D:$D,MATCH($C45,Stats!$A:$A,0)),FALSE),ROUND(D45+(E45-D45)*(1+G45)*((2-1)/(MaxLevel-1))^(2^F45),0),D45+(E45-D45)*(1+G45)*((2-1)/(MaxLevel-1))^(2^F45)))</f>
        <v>0.12222222222222223</v>
      </c>
      <c r="J45" s="12">
        <f>IF(OR(D45="",E45=""),"",IF(IFERROR(INDEX(Stats!$D:$D,MATCH($C45,Stats!$A:$A,0)),FALSE),ROUND(D45+(E45-D45)*(1+G45)*((3-1)/(MaxLevel-1))^(2^F45),0),D45+(E45-D45)*(1+G45)*((3-1)/(MaxLevel-1))^(2^F45)))</f>
        <v>0.14444444444444443</v>
      </c>
      <c r="K45" s="12">
        <f>IF(OR(D45="",E45=""),"",IF(IFERROR(INDEX(Stats!$D:$D,MATCH($C45,Stats!$A:$A,0)),FALSE),ROUND(D45+(E45-D45)*(1+G45)*((4-1)/(MaxLevel-1))^(2^F45),0),D45+(E45-D45)*(1+G45)*((4-1)/(MaxLevel-1))^(2^F45)))</f>
        <v>0.16666666666666666</v>
      </c>
      <c r="L45" s="12">
        <f>IF(OR(D45="",E45=""),"",IF(IFERROR(INDEX(Stats!$D:$D,MATCH($C45,Stats!$A:$A,0)),FALSE),ROUND(D45+(E45-D45)*(1+G45)*((5-1)/(MaxLevel-1))^(2^F45),0),D45+(E45-D45)*(1+G45)*((5-1)/(MaxLevel-1))^(2^F45)))</f>
        <v>0.18888888888888888</v>
      </c>
      <c r="M45" s="12">
        <f>IF(OR(D45="",E45=""),"",IF(IFERROR(INDEX(Stats!$D:$D,MATCH($C45,Stats!$A:$A,0)),FALSE),ROUND(D45+(E45-D45)*(1+G45)*((6-1)/(MaxLevel-1))^(2^F45),0),D45+(E45-D45)*(1+G45)*((6-1)/(MaxLevel-1))^(2^F45)))</f>
        <v>0.21111111111111111</v>
      </c>
      <c r="N45" s="12">
        <f>IF(OR(D45="",E45=""),"",IF(IFERROR(INDEX(Stats!$D:$D,MATCH($C45,Stats!$A:$A,0)),FALSE),ROUND(D45+(E45-D45)*(1+G45)*((7-1)/(MaxLevel-1))^(2^F45),0),D45+(E45-D45)*(1+G45)*((7-1)/(MaxLevel-1))^(2^F45)))</f>
        <v>0.23333333333333331</v>
      </c>
      <c r="O45" s="12">
        <f>IF(OR(D45="",E45=""),"",IF(IFERROR(INDEX(Stats!$D:$D,MATCH($C45,Stats!$A:$A,0)),FALSE),ROUND(D45+(E45-D45)*(1+G45)*((8-1)/(MaxLevel-1))^(2^F45),0),D45+(E45-D45)*(1+G45)*((8-1)/(MaxLevel-1))^(2^F45)))</f>
        <v>0.25555555555555554</v>
      </c>
      <c r="P45" s="12">
        <f>IF(OR(D45="",E45=""),"",IF(IFERROR(INDEX(Stats!$D:$D,MATCH($C45,Stats!$A:$A,0)),FALSE),ROUND(D45+(E45-D45)*(1+G45)*((9-1)/(MaxLevel-1))^(2^F45),0),D45+(E45-D45)*(1+G45)*((9-1)/(MaxLevel-1))^(2^F45)))</f>
        <v>0.27777777777777779</v>
      </c>
      <c r="Q45" s="12">
        <f>IF(OR(D45="",E45=""),"",IF(IFERROR(INDEX(Stats!$D:$D,MATCH($C45,Stats!$A:$A,0)),FALSE),ROUND(D45+(E45-D45)*(1+G45)*((10-1)/(MaxLevel-1))^(2^F45),0),D45+(E45-D45)*(1+G45)*((10-1)/(MaxLevel-1))^(2^F45)))</f>
        <v>0.3</v>
      </c>
    </row>
    <row r="46" spans="1:17" x14ac:dyDescent="0.25">
      <c r="A46" s="4" t="s">
        <v>185</v>
      </c>
      <c r="B46" s="19" t="s">
        <v>219</v>
      </c>
      <c r="C46" s="4" t="s">
        <v>36</v>
      </c>
      <c r="D46" s="5"/>
      <c r="E46" s="5"/>
      <c r="F46" s="5"/>
      <c r="G46" s="5"/>
      <c r="H46" s="12" t="str">
        <f>IF(OR(D46="",E46=""),"",IF(IFERROR(INDEX(Stats!$D:$D,MATCH($C46,Stats!$A:$A,0)),FALSE),ROUND(D46+(E46-D46)*(1+G46)*((1-1)/(MaxLevel-1))^(2^F46),0),D46+(E46-D46)*(1+G46)*((1-1)/(MaxLevel-1))^(2^F46)))</f>
        <v/>
      </c>
      <c r="I46" s="12" t="str">
        <f>IF(OR(D46="",E46=""),"",IF(IFERROR(INDEX(Stats!$D:$D,MATCH($C46,Stats!$A:$A,0)),FALSE),ROUND(D46+(E46-D46)*(1+G46)*((2-1)/(MaxLevel-1))^(2^F46),0),D46+(E46-D46)*(1+G46)*((2-1)/(MaxLevel-1))^(2^F46)))</f>
        <v/>
      </c>
      <c r="J46" s="12" t="str">
        <f>IF(OR(D46="",E46=""),"",IF(IFERROR(INDEX(Stats!$D:$D,MATCH($C46,Stats!$A:$A,0)),FALSE),ROUND(D46+(E46-D46)*(1+G46)*((3-1)/(MaxLevel-1))^(2^F46),0),D46+(E46-D46)*(1+G46)*((3-1)/(MaxLevel-1))^(2^F46)))</f>
        <v/>
      </c>
      <c r="K46" s="12" t="str">
        <f>IF(OR(D46="",E46=""),"",IF(IFERROR(INDEX(Stats!$D:$D,MATCH($C46,Stats!$A:$A,0)),FALSE),ROUND(D46+(E46-D46)*(1+G46)*((4-1)/(MaxLevel-1))^(2^F46),0),D46+(E46-D46)*(1+G46)*((4-1)/(MaxLevel-1))^(2^F46)))</f>
        <v/>
      </c>
      <c r="L46" s="12" t="str">
        <f>IF(OR(D46="",E46=""),"",IF(IFERROR(INDEX(Stats!$D:$D,MATCH($C46,Stats!$A:$A,0)),FALSE),ROUND(D46+(E46-D46)*(1+G46)*((5-1)/(MaxLevel-1))^(2^F46),0),D46+(E46-D46)*(1+G46)*((5-1)/(MaxLevel-1))^(2^F46)))</f>
        <v/>
      </c>
      <c r="M46" s="12" t="str">
        <f>IF(OR(D46="",E46=""),"",IF(IFERROR(INDEX(Stats!$D:$D,MATCH($C46,Stats!$A:$A,0)),FALSE),ROUND(D46+(E46-D46)*(1+G46)*((6-1)/(MaxLevel-1))^(2^F46),0),D46+(E46-D46)*(1+G46)*((6-1)/(MaxLevel-1))^(2^F46)))</f>
        <v/>
      </c>
      <c r="N46" s="12" t="str">
        <f>IF(OR(D46="",E46=""),"",IF(IFERROR(INDEX(Stats!$D:$D,MATCH($C46,Stats!$A:$A,0)),FALSE),ROUND(D46+(E46-D46)*(1+G46)*((7-1)/(MaxLevel-1))^(2^F46),0),D46+(E46-D46)*(1+G46)*((7-1)/(MaxLevel-1))^(2^F46)))</f>
        <v/>
      </c>
      <c r="O46" s="12" t="str">
        <f>IF(OR(D46="",E46=""),"",IF(IFERROR(INDEX(Stats!$D:$D,MATCH($C46,Stats!$A:$A,0)),FALSE),ROUND(D46+(E46-D46)*(1+G46)*((8-1)/(MaxLevel-1))^(2^F46),0),D46+(E46-D46)*(1+G46)*((8-1)/(MaxLevel-1))^(2^F46)))</f>
        <v/>
      </c>
      <c r="P46" s="12" t="str">
        <f>IF(OR(D46="",E46=""),"",IF(IFERROR(INDEX(Stats!$D:$D,MATCH($C46,Stats!$A:$A,0)),FALSE),ROUND(D46+(E46-D46)*(1+G46)*((9-1)/(MaxLevel-1))^(2^F46),0),D46+(E46-D46)*(1+G46)*((9-1)/(MaxLevel-1))^(2^F46)))</f>
        <v/>
      </c>
      <c r="Q46" s="12" t="str">
        <f>IF(OR(D46="",E46=""),"",IF(IFERROR(INDEX(Stats!$D:$D,MATCH($C46,Stats!$A:$A,0)),FALSE),ROUND(D46+(E46-D46)*(1+G46)*((10-1)/(MaxLevel-1))^(2^F46),0),D46+(E46-D46)*(1+G46)*((10-1)/(MaxLevel-1))^(2^F46)))</f>
        <v/>
      </c>
    </row>
    <row r="47" spans="1:17" x14ac:dyDescent="0.25">
      <c r="A47" s="4" t="s">
        <v>185</v>
      </c>
      <c r="B47" s="19" t="s">
        <v>219</v>
      </c>
      <c r="C47" s="4" t="s">
        <v>38</v>
      </c>
      <c r="D47" s="5"/>
      <c r="E47" s="5"/>
      <c r="F47" s="5"/>
      <c r="G47" s="5"/>
      <c r="H47" s="12" t="str">
        <f>IF(OR(D47="",E47=""),"",IF(IFERROR(INDEX(Stats!$D:$D,MATCH($C47,Stats!$A:$A,0)),FALSE),ROUND(D47+(E47-D47)*(1+G47)*((1-1)/(MaxLevel-1))^(2^F47),0),D47+(E47-D47)*(1+G47)*((1-1)/(MaxLevel-1))^(2^F47)))</f>
        <v/>
      </c>
      <c r="I47" s="12" t="str">
        <f>IF(OR(D47="",E47=""),"",IF(IFERROR(INDEX(Stats!$D:$D,MATCH($C47,Stats!$A:$A,0)),FALSE),ROUND(D47+(E47-D47)*(1+G47)*((2-1)/(MaxLevel-1))^(2^F47),0),D47+(E47-D47)*(1+G47)*((2-1)/(MaxLevel-1))^(2^F47)))</f>
        <v/>
      </c>
      <c r="J47" s="12" t="str">
        <f>IF(OR(D47="",E47=""),"",IF(IFERROR(INDEX(Stats!$D:$D,MATCH($C47,Stats!$A:$A,0)),FALSE),ROUND(D47+(E47-D47)*(1+G47)*((3-1)/(MaxLevel-1))^(2^F47),0),D47+(E47-D47)*(1+G47)*((3-1)/(MaxLevel-1))^(2^F47)))</f>
        <v/>
      </c>
      <c r="K47" s="12" t="str">
        <f>IF(OR(D47="",E47=""),"",IF(IFERROR(INDEX(Stats!$D:$D,MATCH($C47,Stats!$A:$A,0)),FALSE),ROUND(D47+(E47-D47)*(1+G47)*((4-1)/(MaxLevel-1))^(2^F47),0),D47+(E47-D47)*(1+G47)*((4-1)/(MaxLevel-1))^(2^F47)))</f>
        <v/>
      </c>
      <c r="L47" s="12" t="str">
        <f>IF(OR(D47="",E47=""),"",IF(IFERROR(INDEX(Stats!$D:$D,MATCH($C47,Stats!$A:$A,0)),FALSE),ROUND(D47+(E47-D47)*(1+G47)*((5-1)/(MaxLevel-1))^(2^F47),0),D47+(E47-D47)*(1+G47)*((5-1)/(MaxLevel-1))^(2^F47)))</f>
        <v/>
      </c>
      <c r="M47" s="12" t="str">
        <f>IF(OR(D47="",E47=""),"",IF(IFERROR(INDEX(Stats!$D:$D,MATCH($C47,Stats!$A:$A,0)),FALSE),ROUND(D47+(E47-D47)*(1+G47)*((6-1)/(MaxLevel-1))^(2^F47),0),D47+(E47-D47)*(1+G47)*((6-1)/(MaxLevel-1))^(2^F47)))</f>
        <v/>
      </c>
      <c r="N47" s="12" t="str">
        <f>IF(OR(D47="",E47=""),"",IF(IFERROR(INDEX(Stats!$D:$D,MATCH($C47,Stats!$A:$A,0)),FALSE),ROUND(D47+(E47-D47)*(1+G47)*((7-1)/(MaxLevel-1))^(2^F47),0),D47+(E47-D47)*(1+G47)*((7-1)/(MaxLevel-1))^(2^F47)))</f>
        <v/>
      </c>
      <c r="O47" s="12" t="str">
        <f>IF(OR(D47="",E47=""),"",IF(IFERROR(INDEX(Stats!$D:$D,MATCH($C47,Stats!$A:$A,0)),FALSE),ROUND(D47+(E47-D47)*(1+G47)*((8-1)/(MaxLevel-1))^(2^F47),0),D47+(E47-D47)*(1+G47)*((8-1)/(MaxLevel-1))^(2^F47)))</f>
        <v/>
      </c>
      <c r="P47" s="12" t="str">
        <f>IF(OR(D47="",E47=""),"",IF(IFERROR(INDEX(Stats!$D:$D,MATCH($C47,Stats!$A:$A,0)),FALSE),ROUND(D47+(E47-D47)*(1+G47)*((9-1)/(MaxLevel-1))^(2^F47),0),D47+(E47-D47)*(1+G47)*((9-1)/(MaxLevel-1))^(2^F47)))</f>
        <v/>
      </c>
      <c r="Q47" s="12" t="str">
        <f>IF(OR(D47="",E47=""),"",IF(IFERROR(INDEX(Stats!$D:$D,MATCH($C47,Stats!$A:$A,0)),FALSE),ROUND(D47+(E47-D47)*(1+G47)*((10-1)/(MaxLevel-1))^(2^F47),0),D47+(E47-D47)*(1+G47)*((10-1)/(MaxLevel-1))^(2^F47)))</f>
        <v/>
      </c>
    </row>
    <row r="48" spans="1:17" x14ac:dyDescent="0.25">
      <c r="A48" s="4" t="s">
        <v>185</v>
      </c>
      <c r="B48" s="19" t="s">
        <v>219</v>
      </c>
      <c r="C48" s="4" t="s">
        <v>40</v>
      </c>
      <c r="D48" s="5"/>
      <c r="E48" s="5"/>
      <c r="F48" s="5"/>
      <c r="G48" s="5"/>
      <c r="H48" s="12" t="str">
        <f>IF(OR(D48="",E48=""),"",IF(IFERROR(INDEX(Stats!$D:$D,MATCH($C48,Stats!$A:$A,0)),FALSE),ROUND(D48+(E48-D48)*(1+G48)*((1-1)/(MaxLevel-1))^(2^F48),0),D48+(E48-D48)*(1+G48)*((1-1)/(MaxLevel-1))^(2^F48)))</f>
        <v/>
      </c>
      <c r="I48" s="12" t="str">
        <f>IF(OR(D48="",E48=""),"",IF(IFERROR(INDEX(Stats!$D:$D,MATCH($C48,Stats!$A:$A,0)),FALSE),ROUND(D48+(E48-D48)*(1+G48)*((2-1)/(MaxLevel-1))^(2^F48),0),D48+(E48-D48)*(1+G48)*((2-1)/(MaxLevel-1))^(2^F48)))</f>
        <v/>
      </c>
      <c r="J48" s="12" t="str">
        <f>IF(OR(D48="",E48=""),"",IF(IFERROR(INDEX(Stats!$D:$D,MATCH($C48,Stats!$A:$A,0)),FALSE),ROUND(D48+(E48-D48)*(1+G48)*((3-1)/(MaxLevel-1))^(2^F48),0),D48+(E48-D48)*(1+G48)*((3-1)/(MaxLevel-1))^(2^F48)))</f>
        <v/>
      </c>
      <c r="K48" s="12" t="str">
        <f>IF(OR(D48="",E48=""),"",IF(IFERROR(INDEX(Stats!$D:$D,MATCH($C48,Stats!$A:$A,0)),FALSE),ROUND(D48+(E48-D48)*(1+G48)*((4-1)/(MaxLevel-1))^(2^F48),0),D48+(E48-D48)*(1+G48)*((4-1)/(MaxLevel-1))^(2^F48)))</f>
        <v/>
      </c>
      <c r="L48" s="12" t="str">
        <f>IF(OR(D48="",E48=""),"",IF(IFERROR(INDEX(Stats!$D:$D,MATCH($C48,Stats!$A:$A,0)),FALSE),ROUND(D48+(E48-D48)*(1+G48)*((5-1)/(MaxLevel-1))^(2^F48),0),D48+(E48-D48)*(1+G48)*((5-1)/(MaxLevel-1))^(2^F48)))</f>
        <v/>
      </c>
      <c r="M48" s="12" t="str">
        <f>IF(OR(D48="",E48=""),"",IF(IFERROR(INDEX(Stats!$D:$D,MATCH($C48,Stats!$A:$A,0)),FALSE),ROUND(D48+(E48-D48)*(1+G48)*((6-1)/(MaxLevel-1))^(2^F48),0),D48+(E48-D48)*(1+G48)*((6-1)/(MaxLevel-1))^(2^F48)))</f>
        <v/>
      </c>
      <c r="N48" s="12" t="str">
        <f>IF(OR(D48="",E48=""),"",IF(IFERROR(INDEX(Stats!$D:$D,MATCH($C48,Stats!$A:$A,0)),FALSE),ROUND(D48+(E48-D48)*(1+G48)*((7-1)/(MaxLevel-1))^(2^F48),0),D48+(E48-D48)*(1+G48)*((7-1)/(MaxLevel-1))^(2^F48)))</f>
        <v/>
      </c>
      <c r="O48" s="12" t="str">
        <f>IF(OR(D48="",E48=""),"",IF(IFERROR(INDEX(Stats!$D:$D,MATCH($C48,Stats!$A:$A,0)),FALSE),ROUND(D48+(E48-D48)*(1+G48)*((8-1)/(MaxLevel-1))^(2^F48),0),D48+(E48-D48)*(1+G48)*((8-1)/(MaxLevel-1))^(2^F48)))</f>
        <v/>
      </c>
      <c r="P48" s="12" t="str">
        <f>IF(OR(D48="",E48=""),"",IF(IFERROR(INDEX(Stats!$D:$D,MATCH($C48,Stats!$A:$A,0)),FALSE),ROUND(D48+(E48-D48)*(1+G48)*((9-1)/(MaxLevel-1))^(2^F48),0),D48+(E48-D48)*(1+G48)*((9-1)/(MaxLevel-1))^(2^F48)))</f>
        <v/>
      </c>
      <c r="Q48" s="12" t="str">
        <f>IF(OR(D48="",E48=""),"",IF(IFERROR(INDEX(Stats!$D:$D,MATCH($C48,Stats!$A:$A,0)),FALSE),ROUND(D48+(E48-D48)*(1+G48)*((10-1)/(MaxLevel-1))^(2^F48),0),D48+(E48-D48)*(1+G48)*((10-1)/(MaxLevel-1))^(2^F48)))</f>
        <v/>
      </c>
    </row>
    <row r="49" spans="1:17" x14ac:dyDescent="0.25">
      <c r="A49" s="4" t="s">
        <v>185</v>
      </c>
      <c r="B49" s="19" t="s">
        <v>219</v>
      </c>
      <c r="C49" s="4" t="s">
        <v>42</v>
      </c>
      <c r="D49" s="5"/>
      <c r="E49" s="5"/>
      <c r="F49" s="5"/>
      <c r="G49" s="5"/>
      <c r="H49" s="12" t="str">
        <f>IF(OR(D49="",E49=""),"",IF(IFERROR(INDEX(Stats!$D:$D,MATCH($C49,Stats!$A:$A,0)),FALSE),ROUND(D49+(E49-D49)*(1+G49)*((1-1)/(MaxLevel-1))^(2^F49),0),D49+(E49-D49)*(1+G49)*((1-1)/(MaxLevel-1))^(2^F49)))</f>
        <v/>
      </c>
      <c r="I49" s="12" t="str">
        <f>IF(OR(D49="",E49=""),"",IF(IFERROR(INDEX(Stats!$D:$D,MATCH($C49,Stats!$A:$A,0)),FALSE),ROUND(D49+(E49-D49)*(1+G49)*((2-1)/(MaxLevel-1))^(2^F49),0),D49+(E49-D49)*(1+G49)*((2-1)/(MaxLevel-1))^(2^F49)))</f>
        <v/>
      </c>
      <c r="J49" s="12" t="str">
        <f>IF(OR(D49="",E49=""),"",IF(IFERROR(INDEX(Stats!$D:$D,MATCH($C49,Stats!$A:$A,0)),FALSE),ROUND(D49+(E49-D49)*(1+G49)*((3-1)/(MaxLevel-1))^(2^F49),0),D49+(E49-D49)*(1+G49)*((3-1)/(MaxLevel-1))^(2^F49)))</f>
        <v/>
      </c>
      <c r="K49" s="12" t="str">
        <f>IF(OR(D49="",E49=""),"",IF(IFERROR(INDEX(Stats!$D:$D,MATCH($C49,Stats!$A:$A,0)),FALSE),ROUND(D49+(E49-D49)*(1+G49)*((4-1)/(MaxLevel-1))^(2^F49),0),D49+(E49-D49)*(1+G49)*((4-1)/(MaxLevel-1))^(2^F49)))</f>
        <v/>
      </c>
      <c r="L49" s="12" t="str">
        <f>IF(OR(D49="",E49=""),"",IF(IFERROR(INDEX(Stats!$D:$D,MATCH($C49,Stats!$A:$A,0)),FALSE),ROUND(D49+(E49-D49)*(1+G49)*((5-1)/(MaxLevel-1))^(2^F49),0),D49+(E49-D49)*(1+G49)*((5-1)/(MaxLevel-1))^(2^F49)))</f>
        <v/>
      </c>
      <c r="M49" s="12" t="str">
        <f>IF(OR(D49="",E49=""),"",IF(IFERROR(INDEX(Stats!$D:$D,MATCH($C49,Stats!$A:$A,0)),FALSE),ROUND(D49+(E49-D49)*(1+G49)*((6-1)/(MaxLevel-1))^(2^F49),0),D49+(E49-D49)*(1+G49)*((6-1)/(MaxLevel-1))^(2^F49)))</f>
        <v/>
      </c>
      <c r="N49" s="12" t="str">
        <f>IF(OR(D49="",E49=""),"",IF(IFERROR(INDEX(Stats!$D:$D,MATCH($C49,Stats!$A:$A,0)),FALSE),ROUND(D49+(E49-D49)*(1+G49)*((7-1)/(MaxLevel-1))^(2^F49),0),D49+(E49-D49)*(1+G49)*((7-1)/(MaxLevel-1))^(2^F49)))</f>
        <v/>
      </c>
      <c r="O49" s="12" t="str">
        <f>IF(OR(D49="",E49=""),"",IF(IFERROR(INDEX(Stats!$D:$D,MATCH($C49,Stats!$A:$A,0)),FALSE),ROUND(D49+(E49-D49)*(1+G49)*((8-1)/(MaxLevel-1))^(2^F49),0),D49+(E49-D49)*(1+G49)*((8-1)/(MaxLevel-1))^(2^F49)))</f>
        <v/>
      </c>
      <c r="P49" s="12" t="str">
        <f>IF(OR(D49="",E49=""),"",IF(IFERROR(INDEX(Stats!$D:$D,MATCH($C49,Stats!$A:$A,0)),FALSE),ROUND(D49+(E49-D49)*(1+G49)*((9-1)/(MaxLevel-1))^(2^F49),0),D49+(E49-D49)*(1+G49)*((9-1)/(MaxLevel-1))^(2^F49)))</f>
        <v/>
      </c>
      <c r="Q49" s="12" t="str">
        <f>IF(OR(D49="",E49=""),"",IF(IFERROR(INDEX(Stats!$D:$D,MATCH($C49,Stats!$A:$A,0)),FALSE),ROUND(D49+(E49-D49)*(1+G49)*((10-1)/(MaxLevel-1))^(2^F49),0),D49+(E49-D49)*(1+G49)*((10-1)/(MaxLevel-1))^(2^F49)))</f>
        <v/>
      </c>
    </row>
    <row r="50" spans="1:17" x14ac:dyDescent="0.25">
      <c r="A50" s="4" t="s">
        <v>185</v>
      </c>
      <c r="B50" s="19" t="s">
        <v>219</v>
      </c>
      <c r="C50" s="4" t="s">
        <v>44</v>
      </c>
      <c r="D50" s="5"/>
      <c r="E50" s="5"/>
      <c r="F50" s="5"/>
      <c r="G50" s="5"/>
      <c r="H50" s="12" t="str">
        <f>IF(OR(D50="",E50=""),"",IF(IFERROR(INDEX(Stats!$D:$D,MATCH($C50,Stats!$A:$A,0)),FALSE),ROUND(D50+(E50-D50)*(1+G50)*((1-1)/(MaxLevel-1))^(2^F50),0),D50+(E50-D50)*(1+G50)*((1-1)/(MaxLevel-1))^(2^F50)))</f>
        <v/>
      </c>
      <c r="I50" s="12" t="str">
        <f>IF(OR(D50="",E50=""),"",IF(IFERROR(INDEX(Stats!$D:$D,MATCH($C50,Stats!$A:$A,0)),FALSE),ROUND(D50+(E50-D50)*(1+G50)*((2-1)/(MaxLevel-1))^(2^F50),0),D50+(E50-D50)*(1+G50)*((2-1)/(MaxLevel-1))^(2^F50)))</f>
        <v/>
      </c>
      <c r="J50" s="12" t="str">
        <f>IF(OR(D50="",E50=""),"",IF(IFERROR(INDEX(Stats!$D:$D,MATCH($C50,Stats!$A:$A,0)),FALSE),ROUND(D50+(E50-D50)*(1+G50)*((3-1)/(MaxLevel-1))^(2^F50),0),D50+(E50-D50)*(1+G50)*((3-1)/(MaxLevel-1))^(2^F50)))</f>
        <v/>
      </c>
      <c r="K50" s="12" t="str">
        <f>IF(OR(D50="",E50=""),"",IF(IFERROR(INDEX(Stats!$D:$D,MATCH($C50,Stats!$A:$A,0)),FALSE),ROUND(D50+(E50-D50)*(1+G50)*((4-1)/(MaxLevel-1))^(2^F50),0),D50+(E50-D50)*(1+G50)*((4-1)/(MaxLevel-1))^(2^F50)))</f>
        <v/>
      </c>
      <c r="L50" s="12" t="str">
        <f>IF(OR(D50="",E50=""),"",IF(IFERROR(INDEX(Stats!$D:$D,MATCH($C50,Stats!$A:$A,0)),FALSE),ROUND(D50+(E50-D50)*(1+G50)*((5-1)/(MaxLevel-1))^(2^F50),0),D50+(E50-D50)*(1+G50)*((5-1)/(MaxLevel-1))^(2^F50)))</f>
        <v/>
      </c>
      <c r="M50" s="12" t="str">
        <f>IF(OR(D50="",E50=""),"",IF(IFERROR(INDEX(Stats!$D:$D,MATCH($C50,Stats!$A:$A,0)),FALSE),ROUND(D50+(E50-D50)*(1+G50)*((6-1)/(MaxLevel-1))^(2^F50),0),D50+(E50-D50)*(1+G50)*((6-1)/(MaxLevel-1))^(2^F50)))</f>
        <v/>
      </c>
      <c r="N50" s="12" t="str">
        <f>IF(OR(D50="",E50=""),"",IF(IFERROR(INDEX(Stats!$D:$D,MATCH($C50,Stats!$A:$A,0)),FALSE),ROUND(D50+(E50-D50)*(1+G50)*((7-1)/(MaxLevel-1))^(2^F50),0),D50+(E50-D50)*(1+G50)*((7-1)/(MaxLevel-1))^(2^F50)))</f>
        <v/>
      </c>
      <c r="O50" s="12" t="str">
        <f>IF(OR(D50="",E50=""),"",IF(IFERROR(INDEX(Stats!$D:$D,MATCH($C50,Stats!$A:$A,0)),FALSE),ROUND(D50+(E50-D50)*(1+G50)*((8-1)/(MaxLevel-1))^(2^F50),0),D50+(E50-D50)*(1+G50)*((8-1)/(MaxLevel-1))^(2^F50)))</f>
        <v/>
      </c>
      <c r="P50" s="12" t="str">
        <f>IF(OR(D50="",E50=""),"",IF(IFERROR(INDEX(Stats!$D:$D,MATCH($C50,Stats!$A:$A,0)),FALSE),ROUND(D50+(E50-D50)*(1+G50)*((9-1)/(MaxLevel-1))^(2^F50),0),D50+(E50-D50)*(1+G50)*((9-1)/(MaxLevel-1))^(2^F50)))</f>
        <v/>
      </c>
      <c r="Q50" s="12" t="str">
        <f>IF(OR(D50="",E50=""),"",IF(IFERROR(INDEX(Stats!$D:$D,MATCH($C50,Stats!$A:$A,0)),FALSE),ROUND(D50+(E50-D50)*(1+G50)*((10-1)/(MaxLevel-1))^(2^F50),0),D50+(E50-D50)*(1+G50)*((10-1)/(MaxLevel-1))^(2^F50)))</f>
        <v/>
      </c>
    </row>
    <row r="51" spans="1:17" x14ac:dyDescent="0.25">
      <c r="A51" s="4" t="s">
        <v>185</v>
      </c>
      <c r="B51" s="19" t="s">
        <v>219</v>
      </c>
      <c r="C51" s="4" t="s">
        <v>46</v>
      </c>
      <c r="D51" s="5"/>
      <c r="E51" s="5"/>
      <c r="F51" s="5"/>
      <c r="G51" s="5"/>
      <c r="H51" s="12" t="str">
        <f>IF(OR(D51="",E51=""),"",IF(IFERROR(INDEX(Stats!$D:$D,MATCH($C51,Stats!$A:$A,0)),FALSE),ROUND(D51+(E51-D51)*(1+G51)*((1-1)/(MaxLevel-1))^(2^F51),0),D51+(E51-D51)*(1+G51)*((1-1)/(MaxLevel-1))^(2^F51)))</f>
        <v/>
      </c>
      <c r="I51" s="12" t="str">
        <f>IF(OR(D51="",E51=""),"",IF(IFERROR(INDEX(Stats!$D:$D,MATCH($C51,Stats!$A:$A,0)),FALSE),ROUND(D51+(E51-D51)*(1+G51)*((2-1)/(MaxLevel-1))^(2^F51),0),D51+(E51-D51)*(1+G51)*((2-1)/(MaxLevel-1))^(2^F51)))</f>
        <v/>
      </c>
      <c r="J51" s="12" t="str">
        <f>IF(OR(D51="",E51=""),"",IF(IFERROR(INDEX(Stats!$D:$D,MATCH($C51,Stats!$A:$A,0)),FALSE),ROUND(D51+(E51-D51)*(1+G51)*((3-1)/(MaxLevel-1))^(2^F51),0),D51+(E51-D51)*(1+G51)*((3-1)/(MaxLevel-1))^(2^F51)))</f>
        <v/>
      </c>
      <c r="K51" s="12" t="str">
        <f>IF(OR(D51="",E51=""),"",IF(IFERROR(INDEX(Stats!$D:$D,MATCH($C51,Stats!$A:$A,0)),FALSE),ROUND(D51+(E51-D51)*(1+G51)*((4-1)/(MaxLevel-1))^(2^F51),0),D51+(E51-D51)*(1+G51)*((4-1)/(MaxLevel-1))^(2^F51)))</f>
        <v/>
      </c>
      <c r="L51" s="12" t="str">
        <f>IF(OR(D51="",E51=""),"",IF(IFERROR(INDEX(Stats!$D:$D,MATCH($C51,Stats!$A:$A,0)),FALSE),ROUND(D51+(E51-D51)*(1+G51)*((5-1)/(MaxLevel-1))^(2^F51),0),D51+(E51-D51)*(1+G51)*((5-1)/(MaxLevel-1))^(2^F51)))</f>
        <v/>
      </c>
      <c r="M51" s="12" t="str">
        <f>IF(OR(D51="",E51=""),"",IF(IFERROR(INDEX(Stats!$D:$D,MATCH($C51,Stats!$A:$A,0)),FALSE),ROUND(D51+(E51-D51)*(1+G51)*((6-1)/(MaxLevel-1))^(2^F51),0),D51+(E51-D51)*(1+G51)*((6-1)/(MaxLevel-1))^(2^F51)))</f>
        <v/>
      </c>
      <c r="N51" s="12" t="str">
        <f>IF(OR(D51="",E51=""),"",IF(IFERROR(INDEX(Stats!$D:$D,MATCH($C51,Stats!$A:$A,0)),FALSE),ROUND(D51+(E51-D51)*(1+G51)*((7-1)/(MaxLevel-1))^(2^F51),0),D51+(E51-D51)*(1+G51)*((7-1)/(MaxLevel-1))^(2^F51)))</f>
        <v/>
      </c>
      <c r="O51" s="12" t="str">
        <f>IF(OR(D51="",E51=""),"",IF(IFERROR(INDEX(Stats!$D:$D,MATCH($C51,Stats!$A:$A,0)),FALSE),ROUND(D51+(E51-D51)*(1+G51)*((8-1)/(MaxLevel-1))^(2^F51),0),D51+(E51-D51)*(1+G51)*((8-1)/(MaxLevel-1))^(2^F51)))</f>
        <v/>
      </c>
      <c r="P51" s="12" t="str">
        <f>IF(OR(D51="",E51=""),"",IF(IFERROR(INDEX(Stats!$D:$D,MATCH($C51,Stats!$A:$A,0)),FALSE),ROUND(D51+(E51-D51)*(1+G51)*((9-1)/(MaxLevel-1))^(2^F51),0),D51+(E51-D51)*(1+G51)*((9-1)/(MaxLevel-1))^(2^F51)))</f>
        <v/>
      </c>
      <c r="Q51" s="12" t="str">
        <f>IF(OR(D51="",E51=""),"",IF(IFERROR(INDEX(Stats!$D:$D,MATCH($C51,Stats!$A:$A,0)),FALSE),ROUND(D51+(E51-D51)*(1+G51)*((10-1)/(MaxLevel-1))^(2^F51),0),D51+(E51-D51)*(1+G51)*((10-1)/(MaxLevel-1))^(2^F51)))</f>
        <v/>
      </c>
    </row>
    <row r="52" spans="1:17" x14ac:dyDescent="0.25">
      <c r="A52" s="4" t="s">
        <v>185</v>
      </c>
      <c r="B52" s="19" t="s">
        <v>219</v>
      </c>
      <c r="C52" s="4" t="s">
        <v>48</v>
      </c>
      <c r="D52" s="5"/>
      <c r="E52" s="5"/>
      <c r="F52" s="5"/>
      <c r="G52" s="5"/>
      <c r="H52" s="12" t="str">
        <f>IF(OR(D52="",E52=""),"",IF(IFERROR(INDEX(Stats!$D:$D,MATCH($C52,Stats!$A:$A,0)),FALSE),ROUND(D52+(E52-D52)*(1+G52)*((1-1)/(MaxLevel-1))^(2^F52),0),D52+(E52-D52)*(1+G52)*((1-1)/(MaxLevel-1))^(2^F52)))</f>
        <v/>
      </c>
      <c r="I52" s="12" t="str">
        <f>IF(OR(D52="",E52=""),"",IF(IFERROR(INDEX(Stats!$D:$D,MATCH($C52,Stats!$A:$A,0)),FALSE),ROUND(D52+(E52-D52)*(1+G52)*((2-1)/(MaxLevel-1))^(2^F52),0),D52+(E52-D52)*(1+G52)*((2-1)/(MaxLevel-1))^(2^F52)))</f>
        <v/>
      </c>
      <c r="J52" s="12" t="str">
        <f>IF(OR(D52="",E52=""),"",IF(IFERROR(INDEX(Stats!$D:$D,MATCH($C52,Stats!$A:$A,0)),FALSE),ROUND(D52+(E52-D52)*(1+G52)*((3-1)/(MaxLevel-1))^(2^F52),0),D52+(E52-D52)*(1+G52)*((3-1)/(MaxLevel-1))^(2^F52)))</f>
        <v/>
      </c>
      <c r="K52" s="12" t="str">
        <f>IF(OR(D52="",E52=""),"",IF(IFERROR(INDEX(Stats!$D:$D,MATCH($C52,Stats!$A:$A,0)),FALSE),ROUND(D52+(E52-D52)*(1+G52)*((4-1)/(MaxLevel-1))^(2^F52),0),D52+(E52-D52)*(1+G52)*((4-1)/(MaxLevel-1))^(2^F52)))</f>
        <v/>
      </c>
      <c r="L52" s="12" t="str">
        <f>IF(OR(D52="",E52=""),"",IF(IFERROR(INDEX(Stats!$D:$D,MATCH($C52,Stats!$A:$A,0)),FALSE),ROUND(D52+(E52-D52)*(1+G52)*((5-1)/(MaxLevel-1))^(2^F52),0),D52+(E52-D52)*(1+G52)*((5-1)/(MaxLevel-1))^(2^F52)))</f>
        <v/>
      </c>
      <c r="M52" s="12" t="str">
        <f>IF(OR(D52="",E52=""),"",IF(IFERROR(INDEX(Stats!$D:$D,MATCH($C52,Stats!$A:$A,0)),FALSE),ROUND(D52+(E52-D52)*(1+G52)*((6-1)/(MaxLevel-1))^(2^F52),0),D52+(E52-D52)*(1+G52)*((6-1)/(MaxLevel-1))^(2^F52)))</f>
        <v/>
      </c>
      <c r="N52" s="12" t="str">
        <f>IF(OR(D52="",E52=""),"",IF(IFERROR(INDEX(Stats!$D:$D,MATCH($C52,Stats!$A:$A,0)),FALSE),ROUND(D52+(E52-D52)*(1+G52)*((7-1)/(MaxLevel-1))^(2^F52),0),D52+(E52-D52)*(1+G52)*((7-1)/(MaxLevel-1))^(2^F52)))</f>
        <v/>
      </c>
      <c r="O52" s="12" t="str">
        <f>IF(OR(D52="",E52=""),"",IF(IFERROR(INDEX(Stats!$D:$D,MATCH($C52,Stats!$A:$A,0)),FALSE),ROUND(D52+(E52-D52)*(1+G52)*((8-1)/(MaxLevel-1))^(2^F52),0),D52+(E52-D52)*(1+G52)*((8-1)/(MaxLevel-1))^(2^F52)))</f>
        <v/>
      </c>
      <c r="P52" s="12" t="str">
        <f>IF(OR(D52="",E52=""),"",IF(IFERROR(INDEX(Stats!$D:$D,MATCH($C52,Stats!$A:$A,0)),FALSE),ROUND(D52+(E52-D52)*(1+G52)*((9-1)/(MaxLevel-1))^(2^F52),0),D52+(E52-D52)*(1+G52)*((9-1)/(MaxLevel-1))^(2^F52)))</f>
        <v/>
      </c>
      <c r="Q52" s="12" t="str">
        <f>IF(OR(D52="",E52=""),"",IF(IFERROR(INDEX(Stats!$D:$D,MATCH($C52,Stats!$A:$A,0)),FALSE),ROUND(D52+(E52-D52)*(1+G52)*((10-1)/(MaxLevel-1))^(2^F52),0),D52+(E52-D52)*(1+G52)*((10-1)/(MaxLevel-1))^(2^F52)))</f>
        <v/>
      </c>
    </row>
    <row r="53" spans="1:17" x14ac:dyDescent="0.25">
      <c r="A53" s="4" t="s">
        <v>185</v>
      </c>
      <c r="B53" s="19" t="s">
        <v>219</v>
      </c>
      <c r="C53" s="4" t="s">
        <v>50</v>
      </c>
      <c r="D53" s="5"/>
      <c r="E53" s="5"/>
      <c r="F53" s="5"/>
      <c r="G53" s="5"/>
      <c r="H53" s="12" t="str">
        <f>IF(OR(D53="",E53=""),"",IF(IFERROR(INDEX(Stats!$D:$D,MATCH($C53,Stats!$A:$A,0)),FALSE),ROUND(D53+(E53-D53)*(1+G53)*((1-1)/(MaxLevel-1))^(2^F53),0),D53+(E53-D53)*(1+G53)*((1-1)/(MaxLevel-1))^(2^F53)))</f>
        <v/>
      </c>
      <c r="I53" s="12" t="str">
        <f>IF(OR(D53="",E53=""),"",IF(IFERROR(INDEX(Stats!$D:$D,MATCH($C53,Stats!$A:$A,0)),FALSE),ROUND(D53+(E53-D53)*(1+G53)*((2-1)/(MaxLevel-1))^(2^F53),0),D53+(E53-D53)*(1+G53)*((2-1)/(MaxLevel-1))^(2^F53)))</f>
        <v/>
      </c>
      <c r="J53" s="12" t="str">
        <f>IF(OR(D53="",E53=""),"",IF(IFERROR(INDEX(Stats!$D:$D,MATCH($C53,Stats!$A:$A,0)),FALSE),ROUND(D53+(E53-D53)*(1+G53)*((3-1)/(MaxLevel-1))^(2^F53),0),D53+(E53-D53)*(1+G53)*((3-1)/(MaxLevel-1))^(2^F53)))</f>
        <v/>
      </c>
      <c r="K53" s="12" t="str">
        <f>IF(OR(D53="",E53=""),"",IF(IFERROR(INDEX(Stats!$D:$D,MATCH($C53,Stats!$A:$A,0)),FALSE),ROUND(D53+(E53-D53)*(1+G53)*((4-1)/(MaxLevel-1))^(2^F53),0),D53+(E53-D53)*(1+G53)*((4-1)/(MaxLevel-1))^(2^F53)))</f>
        <v/>
      </c>
      <c r="L53" s="12" t="str">
        <f>IF(OR(D53="",E53=""),"",IF(IFERROR(INDEX(Stats!$D:$D,MATCH($C53,Stats!$A:$A,0)),FALSE),ROUND(D53+(E53-D53)*(1+G53)*((5-1)/(MaxLevel-1))^(2^F53),0),D53+(E53-D53)*(1+G53)*((5-1)/(MaxLevel-1))^(2^F53)))</f>
        <v/>
      </c>
      <c r="M53" s="12" t="str">
        <f>IF(OR(D53="",E53=""),"",IF(IFERROR(INDEX(Stats!$D:$D,MATCH($C53,Stats!$A:$A,0)),FALSE),ROUND(D53+(E53-D53)*(1+G53)*((6-1)/(MaxLevel-1))^(2^F53),0),D53+(E53-D53)*(1+G53)*((6-1)/(MaxLevel-1))^(2^F53)))</f>
        <v/>
      </c>
      <c r="N53" s="12" t="str">
        <f>IF(OR(D53="",E53=""),"",IF(IFERROR(INDEX(Stats!$D:$D,MATCH($C53,Stats!$A:$A,0)),FALSE),ROUND(D53+(E53-D53)*(1+G53)*((7-1)/(MaxLevel-1))^(2^F53),0),D53+(E53-D53)*(1+G53)*((7-1)/(MaxLevel-1))^(2^F53)))</f>
        <v/>
      </c>
      <c r="O53" s="12" t="str">
        <f>IF(OR(D53="",E53=""),"",IF(IFERROR(INDEX(Stats!$D:$D,MATCH($C53,Stats!$A:$A,0)),FALSE),ROUND(D53+(E53-D53)*(1+G53)*((8-1)/(MaxLevel-1))^(2^F53),0),D53+(E53-D53)*(1+G53)*((8-1)/(MaxLevel-1))^(2^F53)))</f>
        <v/>
      </c>
      <c r="P53" s="12" t="str">
        <f>IF(OR(D53="",E53=""),"",IF(IFERROR(INDEX(Stats!$D:$D,MATCH($C53,Stats!$A:$A,0)),FALSE),ROUND(D53+(E53-D53)*(1+G53)*((9-1)/(MaxLevel-1))^(2^F53),0),D53+(E53-D53)*(1+G53)*((9-1)/(MaxLevel-1))^(2^F53)))</f>
        <v/>
      </c>
      <c r="Q53" s="12" t="str">
        <f>IF(OR(D53="",E53=""),"",IF(IFERROR(INDEX(Stats!$D:$D,MATCH($C53,Stats!$A:$A,0)),FALSE),ROUND(D53+(E53-D53)*(1+G53)*((10-1)/(MaxLevel-1))^(2^F53),0),D53+(E53-D53)*(1+G53)*((10-1)/(MaxLevel-1))^(2^F53)))</f>
        <v/>
      </c>
    </row>
    <row r="54" spans="1:17" x14ac:dyDescent="0.25">
      <c r="A54" s="4" t="s">
        <v>185</v>
      </c>
      <c r="B54" s="19" t="s">
        <v>219</v>
      </c>
      <c r="C54" s="4" t="s">
        <v>52</v>
      </c>
      <c r="D54" s="5"/>
      <c r="E54" s="5"/>
      <c r="F54" s="5"/>
      <c r="G54" s="5"/>
      <c r="H54" s="12" t="str">
        <f>IF(OR(D54="",E54=""),"",IF(IFERROR(INDEX(Stats!$D:$D,MATCH($C54,Stats!$A:$A,0)),FALSE),ROUND(D54+(E54-D54)*(1+G54)*((1-1)/(MaxLevel-1))^(2^F54),0),D54+(E54-D54)*(1+G54)*((1-1)/(MaxLevel-1))^(2^F54)))</f>
        <v/>
      </c>
      <c r="I54" s="12" t="str">
        <f>IF(OR(D54="",E54=""),"",IF(IFERROR(INDEX(Stats!$D:$D,MATCH($C54,Stats!$A:$A,0)),FALSE),ROUND(D54+(E54-D54)*(1+G54)*((2-1)/(MaxLevel-1))^(2^F54),0),D54+(E54-D54)*(1+G54)*((2-1)/(MaxLevel-1))^(2^F54)))</f>
        <v/>
      </c>
      <c r="J54" s="12" t="str">
        <f>IF(OR(D54="",E54=""),"",IF(IFERROR(INDEX(Stats!$D:$D,MATCH($C54,Stats!$A:$A,0)),FALSE),ROUND(D54+(E54-D54)*(1+G54)*((3-1)/(MaxLevel-1))^(2^F54),0),D54+(E54-D54)*(1+G54)*((3-1)/(MaxLevel-1))^(2^F54)))</f>
        <v/>
      </c>
      <c r="K54" s="12" t="str">
        <f>IF(OR(D54="",E54=""),"",IF(IFERROR(INDEX(Stats!$D:$D,MATCH($C54,Stats!$A:$A,0)),FALSE),ROUND(D54+(E54-D54)*(1+G54)*((4-1)/(MaxLevel-1))^(2^F54),0),D54+(E54-D54)*(1+G54)*((4-1)/(MaxLevel-1))^(2^F54)))</f>
        <v/>
      </c>
      <c r="L54" s="12" t="str">
        <f>IF(OR(D54="",E54=""),"",IF(IFERROR(INDEX(Stats!$D:$D,MATCH($C54,Stats!$A:$A,0)),FALSE),ROUND(D54+(E54-D54)*(1+G54)*((5-1)/(MaxLevel-1))^(2^F54),0),D54+(E54-D54)*(1+G54)*((5-1)/(MaxLevel-1))^(2^F54)))</f>
        <v/>
      </c>
      <c r="M54" s="12" t="str">
        <f>IF(OR(D54="",E54=""),"",IF(IFERROR(INDEX(Stats!$D:$D,MATCH($C54,Stats!$A:$A,0)),FALSE),ROUND(D54+(E54-D54)*(1+G54)*((6-1)/(MaxLevel-1))^(2^F54),0),D54+(E54-D54)*(1+G54)*((6-1)/(MaxLevel-1))^(2^F54)))</f>
        <v/>
      </c>
      <c r="N54" s="12" t="str">
        <f>IF(OR(D54="",E54=""),"",IF(IFERROR(INDEX(Stats!$D:$D,MATCH($C54,Stats!$A:$A,0)),FALSE),ROUND(D54+(E54-D54)*(1+G54)*((7-1)/(MaxLevel-1))^(2^F54),0),D54+(E54-D54)*(1+G54)*((7-1)/(MaxLevel-1))^(2^F54)))</f>
        <v/>
      </c>
      <c r="O54" s="12" t="str">
        <f>IF(OR(D54="",E54=""),"",IF(IFERROR(INDEX(Stats!$D:$D,MATCH($C54,Stats!$A:$A,0)),FALSE),ROUND(D54+(E54-D54)*(1+G54)*((8-1)/(MaxLevel-1))^(2^F54),0),D54+(E54-D54)*(1+G54)*((8-1)/(MaxLevel-1))^(2^F54)))</f>
        <v/>
      </c>
      <c r="P54" s="12" t="str">
        <f>IF(OR(D54="",E54=""),"",IF(IFERROR(INDEX(Stats!$D:$D,MATCH($C54,Stats!$A:$A,0)),FALSE),ROUND(D54+(E54-D54)*(1+G54)*((9-1)/(MaxLevel-1))^(2^F54),0),D54+(E54-D54)*(1+G54)*((9-1)/(MaxLevel-1))^(2^F54)))</f>
        <v/>
      </c>
      <c r="Q54" s="12" t="str">
        <f>IF(OR(D54="",E54=""),"",IF(IFERROR(INDEX(Stats!$D:$D,MATCH($C54,Stats!$A:$A,0)),FALSE),ROUND(D54+(E54-D54)*(1+G54)*((10-1)/(MaxLevel-1))^(2^F54),0),D54+(E54-D54)*(1+G54)*((10-1)/(MaxLevel-1))^(2^F54)))</f>
        <v/>
      </c>
    </row>
    <row r="55" spans="1:17" x14ac:dyDescent="0.25">
      <c r="A55" s="4" t="s">
        <v>185</v>
      </c>
      <c r="B55" s="19" t="s">
        <v>219</v>
      </c>
      <c r="C55" s="4" t="s">
        <v>54</v>
      </c>
      <c r="D55" s="5"/>
      <c r="E55" s="5"/>
      <c r="F55" s="5"/>
      <c r="G55" s="5"/>
      <c r="H55" s="12" t="str">
        <f>IF(OR(D55="",E55=""),"",IF(IFERROR(INDEX(Stats!$D:$D,MATCH($C55,Stats!$A:$A,0)),FALSE),ROUND(D55+(E55-D55)*(1+G55)*((1-1)/(MaxLevel-1))^(2^F55),0),D55+(E55-D55)*(1+G55)*((1-1)/(MaxLevel-1))^(2^F55)))</f>
        <v/>
      </c>
      <c r="I55" s="12" t="str">
        <f>IF(OR(D55="",E55=""),"",IF(IFERROR(INDEX(Stats!$D:$D,MATCH($C55,Stats!$A:$A,0)),FALSE),ROUND(D55+(E55-D55)*(1+G55)*((2-1)/(MaxLevel-1))^(2^F55),0),D55+(E55-D55)*(1+G55)*((2-1)/(MaxLevel-1))^(2^F55)))</f>
        <v/>
      </c>
      <c r="J55" s="12" t="str">
        <f>IF(OR(D55="",E55=""),"",IF(IFERROR(INDEX(Stats!$D:$D,MATCH($C55,Stats!$A:$A,0)),FALSE),ROUND(D55+(E55-D55)*(1+G55)*((3-1)/(MaxLevel-1))^(2^F55),0),D55+(E55-D55)*(1+G55)*((3-1)/(MaxLevel-1))^(2^F55)))</f>
        <v/>
      </c>
      <c r="K55" s="12" t="str">
        <f>IF(OR(D55="",E55=""),"",IF(IFERROR(INDEX(Stats!$D:$D,MATCH($C55,Stats!$A:$A,0)),FALSE),ROUND(D55+(E55-D55)*(1+G55)*((4-1)/(MaxLevel-1))^(2^F55),0),D55+(E55-D55)*(1+G55)*((4-1)/(MaxLevel-1))^(2^F55)))</f>
        <v/>
      </c>
      <c r="L55" s="12" t="str">
        <f>IF(OR(D55="",E55=""),"",IF(IFERROR(INDEX(Stats!$D:$D,MATCH($C55,Stats!$A:$A,0)),FALSE),ROUND(D55+(E55-D55)*(1+G55)*((5-1)/(MaxLevel-1))^(2^F55),0),D55+(E55-D55)*(1+G55)*((5-1)/(MaxLevel-1))^(2^F55)))</f>
        <v/>
      </c>
      <c r="M55" s="12" t="str">
        <f>IF(OR(D55="",E55=""),"",IF(IFERROR(INDEX(Stats!$D:$D,MATCH($C55,Stats!$A:$A,0)),FALSE),ROUND(D55+(E55-D55)*(1+G55)*((6-1)/(MaxLevel-1))^(2^F55),0),D55+(E55-D55)*(1+G55)*((6-1)/(MaxLevel-1))^(2^F55)))</f>
        <v/>
      </c>
      <c r="N55" s="12" t="str">
        <f>IF(OR(D55="",E55=""),"",IF(IFERROR(INDEX(Stats!$D:$D,MATCH($C55,Stats!$A:$A,0)),FALSE),ROUND(D55+(E55-D55)*(1+G55)*((7-1)/(MaxLevel-1))^(2^F55),0),D55+(E55-D55)*(1+G55)*((7-1)/(MaxLevel-1))^(2^F55)))</f>
        <v/>
      </c>
      <c r="O55" s="12" t="str">
        <f>IF(OR(D55="",E55=""),"",IF(IFERROR(INDEX(Stats!$D:$D,MATCH($C55,Stats!$A:$A,0)),FALSE),ROUND(D55+(E55-D55)*(1+G55)*((8-1)/(MaxLevel-1))^(2^F55),0),D55+(E55-D55)*(1+G55)*((8-1)/(MaxLevel-1))^(2^F55)))</f>
        <v/>
      </c>
      <c r="P55" s="12" t="str">
        <f>IF(OR(D55="",E55=""),"",IF(IFERROR(INDEX(Stats!$D:$D,MATCH($C55,Stats!$A:$A,0)),FALSE),ROUND(D55+(E55-D55)*(1+G55)*((9-1)/(MaxLevel-1))^(2^F55),0),D55+(E55-D55)*(1+G55)*((9-1)/(MaxLevel-1))^(2^F55)))</f>
        <v/>
      </c>
      <c r="Q55" s="12" t="str">
        <f>IF(OR(D55="",E55=""),"",IF(IFERROR(INDEX(Stats!$D:$D,MATCH($C55,Stats!$A:$A,0)),FALSE),ROUND(D55+(E55-D55)*(1+G55)*((10-1)/(MaxLevel-1))^(2^F55),0),D55+(E55-D55)*(1+G55)*((10-1)/(MaxLevel-1))^(2^F55)))</f>
        <v/>
      </c>
    </row>
    <row r="56" spans="1:17" x14ac:dyDescent="0.25">
      <c r="A56" s="4" t="s">
        <v>185</v>
      </c>
      <c r="B56" s="19" t="s">
        <v>219</v>
      </c>
      <c r="C56" s="4" t="s">
        <v>56</v>
      </c>
      <c r="D56" s="5"/>
      <c r="E56" s="5"/>
      <c r="F56" s="5"/>
      <c r="G56" s="5"/>
      <c r="H56" s="12" t="str">
        <f>IF(OR(D56="",E56=""),"",IF(IFERROR(INDEX(Stats!$D:$D,MATCH($C56,Stats!$A:$A,0)),FALSE),ROUND(D56+(E56-D56)*(1+G56)*((1-1)/(MaxLevel-1))^(2^F56),0),D56+(E56-D56)*(1+G56)*((1-1)/(MaxLevel-1))^(2^F56)))</f>
        <v/>
      </c>
      <c r="I56" s="12" t="str">
        <f>IF(OR(D56="",E56=""),"",IF(IFERROR(INDEX(Stats!$D:$D,MATCH($C56,Stats!$A:$A,0)),FALSE),ROUND(D56+(E56-D56)*(1+G56)*((2-1)/(MaxLevel-1))^(2^F56),0),D56+(E56-D56)*(1+G56)*((2-1)/(MaxLevel-1))^(2^F56)))</f>
        <v/>
      </c>
      <c r="J56" s="12" t="str">
        <f>IF(OR(D56="",E56=""),"",IF(IFERROR(INDEX(Stats!$D:$D,MATCH($C56,Stats!$A:$A,0)),FALSE),ROUND(D56+(E56-D56)*(1+G56)*((3-1)/(MaxLevel-1))^(2^F56),0),D56+(E56-D56)*(1+G56)*((3-1)/(MaxLevel-1))^(2^F56)))</f>
        <v/>
      </c>
      <c r="K56" s="12" t="str">
        <f>IF(OR(D56="",E56=""),"",IF(IFERROR(INDEX(Stats!$D:$D,MATCH($C56,Stats!$A:$A,0)),FALSE),ROUND(D56+(E56-D56)*(1+G56)*((4-1)/(MaxLevel-1))^(2^F56),0),D56+(E56-D56)*(1+G56)*((4-1)/(MaxLevel-1))^(2^F56)))</f>
        <v/>
      </c>
      <c r="L56" s="12" t="str">
        <f>IF(OR(D56="",E56=""),"",IF(IFERROR(INDEX(Stats!$D:$D,MATCH($C56,Stats!$A:$A,0)),FALSE),ROUND(D56+(E56-D56)*(1+G56)*((5-1)/(MaxLevel-1))^(2^F56),0),D56+(E56-D56)*(1+G56)*((5-1)/(MaxLevel-1))^(2^F56)))</f>
        <v/>
      </c>
      <c r="M56" s="12" t="str">
        <f>IF(OR(D56="",E56=""),"",IF(IFERROR(INDEX(Stats!$D:$D,MATCH($C56,Stats!$A:$A,0)),FALSE),ROUND(D56+(E56-D56)*(1+G56)*((6-1)/(MaxLevel-1))^(2^F56),0),D56+(E56-D56)*(1+G56)*((6-1)/(MaxLevel-1))^(2^F56)))</f>
        <v/>
      </c>
      <c r="N56" s="12" t="str">
        <f>IF(OR(D56="",E56=""),"",IF(IFERROR(INDEX(Stats!$D:$D,MATCH($C56,Stats!$A:$A,0)),FALSE),ROUND(D56+(E56-D56)*(1+G56)*((7-1)/(MaxLevel-1))^(2^F56),0),D56+(E56-D56)*(1+G56)*((7-1)/(MaxLevel-1))^(2^F56)))</f>
        <v/>
      </c>
      <c r="O56" s="12" t="str">
        <f>IF(OR(D56="",E56=""),"",IF(IFERROR(INDEX(Stats!$D:$D,MATCH($C56,Stats!$A:$A,0)),FALSE),ROUND(D56+(E56-D56)*(1+G56)*((8-1)/(MaxLevel-1))^(2^F56),0),D56+(E56-D56)*(1+G56)*((8-1)/(MaxLevel-1))^(2^F56)))</f>
        <v/>
      </c>
      <c r="P56" s="12" t="str">
        <f>IF(OR(D56="",E56=""),"",IF(IFERROR(INDEX(Stats!$D:$D,MATCH($C56,Stats!$A:$A,0)),FALSE),ROUND(D56+(E56-D56)*(1+G56)*((9-1)/(MaxLevel-1))^(2^F56),0),D56+(E56-D56)*(1+G56)*((9-1)/(MaxLevel-1))^(2^F56)))</f>
        <v/>
      </c>
      <c r="Q56" s="12" t="str">
        <f>IF(OR(D56="",E56=""),"",IF(IFERROR(INDEX(Stats!$D:$D,MATCH($C56,Stats!$A:$A,0)),FALSE),ROUND(D56+(E56-D56)*(1+G56)*((10-1)/(MaxLevel-1))^(2^F56),0),D56+(E56-D56)*(1+G56)*((10-1)/(MaxLevel-1))^(2^F56)))</f>
        <v/>
      </c>
    </row>
    <row r="57" spans="1:17" x14ac:dyDescent="0.25">
      <c r="A57" s="4" t="s">
        <v>185</v>
      </c>
      <c r="B57" s="19" t="s">
        <v>219</v>
      </c>
      <c r="C57" s="4" t="s">
        <v>58</v>
      </c>
      <c r="D57" s="5"/>
      <c r="E57" s="5"/>
      <c r="F57" s="5"/>
      <c r="G57" s="5"/>
      <c r="H57" s="12" t="str">
        <f>IF(OR(D57="",E57=""),"",IF(IFERROR(INDEX(Stats!$D:$D,MATCH($C57,Stats!$A:$A,0)),FALSE),ROUND(D57+(E57-D57)*(1+G57)*((1-1)/(MaxLevel-1))^(2^F57),0),D57+(E57-D57)*(1+G57)*((1-1)/(MaxLevel-1))^(2^F57)))</f>
        <v/>
      </c>
      <c r="I57" s="12" t="str">
        <f>IF(OR(D57="",E57=""),"",IF(IFERROR(INDEX(Stats!$D:$D,MATCH($C57,Stats!$A:$A,0)),FALSE),ROUND(D57+(E57-D57)*(1+G57)*((2-1)/(MaxLevel-1))^(2^F57),0),D57+(E57-D57)*(1+G57)*((2-1)/(MaxLevel-1))^(2^F57)))</f>
        <v/>
      </c>
      <c r="J57" s="12" t="str">
        <f>IF(OR(D57="",E57=""),"",IF(IFERROR(INDEX(Stats!$D:$D,MATCH($C57,Stats!$A:$A,0)),FALSE),ROUND(D57+(E57-D57)*(1+G57)*((3-1)/(MaxLevel-1))^(2^F57),0),D57+(E57-D57)*(1+G57)*((3-1)/(MaxLevel-1))^(2^F57)))</f>
        <v/>
      </c>
      <c r="K57" s="12" t="str">
        <f>IF(OR(D57="",E57=""),"",IF(IFERROR(INDEX(Stats!$D:$D,MATCH($C57,Stats!$A:$A,0)),FALSE),ROUND(D57+(E57-D57)*(1+G57)*((4-1)/(MaxLevel-1))^(2^F57),0),D57+(E57-D57)*(1+G57)*((4-1)/(MaxLevel-1))^(2^F57)))</f>
        <v/>
      </c>
      <c r="L57" s="12" t="str">
        <f>IF(OR(D57="",E57=""),"",IF(IFERROR(INDEX(Stats!$D:$D,MATCH($C57,Stats!$A:$A,0)),FALSE),ROUND(D57+(E57-D57)*(1+G57)*((5-1)/(MaxLevel-1))^(2^F57),0),D57+(E57-D57)*(1+G57)*((5-1)/(MaxLevel-1))^(2^F57)))</f>
        <v/>
      </c>
      <c r="M57" s="12" t="str">
        <f>IF(OR(D57="",E57=""),"",IF(IFERROR(INDEX(Stats!$D:$D,MATCH($C57,Stats!$A:$A,0)),FALSE),ROUND(D57+(E57-D57)*(1+G57)*((6-1)/(MaxLevel-1))^(2^F57),0),D57+(E57-D57)*(1+G57)*((6-1)/(MaxLevel-1))^(2^F57)))</f>
        <v/>
      </c>
      <c r="N57" s="12" t="str">
        <f>IF(OR(D57="",E57=""),"",IF(IFERROR(INDEX(Stats!$D:$D,MATCH($C57,Stats!$A:$A,0)),FALSE),ROUND(D57+(E57-D57)*(1+G57)*((7-1)/(MaxLevel-1))^(2^F57),0),D57+(E57-D57)*(1+G57)*((7-1)/(MaxLevel-1))^(2^F57)))</f>
        <v/>
      </c>
      <c r="O57" s="12" t="str">
        <f>IF(OR(D57="",E57=""),"",IF(IFERROR(INDEX(Stats!$D:$D,MATCH($C57,Stats!$A:$A,0)),FALSE),ROUND(D57+(E57-D57)*(1+G57)*((8-1)/(MaxLevel-1))^(2^F57),0),D57+(E57-D57)*(1+G57)*((8-1)/(MaxLevel-1))^(2^F57)))</f>
        <v/>
      </c>
      <c r="P57" s="12" t="str">
        <f>IF(OR(D57="",E57=""),"",IF(IFERROR(INDEX(Stats!$D:$D,MATCH($C57,Stats!$A:$A,0)),FALSE),ROUND(D57+(E57-D57)*(1+G57)*((9-1)/(MaxLevel-1))^(2^F57),0),D57+(E57-D57)*(1+G57)*((9-1)/(MaxLevel-1))^(2^F57)))</f>
        <v/>
      </c>
      <c r="Q57" s="12" t="str">
        <f>IF(OR(D57="",E57=""),"",IF(IFERROR(INDEX(Stats!$D:$D,MATCH($C57,Stats!$A:$A,0)),FALSE),ROUND(D57+(E57-D57)*(1+G57)*((10-1)/(MaxLevel-1))^(2^F57),0),D57+(E57-D57)*(1+G57)*((10-1)/(MaxLevel-1))^(2^F57)))</f>
        <v/>
      </c>
    </row>
    <row r="58" spans="1:17" x14ac:dyDescent="0.25">
      <c r="A58" s="4" t="s">
        <v>185</v>
      </c>
      <c r="B58" s="19" t="s">
        <v>219</v>
      </c>
      <c r="C58" s="4" t="s">
        <v>60</v>
      </c>
      <c r="D58" s="5">
        <v>0.3</v>
      </c>
      <c r="E58" s="5">
        <v>0.1</v>
      </c>
      <c r="F58" s="5">
        <v>0</v>
      </c>
      <c r="G58" s="5">
        <v>0</v>
      </c>
      <c r="H58" s="12">
        <f>IF(OR(D58="",E58=""),"",IF(IFERROR(INDEX(Stats!$D:$D,MATCH($C58,Stats!$A:$A,0)),FALSE),ROUND(D58+(E58-D58)*(1+G58)*((1-1)/(MaxLevel-1))^(2^F58),0),D58+(E58-D58)*(1+G58)*((1-1)/(MaxLevel-1))^(2^F58)))</f>
        <v>0.3</v>
      </c>
      <c r="I58" s="12">
        <f>IF(OR(D58="",E58=""),"",IF(IFERROR(INDEX(Stats!$D:$D,MATCH($C58,Stats!$A:$A,0)),FALSE),ROUND(D58+(E58-D58)*(1+G58)*((2-1)/(MaxLevel-1))^(2^F58),0),D58+(E58-D58)*(1+G58)*((2-1)/(MaxLevel-1))^(2^F58)))</f>
        <v>0.27777777777777779</v>
      </c>
      <c r="J58" s="12">
        <f>IF(OR(D58="",E58=""),"",IF(IFERROR(INDEX(Stats!$D:$D,MATCH($C58,Stats!$A:$A,0)),FALSE),ROUND(D58+(E58-D58)*(1+G58)*((3-1)/(MaxLevel-1))^(2^F58),0),D58+(E58-D58)*(1+G58)*((3-1)/(MaxLevel-1))^(2^F58)))</f>
        <v>0.25555555555555554</v>
      </c>
      <c r="K58" s="12">
        <f>IF(OR(D58="",E58=""),"",IF(IFERROR(INDEX(Stats!$D:$D,MATCH($C58,Stats!$A:$A,0)),FALSE),ROUND(D58+(E58-D58)*(1+G58)*((4-1)/(MaxLevel-1))^(2^F58),0),D58+(E58-D58)*(1+G58)*((4-1)/(MaxLevel-1))^(2^F58)))</f>
        <v>0.23333333333333334</v>
      </c>
      <c r="L58" s="12">
        <f>IF(OR(D58="",E58=""),"",IF(IFERROR(INDEX(Stats!$D:$D,MATCH($C58,Stats!$A:$A,0)),FALSE),ROUND(D58+(E58-D58)*(1+G58)*((5-1)/(MaxLevel-1))^(2^F58),0),D58+(E58-D58)*(1+G58)*((5-1)/(MaxLevel-1))^(2^F58)))</f>
        <v>0.21111111111111111</v>
      </c>
      <c r="M58" s="12">
        <f>IF(OR(D58="",E58=""),"",IF(IFERROR(INDEX(Stats!$D:$D,MATCH($C58,Stats!$A:$A,0)),FALSE),ROUND(D58+(E58-D58)*(1+G58)*((6-1)/(MaxLevel-1))^(2^F58),0),D58+(E58-D58)*(1+G58)*((6-1)/(MaxLevel-1))^(2^F58)))</f>
        <v>0.18888888888888888</v>
      </c>
      <c r="N58" s="12">
        <f>IF(OR(D58="",E58=""),"",IF(IFERROR(INDEX(Stats!$D:$D,MATCH($C58,Stats!$A:$A,0)),FALSE),ROUND(D58+(E58-D58)*(1+G58)*((7-1)/(MaxLevel-1))^(2^F58),0),D58+(E58-D58)*(1+G58)*((7-1)/(MaxLevel-1))^(2^F58)))</f>
        <v>0.16666666666666669</v>
      </c>
      <c r="O58" s="12">
        <f>IF(OR(D58="",E58=""),"",IF(IFERROR(INDEX(Stats!$D:$D,MATCH($C58,Stats!$A:$A,0)),FALSE),ROUND(D58+(E58-D58)*(1+G58)*((8-1)/(MaxLevel-1))^(2^F58),0),D58+(E58-D58)*(1+G58)*((8-1)/(MaxLevel-1))^(2^F58)))</f>
        <v>0.14444444444444443</v>
      </c>
      <c r="P58" s="12">
        <f>IF(OR(D58="",E58=""),"",IF(IFERROR(INDEX(Stats!$D:$D,MATCH($C58,Stats!$A:$A,0)),FALSE),ROUND(D58+(E58-D58)*(1+G58)*((9-1)/(MaxLevel-1))^(2^F58),0),D58+(E58-D58)*(1+G58)*((9-1)/(MaxLevel-1))^(2^F58)))</f>
        <v>0.12222222222222223</v>
      </c>
      <c r="Q58" s="12">
        <f>IF(OR(D58="",E58=""),"",IF(IFERROR(INDEX(Stats!$D:$D,MATCH($C58,Stats!$A:$A,0)),FALSE),ROUND(D58+(E58-D58)*(1+G58)*((10-1)/(MaxLevel-1))^(2^F58),0),D58+(E58-D58)*(1+G58)*((10-1)/(MaxLevel-1))^(2^F58)))</f>
        <v>0.1</v>
      </c>
    </row>
    <row r="59" spans="1:17" x14ac:dyDescent="0.25">
      <c r="A59" s="4" t="s">
        <v>185</v>
      </c>
      <c r="B59" s="19" t="s">
        <v>220</v>
      </c>
      <c r="C59" s="4" t="s">
        <v>24</v>
      </c>
      <c r="D59" s="5">
        <v>0</v>
      </c>
      <c r="E59" s="5">
        <v>20000</v>
      </c>
      <c r="F59" s="5">
        <v>1</v>
      </c>
      <c r="G59" s="5">
        <v>0</v>
      </c>
      <c r="H59" s="12">
        <f>IF(OR(D59="",E59=""),"",IF(IFERROR(INDEX(Stats!$D:$D,MATCH($C59,Stats!$A:$A,0)),FALSE),ROUND(D59+(E59-D59)*(1+G59)*((1-1)/(MaxLevel-1))^(2^F59),0),D59+(E59-D59)*(1+G59)*((1-1)/(MaxLevel-1))^(2^F59)))</f>
        <v>0</v>
      </c>
      <c r="I59" s="12">
        <f>IF(OR(D59="",E59=""),"",IF(IFERROR(INDEX(Stats!$D:$D,MATCH($C59,Stats!$A:$A,0)),FALSE),ROUND(D59+(E59-D59)*(1+G59)*((2-1)/(MaxLevel-1))^(2^F59),0),D59+(E59-D59)*(1+G59)*((2-1)/(MaxLevel-1))^(2^F59)))</f>
        <v>247</v>
      </c>
      <c r="J59" s="12">
        <f>IF(OR(D59="",E59=""),"",IF(IFERROR(INDEX(Stats!$D:$D,MATCH($C59,Stats!$A:$A,0)),FALSE),ROUND(D59+(E59-D59)*(1+G59)*((3-1)/(MaxLevel-1))^(2^F59),0),D59+(E59-D59)*(1+G59)*((3-1)/(MaxLevel-1))^(2^F59)))</f>
        <v>988</v>
      </c>
      <c r="K59" s="12">
        <f>IF(OR(D59="",E59=""),"",IF(IFERROR(INDEX(Stats!$D:$D,MATCH($C59,Stats!$A:$A,0)),FALSE),ROUND(D59+(E59-D59)*(1+G59)*((4-1)/(MaxLevel-1))^(2^F59),0),D59+(E59-D59)*(1+G59)*((4-1)/(MaxLevel-1))^(2^F59)))</f>
        <v>2222</v>
      </c>
      <c r="L59" s="12">
        <f>IF(OR(D59="",E59=""),"",IF(IFERROR(INDEX(Stats!$D:$D,MATCH($C59,Stats!$A:$A,0)),FALSE),ROUND(D59+(E59-D59)*(1+G59)*((5-1)/(MaxLevel-1))^(2^F59),0),D59+(E59-D59)*(1+G59)*((5-1)/(MaxLevel-1))^(2^F59)))</f>
        <v>3951</v>
      </c>
      <c r="M59" s="12">
        <f>IF(OR(D59="",E59=""),"",IF(IFERROR(INDEX(Stats!$D:$D,MATCH($C59,Stats!$A:$A,0)),FALSE),ROUND(D59+(E59-D59)*(1+G59)*((6-1)/(MaxLevel-1))^(2^F59),0),D59+(E59-D59)*(1+G59)*((6-1)/(MaxLevel-1))^(2^F59)))</f>
        <v>6173</v>
      </c>
      <c r="N59" s="12">
        <f>IF(OR(D59="",E59=""),"",IF(IFERROR(INDEX(Stats!$D:$D,MATCH($C59,Stats!$A:$A,0)),FALSE),ROUND(D59+(E59-D59)*(1+G59)*((7-1)/(MaxLevel-1))^(2^F59),0),D59+(E59-D59)*(1+G59)*((7-1)/(MaxLevel-1))^(2^F59)))</f>
        <v>8889</v>
      </c>
      <c r="O59" s="12">
        <f>IF(OR(D59="",E59=""),"",IF(IFERROR(INDEX(Stats!$D:$D,MATCH($C59,Stats!$A:$A,0)),FALSE),ROUND(D59+(E59-D59)*(1+G59)*((8-1)/(MaxLevel-1))^(2^F59),0),D59+(E59-D59)*(1+G59)*((8-1)/(MaxLevel-1))^(2^F59)))</f>
        <v>12099</v>
      </c>
      <c r="P59" s="12">
        <f>IF(OR(D59="",E59=""),"",IF(IFERROR(INDEX(Stats!$D:$D,MATCH($C59,Stats!$A:$A,0)),FALSE),ROUND(D59+(E59-D59)*(1+G59)*((9-1)/(MaxLevel-1))^(2^F59),0),D59+(E59-D59)*(1+G59)*((9-1)/(MaxLevel-1))^(2^F59)))</f>
        <v>15802</v>
      </c>
      <c r="Q59" s="12">
        <f>IF(OR(D59="",E59=""),"",IF(IFERROR(INDEX(Stats!$D:$D,MATCH($C59,Stats!$A:$A,0)),FALSE),ROUND(D59+(E59-D59)*(1+G59)*((10-1)/(MaxLevel-1))^(2^F59),0),D59+(E59-D59)*(1+G59)*((10-1)/(MaxLevel-1))^(2^F59)))</f>
        <v>20000</v>
      </c>
    </row>
    <row r="60" spans="1:17" x14ac:dyDescent="0.25">
      <c r="A60" s="4" t="s">
        <v>185</v>
      </c>
      <c r="B60" s="19" t="s">
        <v>220</v>
      </c>
      <c r="C60" s="4" t="s">
        <v>26</v>
      </c>
      <c r="D60" s="5">
        <v>50</v>
      </c>
      <c r="E60" s="5">
        <v>300</v>
      </c>
      <c r="F60" s="5">
        <v>0</v>
      </c>
      <c r="G60" s="5">
        <v>0</v>
      </c>
      <c r="H60" s="12">
        <f>IF(OR(D60="",E60=""),"",IF(IFERROR(INDEX(Stats!$D:$D,MATCH($C60,Stats!$A:$A,0)),FALSE),ROUND(D60+(E60-D60)*(1+G60)*((1-1)/(MaxLevel-1))^(2^F60),0),D60+(E60-D60)*(1+G60)*((1-1)/(MaxLevel-1))^(2^F60)))</f>
        <v>50</v>
      </c>
      <c r="I60" s="12">
        <f>IF(OR(D60="",E60=""),"",IF(IFERROR(INDEX(Stats!$D:$D,MATCH($C60,Stats!$A:$A,0)),FALSE),ROUND(D60+(E60-D60)*(1+G60)*((2-1)/(MaxLevel-1))^(2^F60),0),D60+(E60-D60)*(1+G60)*((2-1)/(MaxLevel-1))^(2^F60)))</f>
        <v>78</v>
      </c>
      <c r="J60" s="12">
        <f>IF(OR(D60="",E60=""),"",IF(IFERROR(INDEX(Stats!$D:$D,MATCH($C60,Stats!$A:$A,0)),FALSE),ROUND(D60+(E60-D60)*(1+G60)*((3-1)/(MaxLevel-1))^(2^F60),0),D60+(E60-D60)*(1+G60)*((3-1)/(MaxLevel-1))^(2^F60)))</f>
        <v>106</v>
      </c>
      <c r="K60" s="12">
        <f>IF(OR(D60="",E60=""),"",IF(IFERROR(INDEX(Stats!$D:$D,MATCH($C60,Stats!$A:$A,0)),FALSE),ROUND(D60+(E60-D60)*(1+G60)*((4-1)/(MaxLevel-1))^(2^F60),0),D60+(E60-D60)*(1+G60)*((4-1)/(MaxLevel-1))^(2^F60)))</f>
        <v>133</v>
      </c>
      <c r="L60" s="12">
        <f>IF(OR(D60="",E60=""),"",IF(IFERROR(INDEX(Stats!$D:$D,MATCH($C60,Stats!$A:$A,0)),FALSE),ROUND(D60+(E60-D60)*(1+G60)*((5-1)/(MaxLevel-1))^(2^F60),0),D60+(E60-D60)*(1+G60)*((5-1)/(MaxLevel-1))^(2^F60)))</f>
        <v>161</v>
      </c>
      <c r="M60" s="12">
        <f>IF(OR(D60="",E60=""),"",IF(IFERROR(INDEX(Stats!$D:$D,MATCH($C60,Stats!$A:$A,0)),FALSE),ROUND(D60+(E60-D60)*(1+G60)*((6-1)/(MaxLevel-1))^(2^F60),0),D60+(E60-D60)*(1+G60)*((6-1)/(MaxLevel-1))^(2^F60)))</f>
        <v>189</v>
      </c>
      <c r="N60" s="12">
        <f>IF(OR(D60="",E60=""),"",IF(IFERROR(INDEX(Stats!$D:$D,MATCH($C60,Stats!$A:$A,0)),FALSE),ROUND(D60+(E60-D60)*(1+G60)*((7-1)/(MaxLevel-1))^(2^F60),0),D60+(E60-D60)*(1+G60)*((7-1)/(MaxLevel-1))^(2^F60)))</f>
        <v>217</v>
      </c>
      <c r="O60" s="12">
        <f>IF(OR(D60="",E60=""),"",IF(IFERROR(INDEX(Stats!$D:$D,MATCH($C60,Stats!$A:$A,0)),FALSE),ROUND(D60+(E60-D60)*(1+G60)*((8-1)/(MaxLevel-1))^(2^F60),0),D60+(E60-D60)*(1+G60)*((8-1)/(MaxLevel-1))^(2^F60)))</f>
        <v>244</v>
      </c>
      <c r="P60" s="12">
        <f>IF(OR(D60="",E60=""),"",IF(IFERROR(INDEX(Stats!$D:$D,MATCH($C60,Stats!$A:$A,0)),FALSE),ROUND(D60+(E60-D60)*(1+G60)*((9-1)/(MaxLevel-1))^(2^F60),0),D60+(E60-D60)*(1+G60)*((9-1)/(MaxLevel-1))^(2^F60)))</f>
        <v>272</v>
      </c>
      <c r="Q60" s="12">
        <f>IF(OR(D60="",E60=""),"",IF(IFERROR(INDEX(Stats!$D:$D,MATCH($C60,Stats!$A:$A,0)),FALSE),ROUND(D60+(E60-D60)*(1+G60)*((10-1)/(MaxLevel-1))^(2^F60),0),D60+(E60-D60)*(1+G60)*((10-1)/(MaxLevel-1))^(2^F60)))</f>
        <v>300</v>
      </c>
    </row>
    <row r="61" spans="1:17" x14ac:dyDescent="0.25">
      <c r="A61" s="4" t="s">
        <v>185</v>
      </c>
      <c r="B61" s="19" t="s">
        <v>220</v>
      </c>
      <c r="C61" s="4" t="s">
        <v>28</v>
      </c>
      <c r="D61" s="5">
        <v>400</v>
      </c>
      <c r="E61" s="5">
        <v>1600</v>
      </c>
      <c r="F61" s="5">
        <v>0</v>
      </c>
      <c r="G61" s="5">
        <v>0</v>
      </c>
      <c r="H61" s="12">
        <f>IF(OR(D61="",E61=""),"",IF(IFERROR(INDEX(Stats!$D:$D,MATCH($C61,Stats!$A:$A,0)),FALSE),ROUND(D61+(E61-D61)*(1+G61)*((1-1)/(MaxLevel-1))^(2^F61),0),D61+(E61-D61)*(1+G61)*((1-1)/(MaxLevel-1))^(2^F61)))</f>
        <v>400</v>
      </c>
      <c r="I61" s="12">
        <f>IF(OR(D61="",E61=""),"",IF(IFERROR(INDEX(Stats!$D:$D,MATCH($C61,Stats!$A:$A,0)),FALSE),ROUND(D61+(E61-D61)*(1+G61)*((2-1)/(MaxLevel-1))^(2^F61),0),D61+(E61-D61)*(1+G61)*((2-1)/(MaxLevel-1))^(2^F61)))</f>
        <v>533</v>
      </c>
      <c r="J61" s="12">
        <f>IF(OR(D61="",E61=""),"",IF(IFERROR(INDEX(Stats!$D:$D,MATCH($C61,Stats!$A:$A,0)),FALSE),ROUND(D61+(E61-D61)*(1+G61)*((3-1)/(MaxLevel-1))^(2^F61),0),D61+(E61-D61)*(1+G61)*((3-1)/(MaxLevel-1))^(2^F61)))</f>
        <v>667</v>
      </c>
      <c r="K61" s="12">
        <f>IF(OR(D61="",E61=""),"",IF(IFERROR(INDEX(Stats!$D:$D,MATCH($C61,Stats!$A:$A,0)),FALSE),ROUND(D61+(E61-D61)*(1+G61)*((4-1)/(MaxLevel-1))^(2^F61),0),D61+(E61-D61)*(1+G61)*((4-1)/(MaxLevel-1))^(2^F61)))</f>
        <v>800</v>
      </c>
      <c r="L61" s="12">
        <f>IF(OR(D61="",E61=""),"",IF(IFERROR(INDEX(Stats!$D:$D,MATCH($C61,Stats!$A:$A,0)),FALSE),ROUND(D61+(E61-D61)*(1+G61)*((5-1)/(MaxLevel-1))^(2^F61),0),D61+(E61-D61)*(1+G61)*((5-1)/(MaxLevel-1))^(2^F61)))</f>
        <v>933</v>
      </c>
      <c r="M61" s="12">
        <f>IF(OR(D61="",E61=""),"",IF(IFERROR(INDEX(Stats!$D:$D,MATCH($C61,Stats!$A:$A,0)),FALSE),ROUND(D61+(E61-D61)*(1+G61)*((6-1)/(MaxLevel-1))^(2^F61),0),D61+(E61-D61)*(1+G61)*((6-1)/(MaxLevel-1))^(2^F61)))</f>
        <v>1067</v>
      </c>
      <c r="N61" s="12">
        <f>IF(OR(D61="",E61=""),"",IF(IFERROR(INDEX(Stats!$D:$D,MATCH($C61,Stats!$A:$A,0)),FALSE),ROUND(D61+(E61-D61)*(1+G61)*((7-1)/(MaxLevel-1))^(2^F61),0),D61+(E61-D61)*(1+G61)*((7-1)/(MaxLevel-1))^(2^F61)))</f>
        <v>1200</v>
      </c>
      <c r="O61" s="12">
        <f>IF(OR(D61="",E61=""),"",IF(IFERROR(INDEX(Stats!$D:$D,MATCH($C61,Stats!$A:$A,0)),FALSE),ROUND(D61+(E61-D61)*(1+G61)*((8-1)/(MaxLevel-1))^(2^F61),0),D61+(E61-D61)*(1+G61)*((8-1)/(MaxLevel-1))^(2^F61)))</f>
        <v>1333</v>
      </c>
      <c r="P61" s="12">
        <f>IF(OR(D61="",E61=""),"",IF(IFERROR(INDEX(Stats!$D:$D,MATCH($C61,Stats!$A:$A,0)),FALSE),ROUND(D61+(E61-D61)*(1+G61)*((9-1)/(MaxLevel-1))^(2^F61),0),D61+(E61-D61)*(1+G61)*((9-1)/(MaxLevel-1))^(2^F61)))</f>
        <v>1467</v>
      </c>
      <c r="Q61" s="12">
        <f>IF(OR(D61="",E61=""),"",IF(IFERROR(INDEX(Stats!$D:$D,MATCH($C61,Stats!$A:$A,0)),FALSE),ROUND(D61+(E61-D61)*(1+G61)*((10-1)/(MaxLevel-1))^(2^F61),0),D61+(E61-D61)*(1+G61)*((10-1)/(MaxLevel-1))^(2^F61)))</f>
        <v>1600</v>
      </c>
    </row>
    <row r="62" spans="1:17" x14ac:dyDescent="0.25">
      <c r="A62" s="4" t="s">
        <v>185</v>
      </c>
      <c r="B62" s="19" t="s">
        <v>220</v>
      </c>
      <c r="C62" s="4" t="s">
        <v>30</v>
      </c>
      <c r="D62" s="5">
        <v>30</v>
      </c>
      <c r="E62" s="5">
        <v>120</v>
      </c>
      <c r="F62" s="5">
        <v>0</v>
      </c>
      <c r="G62" s="5">
        <v>0</v>
      </c>
      <c r="H62" s="12">
        <f>IF(OR(D62="",E62=""),"",IF(IFERROR(INDEX(Stats!$D:$D,MATCH($C62,Stats!$A:$A,0)),FALSE),ROUND(D62+(E62-D62)*(1+G62)*((1-1)/(MaxLevel-1))^(2^F62),0),D62+(E62-D62)*(1+G62)*((1-1)/(MaxLevel-1))^(2^F62)))</f>
        <v>30</v>
      </c>
      <c r="I62" s="12">
        <f>IF(OR(D62="",E62=""),"",IF(IFERROR(INDEX(Stats!$D:$D,MATCH($C62,Stats!$A:$A,0)),FALSE),ROUND(D62+(E62-D62)*(1+G62)*((2-1)/(MaxLevel-1))^(2^F62),0),D62+(E62-D62)*(1+G62)*((2-1)/(MaxLevel-1))^(2^F62)))</f>
        <v>40</v>
      </c>
      <c r="J62" s="12">
        <f>IF(OR(D62="",E62=""),"",IF(IFERROR(INDEX(Stats!$D:$D,MATCH($C62,Stats!$A:$A,0)),FALSE),ROUND(D62+(E62-D62)*(1+G62)*((3-1)/(MaxLevel-1))^(2^F62),0),D62+(E62-D62)*(1+G62)*((3-1)/(MaxLevel-1))^(2^F62)))</f>
        <v>50</v>
      </c>
      <c r="K62" s="12">
        <f>IF(OR(D62="",E62=""),"",IF(IFERROR(INDEX(Stats!$D:$D,MATCH($C62,Stats!$A:$A,0)),FALSE),ROUND(D62+(E62-D62)*(1+G62)*((4-1)/(MaxLevel-1))^(2^F62),0),D62+(E62-D62)*(1+G62)*((4-1)/(MaxLevel-1))^(2^F62)))</f>
        <v>60</v>
      </c>
      <c r="L62" s="12">
        <f>IF(OR(D62="",E62=""),"",IF(IFERROR(INDEX(Stats!$D:$D,MATCH($C62,Stats!$A:$A,0)),FALSE),ROUND(D62+(E62-D62)*(1+G62)*((5-1)/(MaxLevel-1))^(2^F62),0),D62+(E62-D62)*(1+G62)*((5-1)/(MaxLevel-1))^(2^F62)))</f>
        <v>70</v>
      </c>
      <c r="M62" s="12">
        <f>IF(OR(D62="",E62=""),"",IF(IFERROR(INDEX(Stats!$D:$D,MATCH($C62,Stats!$A:$A,0)),FALSE),ROUND(D62+(E62-D62)*(1+G62)*((6-1)/(MaxLevel-1))^(2^F62),0),D62+(E62-D62)*(1+G62)*((6-1)/(MaxLevel-1))^(2^F62)))</f>
        <v>80</v>
      </c>
      <c r="N62" s="12">
        <f>IF(OR(D62="",E62=""),"",IF(IFERROR(INDEX(Stats!$D:$D,MATCH($C62,Stats!$A:$A,0)),FALSE),ROUND(D62+(E62-D62)*(1+G62)*((7-1)/(MaxLevel-1))^(2^F62),0),D62+(E62-D62)*(1+G62)*((7-1)/(MaxLevel-1))^(2^F62)))</f>
        <v>90</v>
      </c>
      <c r="O62" s="12">
        <f>IF(OR(D62="",E62=""),"",IF(IFERROR(INDEX(Stats!$D:$D,MATCH($C62,Stats!$A:$A,0)),FALSE),ROUND(D62+(E62-D62)*(1+G62)*((8-1)/(MaxLevel-1))^(2^F62),0),D62+(E62-D62)*(1+G62)*((8-1)/(MaxLevel-1))^(2^F62)))</f>
        <v>100</v>
      </c>
      <c r="P62" s="12">
        <f>IF(OR(D62="",E62=""),"",IF(IFERROR(INDEX(Stats!$D:$D,MATCH($C62,Stats!$A:$A,0)),FALSE),ROUND(D62+(E62-D62)*(1+G62)*((9-1)/(MaxLevel-1))^(2^F62),0),D62+(E62-D62)*(1+G62)*((9-1)/(MaxLevel-1))^(2^F62)))</f>
        <v>110</v>
      </c>
      <c r="Q62" s="12">
        <f>IF(OR(D62="",E62=""),"",IF(IFERROR(INDEX(Stats!$D:$D,MATCH($C62,Stats!$A:$A,0)),FALSE),ROUND(D62+(E62-D62)*(1+G62)*((10-1)/(MaxLevel-1))^(2^F62),0),D62+(E62-D62)*(1+G62)*((10-1)/(MaxLevel-1))^(2^F62)))</f>
        <v>120</v>
      </c>
    </row>
    <row r="63" spans="1:17" x14ac:dyDescent="0.25">
      <c r="A63" s="4" t="s">
        <v>185</v>
      </c>
      <c r="B63" s="19" t="s">
        <v>220</v>
      </c>
      <c r="C63" s="4" t="s">
        <v>32</v>
      </c>
      <c r="D63" s="5">
        <v>0.7</v>
      </c>
      <c r="E63" s="5">
        <v>0.95</v>
      </c>
      <c r="F63" s="5">
        <v>-1</v>
      </c>
      <c r="G63" s="5">
        <v>0</v>
      </c>
      <c r="H63" s="12">
        <f>IF(OR(D63="",E63=""),"",IF(IFERROR(INDEX(Stats!$D:$D,MATCH($C63,Stats!$A:$A,0)),FALSE),ROUND(D63+(E63-D63)*(1+G63)*((1-1)/(MaxLevel-1))^(2^F63),0),D63+(E63-D63)*(1+G63)*((1-1)/(MaxLevel-1))^(2^F63)))</f>
        <v>0.7</v>
      </c>
      <c r="I63" s="12">
        <f>IF(OR(D63="",E63=""),"",IF(IFERROR(INDEX(Stats!$D:$D,MATCH($C63,Stats!$A:$A,0)),FALSE),ROUND(D63+(E63-D63)*(1+G63)*((2-1)/(MaxLevel-1))^(2^F63),0),D63+(E63-D63)*(1+G63)*((2-1)/(MaxLevel-1))^(2^F63)))</f>
        <v>0.78333333333333333</v>
      </c>
      <c r="J63" s="12">
        <f>IF(OR(D63="",E63=""),"",IF(IFERROR(INDEX(Stats!$D:$D,MATCH($C63,Stats!$A:$A,0)),FALSE),ROUND(D63+(E63-D63)*(1+G63)*((3-1)/(MaxLevel-1))^(2^F63),0),D63+(E63-D63)*(1+G63)*((3-1)/(MaxLevel-1))^(2^F63)))</f>
        <v>0.8178511301977579</v>
      </c>
      <c r="K63" s="12">
        <f>IF(OR(D63="",E63=""),"",IF(IFERROR(INDEX(Stats!$D:$D,MATCH($C63,Stats!$A:$A,0)),FALSE),ROUND(D63+(E63-D63)*(1+G63)*((4-1)/(MaxLevel-1))^(2^F63),0),D63+(E63-D63)*(1+G63)*((4-1)/(MaxLevel-1))^(2^F63)))</f>
        <v>0.84433756729740639</v>
      </c>
      <c r="L63" s="12">
        <f>IF(OR(D63="",E63=""),"",IF(IFERROR(INDEX(Stats!$D:$D,MATCH($C63,Stats!$A:$A,0)),FALSE),ROUND(D63+(E63-D63)*(1+G63)*((5-1)/(MaxLevel-1))^(2^F63),0),D63+(E63-D63)*(1+G63)*((5-1)/(MaxLevel-1))^(2^F63)))</f>
        <v>0.86666666666666659</v>
      </c>
      <c r="M63" s="12">
        <f>IF(OR(D63="",E63=""),"",IF(IFERROR(INDEX(Stats!$D:$D,MATCH($C63,Stats!$A:$A,0)),FALSE),ROUND(D63+(E63-D63)*(1+G63)*((6-1)/(MaxLevel-1))^(2^F63),0),D63+(E63-D63)*(1+G63)*((6-1)/(MaxLevel-1))^(2^F63)))</f>
        <v>0.8863389981249824</v>
      </c>
      <c r="N63" s="12">
        <f>IF(OR(D63="",E63=""),"",IF(IFERROR(INDEX(Stats!$D:$D,MATCH($C63,Stats!$A:$A,0)),FALSE),ROUND(D63+(E63-D63)*(1+G63)*((7-1)/(MaxLevel-1))^(2^F63),0),D63+(E63-D63)*(1+G63)*((7-1)/(MaxLevel-1))^(2^F63)))</f>
        <v>0.90412414523193152</v>
      </c>
      <c r="O63" s="12">
        <f>IF(OR(D63="",E63=""),"",IF(IFERROR(INDEX(Stats!$D:$D,MATCH($C63,Stats!$A:$A,0)),FALSE),ROUND(D63+(E63-D63)*(1+G63)*((8-1)/(MaxLevel-1))^(2^F63),0),D63+(E63-D63)*(1+G63)*((8-1)/(MaxLevel-1))^(2^F63)))</f>
        <v>0.92047927592204914</v>
      </c>
      <c r="P63" s="12">
        <f>IF(OR(D63="",E63=""),"",IF(IFERROR(INDEX(Stats!$D:$D,MATCH($C63,Stats!$A:$A,0)),FALSE),ROUND(D63+(E63-D63)*(1+G63)*((9-1)/(MaxLevel-1))^(2^F63),0),D63+(E63-D63)*(1+G63)*((9-1)/(MaxLevel-1))^(2^F63)))</f>
        <v>0.93570226039551585</v>
      </c>
      <c r="Q63" s="12">
        <f>IF(OR(D63="",E63=""),"",IF(IFERROR(INDEX(Stats!$D:$D,MATCH($C63,Stats!$A:$A,0)),FALSE),ROUND(D63+(E63-D63)*(1+G63)*((10-1)/(MaxLevel-1))^(2^F63),0),D63+(E63-D63)*(1+G63)*((10-1)/(MaxLevel-1))^(2^F63)))</f>
        <v>0.95</v>
      </c>
    </row>
    <row r="64" spans="1:17" x14ac:dyDescent="0.25">
      <c r="A64" s="4" t="s">
        <v>185</v>
      </c>
      <c r="B64" s="19" t="s">
        <v>220</v>
      </c>
      <c r="C64" s="4" t="s">
        <v>34</v>
      </c>
      <c r="D64" s="5">
        <v>0.1</v>
      </c>
      <c r="E64" s="5">
        <v>0.3</v>
      </c>
      <c r="F64" s="5">
        <v>0</v>
      </c>
      <c r="G64" s="5">
        <v>0</v>
      </c>
      <c r="H64" s="12">
        <f>IF(OR(D64="",E64=""),"",IF(IFERROR(INDEX(Stats!$D:$D,MATCH($C64,Stats!$A:$A,0)),FALSE),ROUND(D64+(E64-D64)*(1+G64)*((1-1)/(MaxLevel-1))^(2^F64),0),D64+(E64-D64)*(1+G64)*((1-1)/(MaxLevel-1))^(2^F64)))</f>
        <v>0.1</v>
      </c>
      <c r="I64" s="12">
        <f>IF(OR(D64="",E64=""),"",IF(IFERROR(INDEX(Stats!$D:$D,MATCH($C64,Stats!$A:$A,0)),FALSE),ROUND(D64+(E64-D64)*(1+G64)*((2-1)/(MaxLevel-1))^(2^F64),0),D64+(E64-D64)*(1+G64)*((2-1)/(MaxLevel-1))^(2^F64)))</f>
        <v>0.12222222222222223</v>
      </c>
      <c r="J64" s="12">
        <f>IF(OR(D64="",E64=""),"",IF(IFERROR(INDEX(Stats!$D:$D,MATCH($C64,Stats!$A:$A,0)),FALSE),ROUND(D64+(E64-D64)*(1+G64)*((3-1)/(MaxLevel-1))^(2^F64),0),D64+(E64-D64)*(1+G64)*((3-1)/(MaxLevel-1))^(2^F64)))</f>
        <v>0.14444444444444443</v>
      </c>
      <c r="K64" s="12">
        <f>IF(OR(D64="",E64=""),"",IF(IFERROR(INDEX(Stats!$D:$D,MATCH($C64,Stats!$A:$A,0)),FALSE),ROUND(D64+(E64-D64)*(1+G64)*((4-1)/(MaxLevel-1))^(2^F64),0),D64+(E64-D64)*(1+G64)*((4-1)/(MaxLevel-1))^(2^F64)))</f>
        <v>0.16666666666666666</v>
      </c>
      <c r="L64" s="12">
        <f>IF(OR(D64="",E64=""),"",IF(IFERROR(INDEX(Stats!$D:$D,MATCH($C64,Stats!$A:$A,0)),FALSE),ROUND(D64+(E64-D64)*(1+G64)*((5-1)/(MaxLevel-1))^(2^F64),0),D64+(E64-D64)*(1+G64)*((5-1)/(MaxLevel-1))^(2^F64)))</f>
        <v>0.18888888888888888</v>
      </c>
      <c r="M64" s="12">
        <f>IF(OR(D64="",E64=""),"",IF(IFERROR(INDEX(Stats!$D:$D,MATCH($C64,Stats!$A:$A,0)),FALSE),ROUND(D64+(E64-D64)*(1+G64)*((6-1)/(MaxLevel-1))^(2^F64),0),D64+(E64-D64)*(1+G64)*((6-1)/(MaxLevel-1))^(2^F64)))</f>
        <v>0.21111111111111111</v>
      </c>
      <c r="N64" s="12">
        <f>IF(OR(D64="",E64=""),"",IF(IFERROR(INDEX(Stats!$D:$D,MATCH($C64,Stats!$A:$A,0)),FALSE),ROUND(D64+(E64-D64)*(1+G64)*((7-1)/(MaxLevel-1))^(2^F64),0),D64+(E64-D64)*(1+G64)*((7-1)/(MaxLevel-1))^(2^F64)))</f>
        <v>0.23333333333333331</v>
      </c>
      <c r="O64" s="12">
        <f>IF(OR(D64="",E64=""),"",IF(IFERROR(INDEX(Stats!$D:$D,MATCH($C64,Stats!$A:$A,0)),FALSE),ROUND(D64+(E64-D64)*(1+G64)*((8-1)/(MaxLevel-1))^(2^F64),0),D64+(E64-D64)*(1+G64)*((8-1)/(MaxLevel-1))^(2^F64)))</f>
        <v>0.25555555555555554</v>
      </c>
      <c r="P64" s="12">
        <f>IF(OR(D64="",E64=""),"",IF(IFERROR(INDEX(Stats!$D:$D,MATCH($C64,Stats!$A:$A,0)),FALSE),ROUND(D64+(E64-D64)*(1+G64)*((9-1)/(MaxLevel-1))^(2^F64),0),D64+(E64-D64)*(1+G64)*((9-1)/(MaxLevel-1))^(2^F64)))</f>
        <v>0.27777777777777779</v>
      </c>
      <c r="Q64" s="12">
        <f>IF(OR(D64="",E64=""),"",IF(IFERROR(INDEX(Stats!$D:$D,MATCH($C64,Stats!$A:$A,0)),FALSE),ROUND(D64+(E64-D64)*(1+G64)*((10-1)/(MaxLevel-1))^(2^F64),0),D64+(E64-D64)*(1+G64)*((10-1)/(MaxLevel-1))^(2^F64)))</f>
        <v>0.3</v>
      </c>
    </row>
    <row r="65" spans="1:17" x14ac:dyDescent="0.25">
      <c r="A65" s="4" t="s">
        <v>185</v>
      </c>
      <c r="B65" s="19" t="s">
        <v>220</v>
      </c>
      <c r="C65" s="4" t="s">
        <v>36</v>
      </c>
      <c r="D65" s="5"/>
      <c r="E65" s="5"/>
      <c r="F65" s="5"/>
      <c r="G65" s="5"/>
      <c r="H65" s="12" t="str">
        <f>IF(OR(D65="",E65=""),"",IF(IFERROR(INDEX(Stats!$D:$D,MATCH($C65,Stats!$A:$A,0)),FALSE),ROUND(D65+(E65-D65)*(1+G65)*((1-1)/(MaxLevel-1))^(2^F65),0),D65+(E65-D65)*(1+G65)*((1-1)/(MaxLevel-1))^(2^F65)))</f>
        <v/>
      </c>
      <c r="I65" s="12" t="str">
        <f>IF(OR(D65="",E65=""),"",IF(IFERROR(INDEX(Stats!$D:$D,MATCH($C65,Stats!$A:$A,0)),FALSE),ROUND(D65+(E65-D65)*(1+G65)*((2-1)/(MaxLevel-1))^(2^F65),0),D65+(E65-D65)*(1+G65)*((2-1)/(MaxLevel-1))^(2^F65)))</f>
        <v/>
      </c>
      <c r="J65" s="12" t="str">
        <f>IF(OR(D65="",E65=""),"",IF(IFERROR(INDEX(Stats!$D:$D,MATCH($C65,Stats!$A:$A,0)),FALSE),ROUND(D65+(E65-D65)*(1+G65)*((3-1)/(MaxLevel-1))^(2^F65),0),D65+(E65-D65)*(1+G65)*((3-1)/(MaxLevel-1))^(2^F65)))</f>
        <v/>
      </c>
      <c r="K65" s="12" t="str">
        <f>IF(OR(D65="",E65=""),"",IF(IFERROR(INDEX(Stats!$D:$D,MATCH($C65,Stats!$A:$A,0)),FALSE),ROUND(D65+(E65-D65)*(1+G65)*((4-1)/(MaxLevel-1))^(2^F65),0),D65+(E65-D65)*(1+G65)*((4-1)/(MaxLevel-1))^(2^F65)))</f>
        <v/>
      </c>
      <c r="L65" s="12" t="str">
        <f>IF(OR(D65="",E65=""),"",IF(IFERROR(INDEX(Stats!$D:$D,MATCH($C65,Stats!$A:$A,0)),FALSE),ROUND(D65+(E65-D65)*(1+G65)*((5-1)/(MaxLevel-1))^(2^F65),0),D65+(E65-D65)*(1+G65)*((5-1)/(MaxLevel-1))^(2^F65)))</f>
        <v/>
      </c>
      <c r="M65" s="12" t="str">
        <f>IF(OR(D65="",E65=""),"",IF(IFERROR(INDEX(Stats!$D:$D,MATCH($C65,Stats!$A:$A,0)),FALSE),ROUND(D65+(E65-D65)*(1+G65)*((6-1)/(MaxLevel-1))^(2^F65),0),D65+(E65-D65)*(1+G65)*((6-1)/(MaxLevel-1))^(2^F65)))</f>
        <v/>
      </c>
      <c r="N65" s="12" t="str">
        <f>IF(OR(D65="",E65=""),"",IF(IFERROR(INDEX(Stats!$D:$D,MATCH($C65,Stats!$A:$A,0)),FALSE),ROUND(D65+(E65-D65)*(1+G65)*((7-1)/(MaxLevel-1))^(2^F65),0),D65+(E65-D65)*(1+G65)*((7-1)/(MaxLevel-1))^(2^F65)))</f>
        <v/>
      </c>
      <c r="O65" s="12" t="str">
        <f>IF(OR(D65="",E65=""),"",IF(IFERROR(INDEX(Stats!$D:$D,MATCH($C65,Stats!$A:$A,0)),FALSE),ROUND(D65+(E65-D65)*(1+G65)*((8-1)/(MaxLevel-1))^(2^F65),0),D65+(E65-D65)*(1+G65)*((8-1)/(MaxLevel-1))^(2^F65)))</f>
        <v/>
      </c>
      <c r="P65" s="12" t="str">
        <f>IF(OR(D65="",E65=""),"",IF(IFERROR(INDEX(Stats!$D:$D,MATCH($C65,Stats!$A:$A,0)),FALSE),ROUND(D65+(E65-D65)*(1+G65)*((9-1)/(MaxLevel-1))^(2^F65),0),D65+(E65-D65)*(1+G65)*((9-1)/(MaxLevel-1))^(2^F65)))</f>
        <v/>
      </c>
      <c r="Q65" s="12" t="str">
        <f>IF(OR(D65="",E65=""),"",IF(IFERROR(INDEX(Stats!$D:$D,MATCH($C65,Stats!$A:$A,0)),FALSE),ROUND(D65+(E65-D65)*(1+G65)*((10-1)/(MaxLevel-1))^(2^F65),0),D65+(E65-D65)*(1+G65)*((10-1)/(MaxLevel-1))^(2^F65)))</f>
        <v/>
      </c>
    </row>
    <row r="66" spans="1:17" x14ac:dyDescent="0.25">
      <c r="A66" s="4" t="s">
        <v>185</v>
      </c>
      <c r="B66" s="19" t="s">
        <v>220</v>
      </c>
      <c r="C66" s="4" t="s">
        <v>38</v>
      </c>
      <c r="D66" s="5"/>
      <c r="E66" s="5"/>
      <c r="F66" s="5"/>
      <c r="G66" s="5"/>
      <c r="H66" s="12" t="str">
        <f>IF(OR(D66="",E66=""),"",IF(IFERROR(INDEX(Stats!$D:$D,MATCH($C66,Stats!$A:$A,0)),FALSE),ROUND(D66+(E66-D66)*(1+G66)*((1-1)/(MaxLevel-1))^(2^F66),0),D66+(E66-D66)*(1+G66)*((1-1)/(MaxLevel-1))^(2^F66)))</f>
        <v/>
      </c>
      <c r="I66" s="12" t="str">
        <f>IF(OR(D66="",E66=""),"",IF(IFERROR(INDEX(Stats!$D:$D,MATCH($C66,Stats!$A:$A,0)),FALSE),ROUND(D66+(E66-D66)*(1+G66)*((2-1)/(MaxLevel-1))^(2^F66),0),D66+(E66-D66)*(1+G66)*((2-1)/(MaxLevel-1))^(2^F66)))</f>
        <v/>
      </c>
      <c r="J66" s="12" t="str">
        <f>IF(OR(D66="",E66=""),"",IF(IFERROR(INDEX(Stats!$D:$D,MATCH($C66,Stats!$A:$A,0)),FALSE),ROUND(D66+(E66-D66)*(1+G66)*((3-1)/(MaxLevel-1))^(2^F66),0),D66+(E66-D66)*(1+G66)*((3-1)/(MaxLevel-1))^(2^F66)))</f>
        <v/>
      </c>
      <c r="K66" s="12" t="str">
        <f>IF(OR(D66="",E66=""),"",IF(IFERROR(INDEX(Stats!$D:$D,MATCH($C66,Stats!$A:$A,0)),FALSE),ROUND(D66+(E66-D66)*(1+G66)*((4-1)/(MaxLevel-1))^(2^F66),0),D66+(E66-D66)*(1+G66)*((4-1)/(MaxLevel-1))^(2^F66)))</f>
        <v/>
      </c>
      <c r="L66" s="12" t="str">
        <f>IF(OR(D66="",E66=""),"",IF(IFERROR(INDEX(Stats!$D:$D,MATCH($C66,Stats!$A:$A,0)),FALSE),ROUND(D66+(E66-D66)*(1+G66)*((5-1)/(MaxLevel-1))^(2^F66),0),D66+(E66-D66)*(1+G66)*((5-1)/(MaxLevel-1))^(2^F66)))</f>
        <v/>
      </c>
      <c r="M66" s="12" t="str">
        <f>IF(OR(D66="",E66=""),"",IF(IFERROR(INDEX(Stats!$D:$D,MATCH($C66,Stats!$A:$A,0)),FALSE),ROUND(D66+(E66-D66)*(1+G66)*((6-1)/(MaxLevel-1))^(2^F66),0),D66+(E66-D66)*(1+G66)*((6-1)/(MaxLevel-1))^(2^F66)))</f>
        <v/>
      </c>
      <c r="N66" s="12" t="str">
        <f>IF(OR(D66="",E66=""),"",IF(IFERROR(INDEX(Stats!$D:$D,MATCH($C66,Stats!$A:$A,0)),FALSE),ROUND(D66+(E66-D66)*(1+G66)*((7-1)/(MaxLevel-1))^(2^F66),0),D66+(E66-D66)*(1+G66)*((7-1)/(MaxLevel-1))^(2^F66)))</f>
        <v/>
      </c>
      <c r="O66" s="12" t="str">
        <f>IF(OR(D66="",E66=""),"",IF(IFERROR(INDEX(Stats!$D:$D,MATCH($C66,Stats!$A:$A,0)),FALSE),ROUND(D66+(E66-D66)*(1+G66)*((8-1)/(MaxLevel-1))^(2^F66),0),D66+(E66-D66)*(1+G66)*((8-1)/(MaxLevel-1))^(2^F66)))</f>
        <v/>
      </c>
      <c r="P66" s="12" t="str">
        <f>IF(OR(D66="",E66=""),"",IF(IFERROR(INDEX(Stats!$D:$D,MATCH($C66,Stats!$A:$A,0)),FALSE),ROUND(D66+(E66-D66)*(1+G66)*((9-1)/(MaxLevel-1))^(2^F66),0),D66+(E66-D66)*(1+G66)*((9-1)/(MaxLevel-1))^(2^F66)))</f>
        <v/>
      </c>
      <c r="Q66" s="12" t="str">
        <f>IF(OR(D66="",E66=""),"",IF(IFERROR(INDEX(Stats!$D:$D,MATCH($C66,Stats!$A:$A,0)),FALSE),ROUND(D66+(E66-D66)*(1+G66)*((10-1)/(MaxLevel-1))^(2^F66),0),D66+(E66-D66)*(1+G66)*((10-1)/(MaxLevel-1))^(2^F66)))</f>
        <v/>
      </c>
    </row>
    <row r="67" spans="1:17" x14ac:dyDescent="0.25">
      <c r="A67" s="4" t="s">
        <v>185</v>
      </c>
      <c r="B67" s="19" t="s">
        <v>220</v>
      </c>
      <c r="C67" s="4" t="s">
        <v>40</v>
      </c>
      <c r="D67" s="5"/>
      <c r="E67" s="5"/>
      <c r="F67" s="5"/>
      <c r="G67" s="5"/>
      <c r="H67" s="12" t="str">
        <f>IF(OR(D67="",E67=""),"",IF(IFERROR(INDEX(Stats!$D:$D,MATCH($C67,Stats!$A:$A,0)),FALSE),ROUND(D67+(E67-D67)*(1+G67)*((1-1)/(MaxLevel-1))^(2^F67),0),D67+(E67-D67)*(1+G67)*((1-1)/(MaxLevel-1))^(2^F67)))</f>
        <v/>
      </c>
      <c r="I67" s="12" t="str">
        <f>IF(OR(D67="",E67=""),"",IF(IFERROR(INDEX(Stats!$D:$D,MATCH($C67,Stats!$A:$A,0)),FALSE),ROUND(D67+(E67-D67)*(1+G67)*((2-1)/(MaxLevel-1))^(2^F67),0),D67+(E67-D67)*(1+G67)*((2-1)/(MaxLevel-1))^(2^F67)))</f>
        <v/>
      </c>
      <c r="J67" s="12" t="str">
        <f>IF(OR(D67="",E67=""),"",IF(IFERROR(INDEX(Stats!$D:$D,MATCH($C67,Stats!$A:$A,0)),FALSE),ROUND(D67+(E67-D67)*(1+G67)*((3-1)/(MaxLevel-1))^(2^F67),0),D67+(E67-D67)*(1+G67)*((3-1)/(MaxLevel-1))^(2^F67)))</f>
        <v/>
      </c>
      <c r="K67" s="12" t="str">
        <f>IF(OR(D67="",E67=""),"",IF(IFERROR(INDEX(Stats!$D:$D,MATCH($C67,Stats!$A:$A,0)),FALSE),ROUND(D67+(E67-D67)*(1+G67)*((4-1)/(MaxLevel-1))^(2^F67),0),D67+(E67-D67)*(1+G67)*((4-1)/(MaxLevel-1))^(2^F67)))</f>
        <v/>
      </c>
      <c r="L67" s="12" t="str">
        <f>IF(OR(D67="",E67=""),"",IF(IFERROR(INDEX(Stats!$D:$D,MATCH($C67,Stats!$A:$A,0)),FALSE),ROUND(D67+(E67-D67)*(1+G67)*((5-1)/(MaxLevel-1))^(2^F67),0),D67+(E67-D67)*(1+G67)*((5-1)/(MaxLevel-1))^(2^F67)))</f>
        <v/>
      </c>
      <c r="M67" s="12" t="str">
        <f>IF(OR(D67="",E67=""),"",IF(IFERROR(INDEX(Stats!$D:$D,MATCH($C67,Stats!$A:$A,0)),FALSE),ROUND(D67+(E67-D67)*(1+G67)*((6-1)/(MaxLevel-1))^(2^F67),0),D67+(E67-D67)*(1+G67)*((6-1)/(MaxLevel-1))^(2^F67)))</f>
        <v/>
      </c>
      <c r="N67" s="12" t="str">
        <f>IF(OR(D67="",E67=""),"",IF(IFERROR(INDEX(Stats!$D:$D,MATCH($C67,Stats!$A:$A,0)),FALSE),ROUND(D67+(E67-D67)*(1+G67)*((7-1)/(MaxLevel-1))^(2^F67),0),D67+(E67-D67)*(1+G67)*((7-1)/(MaxLevel-1))^(2^F67)))</f>
        <v/>
      </c>
      <c r="O67" s="12" t="str">
        <f>IF(OR(D67="",E67=""),"",IF(IFERROR(INDEX(Stats!$D:$D,MATCH($C67,Stats!$A:$A,0)),FALSE),ROUND(D67+(E67-D67)*(1+G67)*((8-1)/(MaxLevel-1))^(2^F67),0),D67+(E67-D67)*(1+G67)*((8-1)/(MaxLevel-1))^(2^F67)))</f>
        <v/>
      </c>
      <c r="P67" s="12" t="str">
        <f>IF(OR(D67="",E67=""),"",IF(IFERROR(INDEX(Stats!$D:$D,MATCH($C67,Stats!$A:$A,0)),FALSE),ROUND(D67+(E67-D67)*(1+G67)*((9-1)/(MaxLevel-1))^(2^F67),0),D67+(E67-D67)*(1+G67)*((9-1)/(MaxLevel-1))^(2^F67)))</f>
        <v/>
      </c>
      <c r="Q67" s="12" t="str">
        <f>IF(OR(D67="",E67=""),"",IF(IFERROR(INDEX(Stats!$D:$D,MATCH($C67,Stats!$A:$A,0)),FALSE),ROUND(D67+(E67-D67)*(1+G67)*((10-1)/(MaxLevel-1))^(2^F67),0),D67+(E67-D67)*(1+G67)*((10-1)/(MaxLevel-1))^(2^F67)))</f>
        <v/>
      </c>
    </row>
    <row r="68" spans="1:17" x14ac:dyDescent="0.25">
      <c r="A68" s="4" t="s">
        <v>185</v>
      </c>
      <c r="B68" s="19" t="s">
        <v>220</v>
      </c>
      <c r="C68" s="4" t="s">
        <v>42</v>
      </c>
      <c r="D68" s="5"/>
      <c r="E68" s="5"/>
      <c r="F68" s="5"/>
      <c r="G68" s="5"/>
      <c r="H68" s="12" t="str">
        <f>IF(OR(D68="",E68=""),"",IF(IFERROR(INDEX(Stats!$D:$D,MATCH($C68,Stats!$A:$A,0)),FALSE),ROUND(D68+(E68-D68)*(1+G68)*((1-1)/(MaxLevel-1))^(2^F68),0),D68+(E68-D68)*(1+G68)*((1-1)/(MaxLevel-1))^(2^F68)))</f>
        <v/>
      </c>
      <c r="I68" s="12" t="str">
        <f>IF(OR(D68="",E68=""),"",IF(IFERROR(INDEX(Stats!$D:$D,MATCH($C68,Stats!$A:$A,0)),FALSE),ROUND(D68+(E68-D68)*(1+G68)*((2-1)/(MaxLevel-1))^(2^F68),0),D68+(E68-D68)*(1+G68)*((2-1)/(MaxLevel-1))^(2^F68)))</f>
        <v/>
      </c>
      <c r="J68" s="12" t="str">
        <f>IF(OR(D68="",E68=""),"",IF(IFERROR(INDEX(Stats!$D:$D,MATCH($C68,Stats!$A:$A,0)),FALSE),ROUND(D68+(E68-D68)*(1+G68)*((3-1)/(MaxLevel-1))^(2^F68),0),D68+(E68-D68)*(1+G68)*((3-1)/(MaxLevel-1))^(2^F68)))</f>
        <v/>
      </c>
      <c r="K68" s="12" t="str">
        <f>IF(OR(D68="",E68=""),"",IF(IFERROR(INDEX(Stats!$D:$D,MATCH($C68,Stats!$A:$A,0)),FALSE),ROUND(D68+(E68-D68)*(1+G68)*((4-1)/(MaxLevel-1))^(2^F68),0),D68+(E68-D68)*(1+G68)*((4-1)/(MaxLevel-1))^(2^F68)))</f>
        <v/>
      </c>
      <c r="L68" s="12" t="str">
        <f>IF(OR(D68="",E68=""),"",IF(IFERROR(INDEX(Stats!$D:$D,MATCH($C68,Stats!$A:$A,0)),FALSE),ROUND(D68+(E68-D68)*(1+G68)*((5-1)/(MaxLevel-1))^(2^F68),0),D68+(E68-D68)*(1+G68)*((5-1)/(MaxLevel-1))^(2^F68)))</f>
        <v/>
      </c>
      <c r="M68" s="12" t="str">
        <f>IF(OR(D68="",E68=""),"",IF(IFERROR(INDEX(Stats!$D:$D,MATCH($C68,Stats!$A:$A,0)),FALSE),ROUND(D68+(E68-D68)*(1+G68)*((6-1)/(MaxLevel-1))^(2^F68),0),D68+(E68-D68)*(1+G68)*((6-1)/(MaxLevel-1))^(2^F68)))</f>
        <v/>
      </c>
      <c r="N68" s="12" t="str">
        <f>IF(OR(D68="",E68=""),"",IF(IFERROR(INDEX(Stats!$D:$D,MATCH($C68,Stats!$A:$A,0)),FALSE),ROUND(D68+(E68-D68)*(1+G68)*((7-1)/(MaxLevel-1))^(2^F68),0),D68+(E68-D68)*(1+G68)*((7-1)/(MaxLevel-1))^(2^F68)))</f>
        <v/>
      </c>
      <c r="O68" s="12" t="str">
        <f>IF(OR(D68="",E68=""),"",IF(IFERROR(INDEX(Stats!$D:$D,MATCH($C68,Stats!$A:$A,0)),FALSE),ROUND(D68+(E68-D68)*(1+G68)*((8-1)/(MaxLevel-1))^(2^F68),0),D68+(E68-D68)*(1+G68)*((8-1)/(MaxLevel-1))^(2^F68)))</f>
        <v/>
      </c>
      <c r="P68" s="12" t="str">
        <f>IF(OR(D68="",E68=""),"",IF(IFERROR(INDEX(Stats!$D:$D,MATCH($C68,Stats!$A:$A,0)),FALSE),ROUND(D68+(E68-D68)*(1+G68)*((9-1)/(MaxLevel-1))^(2^F68),0),D68+(E68-D68)*(1+G68)*((9-1)/(MaxLevel-1))^(2^F68)))</f>
        <v/>
      </c>
      <c r="Q68" s="12" t="str">
        <f>IF(OR(D68="",E68=""),"",IF(IFERROR(INDEX(Stats!$D:$D,MATCH($C68,Stats!$A:$A,0)),FALSE),ROUND(D68+(E68-D68)*(1+G68)*((10-1)/(MaxLevel-1))^(2^F68),0),D68+(E68-D68)*(1+G68)*((10-1)/(MaxLevel-1))^(2^F68)))</f>
        <v/>
      </c>
    </row>
    <row r="69" spans="1:17" x14ac:dyDescent="0.25">
      <c r="A69" s="4" t="s">
        <v>185</v>
      </c>
      <c r="B69" s="19" t="s">
        <v>220</v>
      </c>
      <c r="C69" s="4" t="s">
        <v>44</v>
      </c>
      <c r="D69" s="5"/>
      <c r="E69" s="5"/>
      <c r="F69" s="5"/>
      <c r="G69" s="5"/>
      <c r="H69" s="12" t="str">
        <f>IF(OR(D69="",E69=""),"",IF(IFERROR(INDEX(Stats!$D:$D,MATCH($C69,Stats!$A:$A,0)),FALSE),ROUND(D69+(E69-D69)*(1+G69)*((1-1)/(MaxLevel-1))^(2^F69),0),D69+(E69-D69)*(1+G69)*((1-1)/(MaxLevel-1))^(2^F69)))</f>
        <v/>
      </c>
      <c r="I69" s="12" t="str">
        <f>IF(OR(D69="",E69=""),"",IF(IFERROR(INDEX(Stats!$D:$D,MATCH($C69,Stats!$A:$A,0)),FALSE),ROUND(D69+(E69-D69)*(1+G69)*((2-1)/(MaxLevel-1))^(2^F69),0),D69+(E69-D69)*(1+G69)*((2-1)/(MaxLevel-1))^(2^F69)))</f>
        <v/>
      </c>
      <c r="J69" s="12" t="str">
        <f>IF(OR(D69="",E69=""),"",IF(IFERROR(INDEX(Stats!$D:$D,MATCH($C69,Stats!$A:$A,0)),FALSE),ROUND(D69+(E69-D69)*(1+G69)*((3-1)/(MaxLevel-1))^(2^F69),0),D69+(E69-D69)*(1+G69)*((3-1)/(MaxLevel-1))^(2^F69)))</f>
        <v/>
      </c>
      <c r="K69" s="12" t="str">
        <f>IF(OR(D69="",E69=""),"",IF(IFERROR(INDEX(Stats!$D:$D,MATCH($C69,Stats!$A:$A,0)),FALSE),ROUND(D69+(E69-D69)*(1+G69)*((4-1)/(MaxLevel-1))^(2^F69),0),D69+(E69-D69)*(1+G69)*((4-1)/(MaxLevel-1))^(2^F69)))</f>
        <v/>
      </c>
      <c r="L69" s="12" t="str">
        <f>IF(OR(D69="",E69=""),"",IF(IFERROR(INDEX(Stats!$D:$D,MATCH($C69,Stats!$A:$A,0)),FALSE),ROUND(D69+(E69-D69)*(1+G69)*((5-1)/(MaxLevel-1))^(2^F69),0),D69+(E69-D69)*(1+G69)*((5-1)/(MaxLevel-1))^(2^F69)))</f>
        <v/>
      </c>
      <c r="M69" s="12" t="str">
        <f>IF(OR(D69="",E69=""),"",IF(IFERROR(INDEX(Stats!$D:$D,MATCH($C69,Stats!$A:$A,0)),FALSE),ROUND(D69+(E69-D69)*(1+G69)*((6-1)/(MaxLevel-1))^(2^F69),0),D69+(E69-D69)*(1+G69)*((6-1)/(MaxLevel-1))^(2^F69)))</f>
        <v/>
      </c>
      <c r="N69" s="12" t="str">
        <f>IF(OR(D69="",E69=""),"",IF(IFERROR(INDEX(Stats!$D:$D,MATCH($C69,Stats!$A:$A,0)),FALSE),ROUND(D69+(E69-D69)*(1+G69)*((7-1)/(MaxLevel-1))^(2^F69),0),D69+(E69-D69)*(1+G69)*((7-1)/(MaxLevel-1))^(2^F69)))</f>
        <v/>
      </c>
      <c r="O69" s="12" t="str">
        <f>IF(OR(D69="",E69=""),"",IF(IFERROR(INDEX(Stats!$D:$D,MATCH($C69,Stats!$A:$A,0)),FALSE),ROUND(D69+(E69-D69)*(1+G69)*((8-1)/(MaxLevel-1))^(2^F69),0),D69+(E69-D69)*(1+G69)*((8-1)/(MaxLevel-1))^(2^F69)))</f>
        <v/>
      </c>
      <c r="P69" s="12" t="str">
        <f>IF(OR(D69="",E69=""),"",IF(IFERROR(INDEX(Stats!$D:$D,MATCH($C69,Stats!$A:$A,0)),FALSE),ROUND(D69+(E69-D69)*(1+G69)*((9-1)/(MaxLevel-1))^(2^F69),0),D69+(E69-D69)*(1+G69)*((9-1)/(MaxLevel-1))^(2^F69)))</f>
        <v/>
      </c>
      <c r="Q69" s="12" t="str">
        <f>IF(OR(D69="",E69=""),"",IF(IFERROR(INDEX(Stats!$D:$D,MATCH($C69,Stats!$A:$A,0)),FALSE),ROUND(D69+(E69-D69)*(1+G69)*((10-1)/(MaxLevel-1))^(2^F69),0),D69+(E69-D69)*(1+G69)*((10-1)/(MaxLevel-1))^(2^F69)))</f>
        <v/>
      </c>
    </row>
    <row r="70" spans="1:17" x14ac:dyDescent="0.25">
      <c r="A70" s="4" t="s">
        <v>185</v>
      </c>
      <c r="B70" s="19" t="s">
        <v>220</v>
      </c>
      <c r="C70" s="4" t="s">
        <v>46</v>
      </c>
      <c r="D70" s="5"/>
      <c r="E70" s="5"/>
      <c r="F70" s="5"/>
      <c r="G70" s="5"/>
      <c r="H70" s="12" t="str">
        <f>IF(OR(D70="",E70=""),"",IF(IFERROR(INDEX(Stats!$D:$D,MATCH($C70,Stats!$A:$A,0)),FALSE),ROUND(D70+(E70-D70)*(1+G70)*((1-1)/(MaxLevel-1))^(2^F70),0),D70+(E70-D70)*(1+G70)*((1-1)/(MaxLevel-1))^(2^F70)))</f>
        <v/>
      </c>
      <c r="I70" s="12" t="str">
        <f>IF(OR(D70="",E70=""),"",IF(IFERROR(INDEX(Stats!$D:$D,MATCH($C70,Stats!$A:$A,0)),FALSE),ROUND(D70+(E70-D70)*(1+G70)*((2-1)/(MaxLevel-1))^(2^F70),0),D70+(E70-D70)*(1+G70)*((2-1)/(MaxLevel-1))^(2^F70)))</f>
        <v/>
      </c>
      <c r="J70" s="12" t="str">
        <f>IF(OR(D70="",E70=""),"",IF(IFERROR(INDEX(Stats!$D:$D,MATCH($C70,Stats!$A:$A,0)),FALSE),ROUND(D70+(E70-D70)*(1+G70)*((3-1)/(MaxLevel-1))^(2^F70),0),D70+(E70-D70)*(1+G70)*((3-1)/(MaxLevel-1))^(2^F70)))</f>
        <v/>
      </c>
      <c r="K70" s="12" t="str">
        <f>IF(OR(D70="",E70=""),"",IF(IFERROR(INDEX(Stats!$D:$D,MATCH($C70,Stats!$A:$A,0)),FALSE),ROUND(D70+(E70-D70)*(1+G70)*((4-1)/(MaxLevel-1))^(2^F70),0),D70+(E70-D70)*(1+G70)*((4-1)/(MaxLevel-1))^(2^F70)))</f>
        <v/>
      </c>
      <c r="L70" s="12" t="str">
        <f>IF(OR(D70="",E70=""),"",IF(IFERROR(INDEX(Stats!$D:$D,MATCH($C70,Stats!$A:$A,0)),FALSE),ROUND(D70+(E70-D70)*(1+G70)*((5-1)/(MaxLevel-1))^(2^F70),0),D70+(E70-D70)*(1+G70)*((5-1)/(MaxLevel-1))^(2^F70)))</f>
        <v/>
      </c>
      <c r="M70" s="12" t="str">
        <f>IF(OR(D70="",E70=""),"",IF(IFERROR(INDEX(Stats!$D:$D,MATCH($C70,Stats!$A:$A,0)),FALSE),ROUND(D70+(E70-D70)*(1+G70)*((6-1)/(MaxLevel-1))^(2^F70),0),D70+(E70-D70)*(1+G70)*((6-1)/(MaxLevel-1))^(2^F70)))</f>
        <v/>
      </c>
      <c r="N70" s="12" t="str">
        <f>IF(OR(D70="",E70=""),"",IF(IFERROR(INDEX(Stats!$D:$D,MATCH($C70,Stats!$A:$A,0)),FALSE),ROUND(D70+(E70-D70)*(1+G70)*((7-1)/(MaxLevel-1))^(2^F70),0),D70+(E70-D70)*(1+G70)*((7-1)/(MaxLevel-1))^(2^F70)))</f>
        <v/>
      </c>
      <c r="O70" s="12" t="str">
        <f>IF(OR(D70="",E70=""),"",IF(IFERROR(INDEX(Stats!$D:$D,MATCH($C70,Stats!$A:$A,0)),FALSE),ROUND(D70+(E70-D70)*(1+G70)*((8-1)/(MaxLevel-1))^(2^F70),0),D70+(E70-D70)*(1+G70)*((8-1)/(MaxLevel-1))^(2^F70)))</f>
        <v/>
      </c>
      <c r="P70" s="12" t="str">
        <f>IF(OR(D70="",E70=""),"",IF(IFERROR(INDEX(Stats!$D:$D,MATCH($C70,Stats!$A:$A,0)),FALSE),ROUND(D70+(E70-D70)*(1+G70)*((9-1)/(MaxLevel-1))^(2^F70),0),D70+(E70-D70)*(1+G70)*((9-1)/(MaxLevel-1))^(2^F70)))</f>
        <v/>
      </c>
      <c r="Q70" s="12" t="str">
        <f>IF(OR(D70="",E70=""),"",IF(IFERROR(INDEX(Stats!$D:$D,MATCH($C70,Stats!$A:$A,0)),FALSE),ROUND(D70+(E70-D70)*(1+G70)*((10-1)/(MaxLevel-1))^(2^F70),0),D70+(E70-D70)*(1+G70)*((10-1)/(MaxLevel-1))^(2^F70)))</f>
        <v/>
      </c>
    </row>
    <row r="71" spans="1:17" x14ac:dyDescent="0.25">
      <c r="A71" s="4" t="s">
        <v>185</v>
      </c>
      <c r="B71" s="19" t="s">
        <v>220</v>
      </c>
      <c r="C71" s="4" t="s">
        <v>48</v>
      </c>
      <c r="D71" s="5"/>
      <c r="E71" s="5"/>
      <c r="F71" s="5"/>
      <c r="G71" s="5"/>
      <c r="H71" s="12" t="str">
        <f>IF(OR(D71="",E71=""),"",IF(IFERROR(INDEX(Stats!$D:$D,MATCH($C71,Stats!$A:$A,0)),FALSE),ROUND(D71+(E71-D71)*(1+G71)*((1-1)/(MaxLevel-1))^(2^F71),0),D71+(E71-D71)*(1+G71)*((1-1)/(MaxLevel-1))^(2^F71)))</f>
        <v/>
      </c>
      <c r="I71" s="12" t="str">
        <f>IF(OR(D71="",E71=""),"",IF(IFERROR(INDEX(Stats!$D:$D,MATCH($C71,Stats!$A:$A,0)),FALSE),ROUND(D71+(E71-D71)*(1+G71)*((2-1)/(MaxLevel-1))^(2^F71),0),D71+(E71-D71)*(1+G71)*((2-1)/(MaxLevel-1))^(2^F71)))</f>
        <v/>
      </c>
      <c r="J71" s="12" t="str">
        <f>IF(OR(D71="",E71=""),"",IF(IFERROR(INDEX(Stats!$D:$D,MATCH($C71,Stats!$A:$A,0)),FALSE),ROUND(D71+(E71-D71)*(1+G71)*((3-1)/(MaxLevel-1))^(2^F71),0),D71+(E71-D71)*(1+G71)*((3-1)/(MaxLevel-1))^(2^F71)))</f>
        <v/>
      </c>
      <c r="K71" s="12" t="str">
        <f>IF(OR(D71="",E71=""),"",IF(IFERROR(INDEX(Stats!$D:$D,MATCH($C71,Stats!$A:$A,0)),FALSE),ROUND(D71+(E71-D71)*(1+G71)*((4-1)/(MaxLevel-1))^(2^F71),0),D71+(E71-D71)*(1+G71)*((4-1)/(MaxLevel-1))^(2^F71)))</f>
        <v/>
      </c>
      <c r="L71" s="12" t="str">
        <f>IF(OR(D71="",E71=""),"",IF(IFERROR(INDEX(Stats!$D:$D,MATCH($C71,Stats!$A:$A,0)),FALSE),ROUND(D71+(E71-D71)*(1+G71)*((5-1)/(MaxLevel-1))^(2^F71),0),D71+(E71-D71)*(1+G71)*((5-1)/(MaxLevel-1))^(2^F71)))</f>
        <v/>
      </c>
      <c r="M71" s="12" t="str">
        <f>IF(OR(D71="",E71=""),"",IF(IFERROR(INDEX(Stats!$D:$D,MATCH($C71,Stats!$A:$A,0)),FALSE),ROUND(D71+(E71-D71)*(1+G71)*((6-1)/(MaxLevel-1))^(2^F71),0),D71+(E71-D71)*(1+G71)*((6-1)/(MaxLevel-1))^(2^F71)))</f>
        <v/>
      </c>
      <c r="N71" s="12" t="str">
        <f>IF(OR(D71="",E71=""),"",IF(IFERROR(INDEX(Stats!$D:$D,MATCH($C71,Stats!$A:$A,0)),FALSE),ROUND(D71+(E71-D71)*(1+G71)*((7-1)/(MaxLevel-1))^(2^F71),0),D71+(E71-D71)*(1+G71)*((7-1)/(MaxLevel-1))^(2^F71)))</f>
        <v/>
      </c>
      <c r="O71" s="12" t="str">
        <f>IF(OR(D71="",E71=""),"",IF(IFERROR(INDEX(Stats!$D:$D,MATCH($C71,Stats!$A:$A,0)),FALSE),ROUND(D71+(E71-D71)*(1+G71)*((8-1)/(MaxLevel-1))^(2^F71),0),D71+(E71-D71)*(1+G71)*((8-1)/(MaxLevel-1))^(2^F71)))</f>
        <v/>
      </c>
      <c r="P71" s="12" t="str">
        <f>IF(OR(D71="",E71=""),"",IF(IFERROR(INDEX(Stats!$D:$D,MATCH($C71,Stats!$A:$A,0)),FALSE),ROUND(D71+(E71-D71)*(1+G71)*((9-1)/(MaxLevel-1))^(2^F71),0),D71+(E71-D71)*(1+G71)*((9-1)/(MaxLevel-1))^(2^F71)))</f>
        <v/>
      </c>
      <c r="Q71" s="12" t="str">
        <f>IF(OR(D71="",E71=""),"",IF(IFERROR(INDEX(Stats!$D:$D,MATCH($C71,Stats!$A:$A,0)),FALSE),ROUND(D71+(E71-D71)*(1+G71)*((10-1)/(MaxLevel-1))^(2^F71),0),D71+(E71-D71)*(1+G71)*((10-1)/(MaxLevel-1))^(2^F71)))</f>
        <v/>
      </c>
    </row>
    <row r="72" spans="1:17" x14ac:dyDescent="0.25">
      <c r="A72" s="4" t="s">
        <v>185</v>
      </c>
      <c r="B72" s="19" t="s">
        <v>220</v>
      </c>
      <c r="C72" s="4" t="s">
        <v>50</v>
      </c>
      <c r="D72" s="5"/>
      <c r="E72" s="5"/>
      <c r="F72" s="5"/>
      <c r="G72" s="5"/>
      <c r="H72" s="12" t="str">
        <f>IF(OR(D72="",E72=""),"",IF(IFERROR(INDEX(Stats!$D:$D,MATCH($C72,Stats!$A:$A,0)),FALSE),ROUND(D72+(E72-D72)*(1+G72)*((1-1)/(MaxLevel-1))^(2^F72),0),D72+(E72-D72)*(1+G72)*((1-1)/(MaxLevel-1))^(2^F72)))</f>
        <v/>
      </c>
      <c r="I72" s="12" t="str">
        <f>IF(OR(D72="",E72=""),"",IF(IFERROR(INDEX(Stats!$D:$D,MATCH($C72,Stats!$A:$A,0)),FALSE),ROUND(D72+(E72-D72)*(1+G72)*((2-1)/(MaxLevel-1))^(2^F72),0),D72+(E72-D72)*(1+G72)*((2-1)/(MaxLevel-1))^(2^F72)))</f>
        <v/>
      </c>
      <c r="J72" s="12" t="str">
        <f>IF(OR(D72="",E72=""),"",IF(IFERROR(INDEX(Stats!$D:$D,MATCH($C72,Stats!$A:$A,0)),FALSE),ROUND(D72+(E72-D72)*(1+G72)*((3-1)/(MaxLevel-1))^(2^F72),0),D72+(E72-D72)*(1+G72)*((3-1)/(MaxLevel-1))^(2^F72)))</f>
        <v/>
      </c>
      <c r="K72" s="12" t="str">
        <f>IF(OR(D72="",E72=""),"",IF(IFERROR(INDEX(Stats!$D:$D,MATCH($C72,Stats!$A:$A,0)),FALSE),ROUND(D72+(E72-D72)*(1+G72)*((4-1)/(MaxLevel-1))^(2^F72),0),D72+(E72-D72)*(1+G72)*((4-1)/(MaxLevel-1))^(2^F72)))</f>
        <v/>
      </c>
      <c r="L72" s="12" t="str">
        <f>IF(OR(D72="",E72=""),"",IF(IFERROR(INDEX(Stats!$D:$D,MATCH($C72,Stats!$A:$A,0)),FALSE),ROUND(D72+(E72-D72)*(1+G72)*((5-1)/(MaxLevel-1))^(2^F72),0),D72+(E72-D72)*(1+G72)*((5-1)/(MaxLevel-1))^(2^F72)))</f>
        <v/>
      </c>
      <c r="M72" s="12" t="str">
        <f>IF(OR(D72="",E72=""),"",IF(IFERROR(INDEX(Stats!$D:$D,MATCH($C72,Stats!$A:$A,0)),FALSE),ROUND(D72+(E72-D72)*(1+G72)*((6-1)/(MaxLevel-1))^(2^F72),0),D72+(E72-D72)*(1+G72)*((6-1)/(MaxLevel-1))^(2^F72)))</f>
        <v/>
      </c>
      <c r="N72" s="12" t="str">
        <f>IF(OR(D72="",E72=""),"",IF(IFERROR(INDEX(Stats!$D:$D,MATCH($C72,Stats!$A:$A,0)),FALSE),ROUND(D72+(E72-D72)*(1+G72)*((7-1)/(MaxLevel-1))^(2^F72),0),D72+(E72-D72)*(1+G72)*((7-1)/(MaxLevel-1))^(2^F72)))</f>
        <v/>
      </c>
      <c r="O72" s="12" t="str">
        <f>IF(OR(D72="",E72=""),"",IF(IFERROR(INDEX(Stats!$D:$D,MATCH($C72,Stats!$A:$A,0)),FALSE),ROUND(D72+(E72-D72)*(1+G72)*((8-1)/(MaxLevel-1))^(2^F72),0),D72+(E72-D72)*(1+G72)*((8-1)/(MaxLevel-1))^(2^F72)))</f>
        <v/>
      </c>
      <c r="P72" s="12" t="str">
        <f>IF(OR(D72="",E72=""),"",IF(IFERROR(INDEX(Stats!$D:$D,MATCH($C72,Stats!$A:$A,0)),FALSE),ROUND(D72+(E72-D72)*(1+G72)*((9-1)/(MaxLevel-1))^(2^F72),0),D72+(E72-D72)*(1+G72)*((9-1)/(MaxLevel-1))^(2^F72)))</f>
        <v/>
      </c>
      <c r="Q72" s="12" t="str">
        <f>IF(OR(D72="",E72=""),"",IF(IFERROR(INDEX(Stats!$D:$D,MATCH($C72,Stats!$A:$A,0)),FALSE),ROUND(D72+(E72-D72)*(1+G72)*((10-1)/(MaxLevel-1))^(2^F72),0),D72+(E72-D72)*(1+G72)*((10-1)/(MaxLevel-1))^(2^F72)))</f>
        <v/>
      </c>
    </row>
    <row r="73" spans="1:17" x14ac:dyDescent="0.25">
      <c r="A73" s="4" t="s">
        <v>185</v>
      </c>
      <c r="B73" s="19" t="s">
        <v>220</v>
      </c>
      <c r="C73" s="4" t="s">
        <v>52</v>
      </c>
      <c r="D73" s="5"/>
      <c r="E73" s="5"/>
      <c r="F73" s="5"/>
      <c r="G73" s="5"/>
      <c r="H73" s="12" t="str">
        <f>IF(OR(D73="",E73=""),"",IF(IFERROR(INDEX(Stats!$D:$D,MATCH($C73,Stats!$A:$A,0)),FALSE),ROUND(D73+(E73-D73)*(1+G73)*((1-1)/(MaxLevel-1))^(2^F73),0),D73+(E73-D73)*(1+G73)*((1-1)/(MaxLevel-1))^(2^F73)))</f>
        <v/>
      </c>
      <c r="I73" s="12" t="str">
        <f>IF(OR(D73="",E73=""),"",IF(IFERROR(INDEX(Stats!$D:$D,MATCH($C73,Stats!$A:$A,0)),FALSE),ROUND(D73+(E73-D73)*(1+G73)*((2-1)/(MaxLevel-1))^(2^F73),0),D73+(E73-D73)*(1+G73)*((2-1)/(MaxLevel-1))^(2^F73)))</f>
        <v/>
      </c>
      <c r="J73" s="12" t="str">
        <f>IF(OR(D73="",E73=""),"",IF(IFERROR(INDEX(Stats!$D:$D,MATCH($C73,Stats!$A:$A,0)),FALSE),ROUND(D73+(E73-D73)*(1+G73)*((3-1)/(MaxLevel-1))^(2^F73),0),D73+(E73-D73)*(1+G73)*((3-1)/(MaxLevel-1))^(2^F73)))</f>
        <v/>
      </c>
      <c r="K73" s="12" t="str">
        <f>IF(OR(D73="",E73=""),"",IF(IFERROR(INDEX(Stats!$D:$D,MATCH($C73,Stats!$A:$A,0)),FALSE),ROUND(D73+(E73-D73)*(1+G73)*((4-1)/(MaxLevel-1))^(2^F73),0),D73+(E73-D73)*(1+G73)*((4-1)/(MaxLevel-1))^(2^F73)))</f>
        <v/>
      </c>
      <c r="L73" s="12" t="str">
        <f>IF(OR(D73="",E73=""),"",IF(IFERROR(INDEX(Stats!$D:$D,MATCH($C73,Stats!$A:$A,0)),FALSE),ROUND(D73+(E73-D73)*(1+G73)*((5-1)/(MaxLevel-1))^(2^F73),0),D73+(E73-D73)*(1+G73)*((5-1)/(MaxLevel-1))^(2^F73)))</f>
        <v/>
      </c>
      <c r="M73" s="12" t="str">
        <f>IF(OR(D73="",E73=""),"",IF(IFERROR(INDEX(Stats!$D:$D,MATCH($C73,Stats!$A:$A,0)),FALSE),ROUND(D73+(E73-D73)*(1+G73)*((6-1)/(MaxLevel-1))^(2^F73),0),D73+(E73-D73)*(1+G73)*((6-1)/(MaxLevel-1))^(2^F73)))</f>
        <v/>
      </c>
      <c r="N73" s="12" t="str">
        <f>IF(OR(D73="",E73=""),"",IF(IFERROR(INDEX(Stats!$D:$D,MATCH($C73,Stats!$A:$A,0)),FALSE),ROUND(D73+(E73-D73)*(1+G73)*((7-1)/(MaxLevel-1))^(2^F73),0),D73+(E73-D73)*(1+G73)*((7-1)/(MaxLevel-1))^(2^F73)))</f>
        <v/>
      </c>
      <c r="O73" s="12" t="str">
        <f>IF(OR(D73="",E73=""),"",IF(IFERROR(INDEX(Stats!$D:$D,MATCH($C73,Stats!$A:$A,0)),FALSE),ROUND(D73+(E73-D73)*(1+G73)*((8-1)/(MaxLevel-1))^(2^F73),0),D73+(E73-D73)*(1+G73)*((8-1)/(MaxLevel-1))^(2^F73)))</f>
        <v/>
      </c>
      <c r="P73" s="12" t="str">
        <f>IF(OR(D73="",E73=""),"",IF(IFERROR(INDEX(Stats!$D:$D,MATCH($C73,Stats!$A:$A,0)),FALSE),ROUND(D73+(E73-D73)*(1+G73)*((9-1)/(MaxLevel-1))^(2^F73),0),D73+(E73-D73)*(1+G73)*((9-1)/(MaxLevel-1))^(2^F73)))</f>
        <v/>
      </c>
      <c r="Q73" s="12" t="str">
        <f>IF(OR(D73="",E73=""),"",IF(IFERROR(INDEX(Stats!$D:$D,MATCH($C73,Stats!$A:$A,0)),FALSE),ROUND(D73+(E73-D73)*(1+G73)*((10-1)/(MaxLevel-1))^(2^F73),0),D73+(E73-D73)*(1+G73)*((10-1)/(MaxLevel-1))^(2^F73)))</f>
        <v/>
      </c>
    </row>
    <row r="74" spans="1:17" x14ac:dyDescent="0.25">
      <c r="A74" s="4" t="s">
        <v>185</v>
      </c>
      <c r="B74" s="19" t="s">
        <v>220</v>
      </c>
      <c r="C74" s="4" t="s">
        <v>54</v>
      </c>
      <c r="D74" s="5"/>
      <c r="E74" s="5"/>
      <c r="F74" s="5"/>
      <c r="G74" s="5"/>
      <c r="H74" s="12" t="str">
        <f>IF(OR(D74="",E74=""),"",IF(IFERROR(INDEX(Stats!$D:$D,MATCH($C74,Stats!$A:$A,0)),FALSE),ROUND(D74+(E74-D74)*(1+G74)*((1-1)/(MaxLevel-1))^(2^F74),0),D74+(E74-D74)*(1+G74)*((1-1)/(MaxLevel-1))^(2^F74)))</f>
        <v/>
      </c>
      <c r="I74" s="12" t="str">
        <f>IF(OR(D74="",E74=""),"",IF(IFERROR(INDEX(Stats!$D:$D,MATCH($C74,Stats!$A:$A,0)),FALSE),ROUND(D74+(E74-D74)*(1+G74)*((2-1)/(MaxLevel-1))^(2^F74),0),D74+(E74-D74)*(1+G74)*((2-1)/(MaxLevel-1))^(2^F74)))</f>
        <v/>
      </c>
      <c r="J74" s="12" t="str">
        <f>IF(OR(D74="",E74=""),"",IF(IFERROR(INDEX(Stats!$D:$D,MATCH($C74,Stats!$A:$A,0)),FALSE),ROUND(D74+(E74-D74)*(1+G74)*((3-1)/(MaxLevel-1))^(2^F74),0),D74+(E74-D74)*(1+G74)*((3-1)/(MaxLevel-1))^(2^F74)))</f>
        <v/>
      </c>
      <c r="K74" s="12" t="str">
        <f>IF(OR(D74="",E74=""),"",IF(IFERROR(INDEX(Stats!$D:$D,MATCH($C74,Stats!$A:$A,0)),FALSE),ROUND(D74+(E74-D74)*(1+G74)*((4-1)/(MaxLevel-1))^(2^F74),0),D74+(E74-D74)*(1+G74)*((4-1)/(MaxLevel-1))^(2^F74)))</f>
        <v/>
      </c>
      <c r="L74" s="12" t="str">
        <f>IF(OR(D74="",E74=""),"",IF(IFERROR(INDEX(Stats!$D:$D,MATCH($C74,Stats!$A:$A,0)),FALSE),ROUND(D74+(E74-D74)*(1+G74)*((5-1)/(MaxLevel-1))^(2^F74),0),D74+(E74-D74)*(1+G74)*((5-1)/(MaxLevel-1))^(2^F74)))</f>
        <v/>
      </c>
      <c r="M74" s="12" t="str">
        <f>IF(OR(D74="",E74=""),"",IF(IFERROR(INDEX(Stats!$D:$D,MATCH($C74,Stats!$A:$A,0)),FALSE),ROUND(D74+(E74-D74)*(1+G74)*((6-1)/(MaxLevel-1))^(2^F74),0),D74+(E74-D74)*(1+G74)*((6-1)/(MaxLevel-1))^(2^F74)))</f>
        <v/>
      </c>
      <c r="N74" s="12" t="str">
        <f>IF(OR(D74="",E74=""),"",IF(IFERROR(INDEX(Stats!$D:$D,MATCH($C74,Stats!$A:$A,0)),FALSE),ROUND(D74+(E74-D74)*(1+G74)*((7-1)/(MaxLevel-1))^(2^F74),0),D74+(E74-D74)*(1+G74)*((7-1)/(MaxLevel-1))^(2^F74)))</f>
        <v/>
      </c>
      <c r="O74" s="12" t="str">
        <f>IF(OR(D74="",E74=""),"",IF(IFERROR(INDEX(Stats!$D:$D,MATCH($C74,Stats!$A:$A,0)),FALSE),ROUND(D74+(E74-D74)*(1+G74)*((8-1)/(MaxLevel-1))^(2^F74),0),D74+(E74-D74)*(1+G74)*((8-1)/(MaxLevel-1))^(2^F74)))</f>
        <v/>
      </c>
      <c r="P74" s="12" t="str">
        <f>IF(OR(D74="",E74=""),"",IF(IFERROR(INDEX(Stats!$D:$D,MATCH($C74,Stats!$A:$A,0)),FALSE),ROUND(D74+(E74-D74)*(1+G74)*((9-1)/(MaxLevel-1))^(2^F74),0),D74+(E74-D74)*(1+G74)*((9-1)/(MaxLevel-1))^(2^F74)))</f>
        <v/>
      </c>
      <c r="Q74" s="12" t="str">
        <f>IF(OR(D74="",E74=""),"",IF(IFERROR(INDEX(Stats!$D:$D,MATCH($C74,Stats!$A:$A,0)),FALSE),ROUND(D74+(E74-D74)*(1+G74)*((10-1)/(MaxLevel-1))^(2^F74),0),D74+(E74-D74)*(1+G74)*((10-1)/(MaxLevel-1))^(2^F74)))</f>
        <v/>
      </c>
    </row>
    <row r="75" spans="1:17" x14ac:dyDescent="0.25">
      <c r="A75" s="4" t="s">
        <v>185</v>
      </c>
      <c r="B75" s="19" t="s">
        <v>220</v>
      </c>
      <c r="C75" s="4" t="s">
        <v>56</v>
      </c>
      <c r="D75" s="5"/>
      <c r="E75" s="5"/>
      <c r="F75" s="5"/>
      <c r="G75" s="5"/>
      <c r="H75" s="12" t="str">
        <f>IF(OR(D75="",E75=""),"",IF(IFERROR(INDEX(Stats!$D:$D,MATCH($C75,Stats!$A:$A,0)),FALSE),ROUND(D75+(E75-D75)*(1+G75)*((1-1)/(MaxLevel-1))^(2^F75),0),D75+(E75-D75)*(1+G75)*((1-1)/(MaxLevel-1))^(2^F75)))</f>
        <v/>
      </c>
      <c r="I75" s="12" t="str">
        <f>IF(OR(D75="",E75=""),"",IF(IFERROR(INDEX(Stats!$D:$D,MATCH($C75,Stats!$A:$A,0)),FALSE),ROUND(D75+(E75-D75)*(1+G75)*((2-1)/(MaxLevel-1))^(2^F75),0),D75+(E75-D75)*(1+G75)*((2-1)/(MaxLevel-1))^(2^F75)))</f>
        <v/>
      </c>
      <c r="J75" s="12" t="str">
        <f>IF(OR(D75="",E75=""),"",IF(IFERROR(INDEX(Stats!$D:$D,MATCH($C75,Stats!$A:$A,0)),FALSE),ROUND(D75+(E75-D75)*(1+G75)*((3-1)/(MaxLevel-1))^(2^F75),0),D75+(E75-D75)*(1+G75)*((3-1)/(MaxLevel-1))^(2^F75)))</f>
        <v/>
      </c>
      <c r="K75" s="12" t="str">
        <f>IF(OR(D75="",E75=""),"",IF(IFERROR(INDEX(Stats!$D:$D,MATCH($C75,Stats!$A:$A,0)),FALSE),ROUND(D75+(E75-D75)*(1+G75)*((4-1)/(MaxLevel-1))^(2^F75),0),D75+(E75-D75)*(1+G75)*((4-1)/(MaxLevel-1))^(2^F75)))</f>
        <v/>
      </c>
      <c r="L75" s="12" t="str">
        <f>IF(OR(D75="",E75=""),"",IF(IFERROR(INDEX(Stats!$D:$D,MATCH($C75,Stats!$A:$A,0)),FALSE),ROUND(D75+(E75-D75)*(1+G75)*((5-1)/(MaxLevel-1))^(2^F75),0),D75+(E75-D75)*(1+G75)*((5-1)/(MaxLevel-1))^(2^F75)))</f>
        <v/>
      </c>
      <c r="M75" s="12" t="str">
        <f>IF(OR(D75="",E75=""),"",IF(IFERROR(INDEX(Stats!$D:$D,MATCH($C75,Stats!$A:$A,0)),FALSE),ROUND(D75+(E75-D75)*(1+G75)*((6-1)/(MaxLevel-1))^(2^F75),0),D75+(E75-D75)*(1+G75)*((6-1)/(MaxLevel-1))^(2^F75)))</f>
        <v/>
      </c>
      <c r="N75" s="12" t="str">
        <f>IF(OR(D75="",E75=""),"",IF(IFERROR(INDEX(Stats!$D:$D,MATCH($C75,Stats!$A:$A,0)),FALSE),ROUND(D75+(E75-D75)*(1+G75)*((7-1)/(MaxLevel-1))^(2^F75),0),D75+(E75-D75)*(1+G75)*((7-1)/(MaxLevel-1))^(2^F75)))</f>
        <v/>
      </c>
      <c r="O75" s="12" t="str">
        <f>IF(OR(D75="",E75=""),"",IF(IFERROR(INDEX(Stats!$D:$D,MATCH($C75,Stats!$A:$A,0)),FALSE),ROUND(D75+(E75-D75)*(1+G75)*((8-1)/(MaxLevel-1))^(2^F75),0),D75+(E75-D75)*(1+G75)*((8-1)/(MaxLevel-1))^(2^F75)))</f>
        <v/>
      </c>
      <c r="P75" s="12" t="str">
        <f>IF(OR(D75="",E75=""),"",IF(IFERROR(INDEX(Stats!$D:$D,MATCH($C75,Stats!$A:$A,0)),FALSE),ROUND(D75+(E75-D75)*(1+G75)*((9-1)/(MaxLevel-1))^(2^F75),0),D75+(E75-D75)*(1+G75)*((9-1)/(MaxLevel-1))^(2^F75)))</f>
        <v/>
      </c>
      <c r="Q75" s="12" t="str">
        <f>IF(OR(D75="",E75=""),"",IF(IFERROR(INDEX(Stats!$D:$D,MATCH($C75,Stats!$A:$A,0)),FALSE),ROUND(D75+(E75-D75)*(1+G75)*((10-1)/(MaxLevel-1))^(2^F75),0),D75+(E75-D75)*(1+G75)*((10-1)/(MaxLevel-1))^(2^F75)))</f>
        <v/>
      </c>
    </row>
    <row r="76" spans="1:17" x14ac:dyDescent="0.25">
      <c r="A76" s="4" t="s">
        <v>185</v>
      </c>
      <c r="B76" s="19" t="s">
        <v>220</v>
      </c>
      <c r="C76" s="4" t="s">
        <v>58</v>
      </c>
      <c r="D76" s="5"/>
      <c r="E76" s="5"/>
      <c r="F76" s="5"/>
      <c r="G76" s="5"/>
      <c r="H76" s="12" t="str">
        <f>IF(OR(D76="",E76=""),"",IF(IFERROR(INDEX(Stats!$D:$D,MATCH($C76,Stats!$A:$A,0)),FALSE),ROUND(D76+(E76-D76)*(1+G76)*((1-1)/(MaxLevel-1))^(2^F76),0),D76+(E76-D76)*(1+G76)*((1-1)/(MaxLevel-1))^(2^F76)))</f>
        <v/>
      </c>
      <c r="I76" s="12" t="str">
        <f>IF(OR(D76="",E76=""),"",IF(IFERROR(INDEX(Stats!$D:$D,MATCH($C76,Stats!$A:$A,0)),FALSE),ROUND(D76+(E76-D76)*(1+G76)*((2-1)/(MaxLevel-1))^(2^F76),0),D76+(E76-D76)*(1+G76)*((2-1)/(MaxLevel-1))^(2^F76)))</f>
        <v/>
      </c>
      <c r="J76" s="12" t="str">
        <f>IF(OR(D76="",E76=""),"",IF(IFERROR(INDEX(Stats!$D:$D,MATCH($C76,Stats!$A:$A,0)),FALSE),ROUND(D76+(E76-D76)*(1+G76)*((3-1)/(MaxLevel-1))^(2^F76),0),D76+(E76-D76)*(1+G76)*((3-1)/(MaxLevel-1))^(2^F76)))</f>
        <v/>
      </c>
      <c r="K76" s="12" t="str">
        <f>IF(OR(D76="",E76=""),"",IF(IFERROR(INDEX(Stats!$D:$D,MATCH($C76,Stats!$A:$A,0)),FALSE),ROUND(D76+(E76-D76)*(1+G76)*((4-1)/(MaxLevel-1))^(2^F76),0),D76+(E76-D76)*(1+G76)*((4-1)/(MaxLevel-1))^(2^F76)))</f>
        <v/>
      </c>
      <c r="L76" s="12" t="str">
        <f>IF(OR(D76="",E76=""),"",IF(IFERROR(INDEX(Stats!$D:$D,MATCH($C76,Stats!$A:$A,0)),FALSE),ROUND(D76+(E76-D76)*(1+G76)*((5-1)/(MaxLevel-1))^(2^F76),0),D76+(E76-D76)*(1+G76)*((5-1)/(MaxLevel-1))^(2^F76)))</f>
        <v/>
      </c>
      <c r="M76" s="12" t="str">
        <f>IF(OR(D76="",E76=""),"",IF(IFERROR(INDEX(Stats!$D:$D,MATCH($C76,Stats!$A:$A,0)),FALSE),ROUND(D76+(E76-D76)*(1+G76)*((6-1)/(MaxLevel-1))^(2^F76),0),D76+(E76-D76)*(1+G76)*((6-1)/(MaxLevel-1))^(2^F76)))</f>
        <v/>
      </c>
      <c r="N76" s="12" t="str">
        <f>IF(OR(D76="",E76=""),"",IF(IFERROR(INDEX(Stats!$D:$D,MATCH($C76,Stats!$A:$A,0)),FALSE),ROUND(D76+(E76-D76)*(1+G76)*((7-1)/(MaxLevel-1))^(2^F76),0),D76+(E76-D76)*(1+G76)*((7-1)/(MaxLevel-1))^(2^F76)))</f>
        <v/>
      </c>
      <c r="O76" s="12" t="str">
        <f>IF(OR(D76="",E76=""),"",IF(IFERROR(INDEX(Stats!$D:$D,MATCH($C76,Stats!$A:$A,0)),FALSE),ROUND(D76+(E76-D76)*(1+G76)*((8-1)/(MaxLevel-1))^(2^F76),0),D76+(E76-D76)*(1+G76)*((8-1)/(MaxLevel-1))^(2^F76)))</f>
        <v/>
      </c>
      <c r="P76" s="12" t="str">
        <f>IF(OR(D76="",E76=""),"",IF(IFERROR(INDEX(Stats!$D:$D,MATCH($C76,Stats!$A:$A,0)),FALSE),ROUND(D76+(E76-D76)*(1+G76)*((9-1)/(MaxLevel-1))^(2^F76),0),D76+(E76-D76)*(1+G76)*((9-1)/(MaxLevel-1))^(2^F76)))</f>
        <v/>
      </c>
      <c r="Q76" s="12" t="str">
        <f>IF(OR(D76="",E76=""),"",IF(IFERROR(INDEX(Stats!$D:$D,MATCH($C76,Stats!$A:$A,0)),FALSE),ROUND(D76+(E76-D76)*(1+G76)*((10-1)/(MaxLevel-1))^(2^F76),0),D76+(E76-D76)*(1+G76)*((10-1)/(MaxLevel-1))^(2^F76)))</f>
        <v/>
      </c>
    </row>
    <row r="77" spans="1:17" x14ac:dyDescent="0.25">
      <c r="A77" s="4" t="s">
        <v>185</v>
      </c>
      <c r="B77" s="19" t="s">
        <v>220</v>
      </c>
      <c r="C77" s="4" t="s">
        <v>60</v>
      </c>
      <c r="D77" s="5">
        <v>0.3</v>
      </c>
      <c r="E77" s="5">
        <v>0.1</v>
      </c>
      <c r="F77" s="5">
        <v>0</v>
      </c>
      <c r="G77" s="5">
        <v>0</v>
      </c>
      <c r="H77" s="12">
        <f>IF(OR(D77="",E77=""),"",IF(IFERROR(INDEX(Stats!$D:$D,MATCH($C77,Stats!$A:$A,0)),FALSE),ROUND(D77+(E77-D77)*(1+G77)*((1-1)/(MaxLevel-1))^(2^F77),0),D77+(E77-D77)*(1+G77)*((1-1)/(MaxLevel-1))^(2^F77)))</f>
        <v>0.3</v>
      </c>
      <c r="I77" s="12">
        <f>IF(OR(D77="",E77=""),"",IF(IFERROR(INDEX(Stats!$D:$D,MATCH($C77,Stats!$A:$A,0)),FALSE),ROUND(D77+(E77-D77)*(1+G77)*((2-1)/(MaxLevel-1))^(2^F77),0),D77+(E77-D77)*(1+G77)*((2-1)/(MaxLevel-1))^(2^F77)))</f>
        <v>0.27777777777777779</v>
      </c>
      <c r="J77" s="12">
        <f>IF(OR(D77="",E77=""),"",IF(IFERROR(INDEX(Stats!$D:$D,MATCH($C77,Stats!$A:$A,0)),FALSE),ROUND(D77+(E77-D77)*(1+G77)*((3-1)/(MaxLevel-1))^(2^F77),0),D77+(E77-D77)*(1+G77)*((3-1)/(MaxLevel-1))^(2^F77)))</f>
        <v>0.25555555555555554</v>
      </c>
      <c r="K77" s="12">
        <f>IF(OR(D77="",E77=""),"",IF(IFERROR(INDEX(Stats!$D:$D,MATCH($C77,Stats!$A:$A,0)),FALSE),ROUND(D77+(E77-D77)*(1+G77)*((4-1)/(MaxLevel-1))^(2^F77),0),D77+(E77-D77)*(1+G77)*((4-1)/(MaxLevel-1))^(2^F77)))</f>
        <v>0.23333333333333334</v>
      </c>
      <c r="L77" s="12">
        <f>IF(OR(D77="",E77=""),"",IF(IFERROR(INDEX(Stats!$D:$D,MATCH($C77,Stats!$A:$A,0)),FALSE),ROUND(D77+(E77-D77)*(1+G77)*((5-1)/(MaxLevel-1))^(2^F77),0),D77+(E77-D77)*(1+G77)*((5-1)/(MaxLevel-1))^(2^F77)))</f>
        <v>0.21111111111111111</v>
      </c>
      <c r="M77" s="12">
        <f>IF(OR(D77="",E77=""),"",IF(IFERROR(INDEX(Stats!$D:$D,MATCH($C77,Stats!$A:$A,0)),FALSE),ROUND(D77+(E77-D77)*(1+G77)*((6-1)/(MaxLevel-1))^(2^F77),0),D77+(E77-D77)*(1+G77)*((6-1)/(MaxLevel-1))^(2^F77)))</f>
        <v>0.18888888888888888</v>
      </c>
      <c r="N77" s="12">
        <f>IF(OR(D77="",E77=""),"",IF(IFERROR(INDEX(Stats!$D:$D,MATCH($C77,Stats!$A:$A,0)),FALSE),ROUND(D77+(E77-D77)*(1+G77)*((7-1)/(MaxLevel-1))^(2^F77),0),D77+(E77-D77)*(1+G77)*((7-1)/(MaxLevel-1))^(2^F77)))</f>
        <v>0.16666666666666669</v>
      </c>
      <c r="O77" s="12">
        <f>IF(OR(D77="",E77=""),"",IF(IFERROR(INDEX(Stats!$D:$D,MATCH($C77,Stats!$A:$A,0)),FALSE),ROUND(D77+(E77-D77)*(1+G77)*((8-1)/(MaxLevel-1))^(2^F77),0),D77+(E77-D77)*(1+G77)*((8-1)/(MaxLevel-1))^(2^F77)))</f>
        <v>0.14444444444444443</v>
      </c>
      <c r="P77" s="12">
        <f>IF(OR(D77="",E77=""),"",IF(IFERROR(INDEX(Stats!$D:$D,MATCH($C77,Stats!$A:$A,0)),FALSE),ROUND(D77+(E77-D77)*(1+G77)*((9-1)/(MaxLevel-1))^(2^F77),0),D77+(E77-D77)*(1+G77)*((9-1)/(MaxLevel-1))^(2^F77)))</f>
        <v>0.12222222222222223</v>
      </c>
      <c r="Q77" s="12">
        <f>IF(OR(D77="",E77=""),"",IF(IFERROR(INDEX(Stats!$D:$D,MATCH($C77,Stats!$A:$A,0)),FALSE),ROUND(D77+(E77-D77)*(1+G77)*((10-1)/(MaxLevel-1))^(2^F77),0),D77+(E77-D77)*(1+G77)*((10-1)/(MaxLevel-1))^(2^F77)))</f>
        <v>0.1</v>
      </c>
    </row>
    <row r="78" spans="1:17" x14ac:dyDescent="0.25">
      <c r="A78" s="4" t="s">
        <v>185</v>
      </c>
      <c r="B78" s="19" t="s">
        <v>221</v>
      </c>
      <c r="C78" s="4" t="s">
        <v>24</v>
      </c>
      <c r="D78" s="5">
        <v>0</v>
      </c>
      <c r="E78" s="5">
        <v>5000</v>
      </c>
      <c r="F78" s="5">
        <v>1</v>
      </c>
      <c r="G78" s="5">
        <v>0</v>
      </c>
      <c r="H78" s="12">
        <f>IF(OR(D78="",E78=""),"",IF(IFERROR(INDEX(Stats!$D:$D,MATCH($C78,Stats!$A:$A,0)),FALSE),ROUND(D78+(E78-D78)*(1+G78)*((1-1)/(MaxLevel-1))^(2^F78),0),D78+(E78-D78)*(1+G78)*((1-1)/(MaxLevel-1))^(2^F78)))</f>
        <v>0</v>
      </c>
      <c r="I78" s="12">
        <f>IF(OR(D78="",E78=""),"",IF(IFERROR(INDEX(Stats!$D:$D,MATCH($C78,Stats!$A:$A,0)),FALSE),ROUND(D78+(E78-D78)*(1+G78)*((2-1)/(MaxLevel-1))^(2^F78),0),D78+(E78-D78)*(1+G78)*((2-1)/(MaxLevel-1))^(2^F78)))</f>
        <v>62</v>
      </c>
      <c r="J78" s="12">
        <f>IF(OR(D78="",E78=""),"",IF(IFERROR(INDEX(Stats!$D:$D,MATCH($C78,Stats!$A:$A,0)),FALSE),ROUND(D78+(E78-D78)*(1+G78)*((3-1)/(MaxLevel-1))^(2^F78),0),D78+(E78-D78)*(1+G78)*((3-1)/(MaxLevel-1))^(2^F78)))</f>
        <v>247</v>
      </c>
      <c r="K78" s="12">
        <f>IF(OR(D78="",E78=""),"",IF(IFERROR(INDEX(Stats!$D:$D,MATCH($C78,Stats!$A:$A,0)),FALSE),ROUND(D78+(E78-D78)*(1+G78)*((4-1)/(MaxLevel-1))^(2^F78),0),D78+(E78-D78)*(1+G78)*((4-1)/(MaxLevel-1))^(2^F78)))</f>
        <v>556</v>
      </c>
      <c r="L78" s="12">
        <f>IF(OR(D78="",E78=""),"",IF(IFERROR(INDEX(Stats!$D:$D,MATCH($C78,Stats!$A:$A,0)),FALSE),ROUND(D78+(E78-D78)*(1+G78)*((5-1)/(MaxLevel-1))^(2^F78),0),D78+(E78-D78)*(1+G78)*((5-1)/(MaxLevel-1))^(2^F78)))</f>
        <v>988</v>
      </c>
      <c r="M78" s="12">
        <f>IF(OR(D78="",E78=""),"",IF(IFERROR(INDEX(Stats!$D:$D,MATCH($C78,Stats!$A:$A,0)),FALSE),ROUND(D78+(E78-D78)*(1+G78)*((6-1)/(MaxLevel-1))^(2^F78),0),D78+(E78-D78)*(1+G78)*((6-1)/(MaxLevel-1))^(2^F78)))</f>
        <v>1543</v>
      </c>
      <c r="N78" s="12">
        <f>IF(OR(D78="",E78=""),"",IF(IFERROR(INDEX(Stats!$D:$D,MATCH($C78,Stats!$A:$A,0)),FALSE),ROUND(D78+(E78-D78)*(1+G78)*((7-1)/(MaxLevel-1))^(2^F78),0),D78+(E78-D78)*(1+G78)*((7-1)/(MaxLevel-1))^(2^F78)))</f>
        <v>2222</v>
      </c>
      <c r="O78" s="12">
        <f>IF(OR(D78="",E78=""),"",IF(IFERROR(INDEX(Stats!$D:$D,MATCH($C78,Stats!$A:$A,0)),FALSE),ROUND(D78+(E78-D78)*(1+G78)*((8-1)/(MaxLevel-1))^(2^F78),0),D78+(E78-D78)*(1+G78)*((8-1)/(MaxLevel-1))^(2^F78)))</f>
        <v>3025</v>
      </c>
      <c r="P78" s="12">
        <f>IF(OR(D78="",E78=""),"",IF(IFERROR(INDEX(Stats!$D:$D,MATCH($C78,Stats!$A:$A,0)),FALSE),ROUND(D78+(E78-D78)*(1+G78)*((9-1)/(MaxLevel-1))^(2^F78),0),D78+(E78-D78)*(1+G78)*((9-1)/(MaxLevel-1))^(2^F78)))</f>
        <v>3951</v>
      </c>
      <c r="Q78" s="12">
        <f>IF(OR(D78="",E78=""),"",IF(IFERROR(INDEX(Stats!$D:$D,MATCH($C78,Stats!$A:$A,0)),FALSE),ROUND(D78+(E78-D78)*(1+G78)*((10-1)/(MaxLevel-1))^(2^F78),0),D78+(E78-D78)*(1+G78)*((10-1)/(MaxLevel-1))^(2^F78)))</f>
        <v>5000</v>
      </c>
    </row>
    <row r="79" spans="1:17" x14ac:dyDescent="0.25">
      <c r="A79" s="4" t="s">
        <v>185</v>
      </c>
      <c r="B79" s="19" t="s">
        <v>221</v>
      </c>
      <c r="C79" s="4" t="s">
        <v>26</v>
      </c>
      <c r="D79" s="5">
        <v>10</v>
      </c>
      <c r="E79" s="5">
        <v>80</v>
      </c>
      <c r="F79" s="5">
        <v>0</v>
      </c>
      <c r="G79" s="5">
        <v>0</v>
      </c>
      <c r="H79" s="12">
        <f>IF(OR(D79="",E79=""),"",IF(IFERROR(INDEX(Stats!$D:$D,MATCH($C79,Stats!$A:$A,0)),FALSE),ROUND(D79+(E79-D79)*(1+G79)*((1-1)/(MaxLevel-1))^(2^F79),0),D79+(E79-D79)*(1+G79)*((1-1)/(MaxLevel-1))^(2^F79)))</f>
        <v>10</v>
      </c>
      <c r="I79" s="12">
        <f>IF(OR(D79="",E79=""),"",IF(IFERROR(INDEX(Stats!$D:$D,MATCH($C79,Stats!$A:$A,0)),FALSE),ROUND(D79+(E79-D79)*(1+G79)*((2-1)/(MaxLevel-1))^(2^F79),0),D79+(E79-D79)*(1+G79)*((2-1)/(MaxLevel-1))^(2^F79)))</f>
        <v>18</v>
      </c>
      <c r="J79" s="12">
        <f>IF(OR(D79="",E79=""),"",IF(IFERROR(INDEX(Stats!$D:$D,MATCH($C79,Stats!$A:$A,0)),FALSE),ROUND(D79+(E79-D79)*(1+G79)*((3-1)/(MaxLevel-1))^(2^F79),0),D79+(E79-D79)*(1+G79)*((3-1)/(MaxLevel-1))^(2^F79)))</f>
        <v>26</v>
      </c>
      <c r="K79" s="12">
        <f>IF(OR(D79="",E79=""),"",IF(IFERROR(INDEX(Stats!$D:$D,MATCH($C79,Stats!$A:$A,0)),FALSE),ROUND(D79+(E79-D79)*(1+G79)*((4-1)/(MaxLevel-1))^(2^F79),0),D79+(E79-D79)*(1+G79)*((4-1)/(MaxLevel-1))^(2^F79)))</f>
        <v>33</v>
      </c>
      <c r="L79" s="12">
        <f>IF(OR(D79="",E79=""),"",IF(IFERROR(INDEX(Stats!$D:$D,MATCH($C79,Stats!$A:$A,0)),FALSE),ROUND(D79+(E79-D79)*(1+G79)*((5-1)/(MaxLevel-1))^(2^F79),0),D79+(E79-D79)*(1+G79)*((5-1)/(MaxLevel-1))^(2^F79)))</f>
        <v>41</v>
      </c>
      <c r="M79" s="12">
        <f>IF(OR(D79="",E79=""),"",IF(IFERROR(INDEX(Stats!$D:$D,MATCH($C79,Stats!$A:$A,0)),FALSE),ROUND(D79+(E79-D79)*(1+G79)*((6-1)/(MaxLevel-1))^(2^F79),0),D79+(E79-D79)*(1+G79)*((6-1)/(MaxLevel-1))^(2^F79)))</f>
        <v>49</v>
      </c>
      <c r="N79" s="12">
        <f>IF(OR(D79="",E79=""),"",IF(IFERROR(INDEX(Stats!$D:$D,MATCH($C79,Stats!$A:$A,0)),FALSE),ROUND(D79+(E79-D79)*(1+G79)*((7-1)/(MaxLevel-1))^(2^F79),0),D79+(E79-D79)*(1+G79)*((7-1)/(MaxLevel-1))^(2^F79)))</f>
        <v>57</v>
      </c>
      <c r="O79" s="12">
        <f>IF(OR(D79="",E79=""),"",IF(IFERROR(INDEX(Stats!$D:$D,MATCH($C79,Stats!$A:$A,0)),FALSE),ROUND(D79+(E79-D79)*(1+G79)*((8-1)/(MaxLevel-1))^(2^F79),0),D79+(E79-D79)*(1+G79)*((8-1)/(MaxLevel-1))^(2^F79)))</f>
        <v>64</v>
      </c>
      <c r="P79" s="12">
        <f>IF(OR(D79="",E79=""),"",IF(IFERROR(INDEX(Stats!$D:$D,MATCH($C79,Stats!$A:$A,0)),FALSE),ROUND(D79+(E79-D79)*(1+G79)*((9-1)/(MaxLevel-1))^(2^F79),0),D79+(E79-D79)*(1+G79)*((9-1)/(MaxLevel-1))^(2^F79)))</f>
        <v>72</v>
      </c>
      <c r="Q79" s="12">
        <f>IF(OR(D79="",E79=""),"",IF(IFERROR(INDEX(Stats!$D:$D,MATCH($C79,Stats!$A:$A,0)),FALSE),ROUND(D79+(E79-D79)*(1+G79)*((10-1)/(MaxLevel-1))^(2^F79),0),D79+(E79-D79)*(1+G79)*((10-1)/(MaxLevel-1))^(2^F79)))</f>
        <v>80</v>
      </c>
    </row>
    <row r="80" spans="1:17" x14ac:dyDescent="0.25">
      <c r="A80" s="4" t="s">
        <v>185</v>
      </c>
      <c r="B80" s="19" t="s">
        <v>221</v>
      </c>
      <c r="C80" s="4" t="s">
        <v>28</v>
      </c>
      <c r="D80" s="5">
        <v>80</v>
      </c>
      <c r="E80" s="5">
        <v>400</v>
      </c>
      <c r="F80" s="5">
        <v>-0.5</v>
      </c>
      <c r="G80" s="5">
        <v>0</v>
      </c>
      <c r="H80" s="12">
        <f>IF(OR(D80="",E80=""),"",IF(IFERROR(INDEX(Stats!$D:$D,MATCH($C80,Stats!$A:$A,0)),FALSE),ROUND(D80+(E80-D80)*(1+G80)*((1-1)/(MaxLevel-1))^(2^F80),0),D80+(E80-D80)*(1+G80)*((1-1)/(MaxLevel-1))^(2^F80)))</f>
        <v>80</v>
      </c>
      <c r="I80" s="12">
        <f>IF(OR(D80="",E80=""),"",IF(IFERROR(INDEX(Stats!$D:$D,MATCH($C80,Stats!$A:$A,0)),FALSE),ROUND(D80+(E80-D80)*(1+G80)*((2-1)/(MaxLevel-1))^(2^F80),0),D80+(E80-D80)*(1+G80)*((2-1)/(MaxLevel-1))^(2^F80)))</f>
        <v>148</v>
      </c>
      <c r="J80" s="12">
        <f>IF(OR(D80="",E80=""),"",IF(IFERROR(INDEX(Stats!$D:$D,MATCH($C80,Stats!$A:$A,0)),FALSE),ROUND(D80+(E80-D80)*(1+G80)*((3-1)/(MaxLevel-1))^(2^F80),0),D80+(E80-D80)*(1+G80)*((3-1)/(MaxLevel-1))^(2^F80)))</f>
        <v>190</v>
      </c>
      <c r="K80" s="12">
        <f>IF(OR(D80="",E80=""),"",IF(IFERROR(INDEX(Stats!$D:$D,MATCH($C80,Stats!$A:$A,0)),FALSE),ROUND(D80+(E80-D80)*(1+G80)*((4-1)/(MaxLevel-1))^(2^F80),0),D80+(E80-D80)*(1+G80)*((4-1)/(MaxLevel-1))^(2^F80)))</f>
        <v>227</v>
      </c>
      <c r="L80" s="12">
        <f>IF(OR(D80="",E80=""),"",IF(IFERROR(INDEX(Stats!$D:$D,MATCH($C80,Stats!$A:$A,0)),FALSE),ROUND(D80+(E80-D80)*(1+G80)*((5-1)/(MaxLevel-1))^(2^F80),0),D80+(E80-D80)*(1+G80)*((5-1)/(MaxLevel-1))^(2^F80)))</f>
        <v>260</v>
      </c>
      <c r="M80" s="12">
        <f>IF(OR(D80="",E80=""),"",IF(IFERROR(INDEX(Stats!$D:$D,MATCH($C80,Stats!$A:$A,0)),FALSE),ROUND(D80+(E80-D80)*(1+G80)*((6-1)/(MaxLevel-1))^(2^F80),0),D80+(E80-D80)*(1+G80)*((6-1)/(MaxLevel-1))^(2^F80)))</f>
        <v>291</v>
      </c>
      <c r="N80" s="12">
        <f>IF(OR(D80="",E80=""),"",IF(IFERROR(INDEX(Stats!$D:$D,MATCH($C80,Stats!$A:$A,0)),FALSE),ROUND(D80+(E80-D80)*(1+G80)*((7-1)/(MaxLevel-1))^(2^F80),0),D80+(E80-D80)*(1+G80)*((7-1)/(MaxLevel-1))^(2^F80)))</f>
        <v>320</v>
      </c>
      <c r="O80" s="12">
        <f>IF(OR(D80="",E80=""),"",IF(IFERROR(INDEX(Stats!$D:$D,MATCH($C80,Stats!$A:$A,0)),FALSE),ROUND(D80+(E80-D80)*(1+G80)*((8-1)/(MaxLevel-1))^(2^F80),0),D80+(E80-D80)*(1+G80)*((8-1)/(MaxLevel-1))^(2^F80)))</f>
        <v>348</v>
      </c>
      <c r="P80" s="12">
        <f>IF(OR(D80="",E80=""),"",IF(IFERROR(INDEX(Stats!$D:$D,MATCH($C80,Stats!$A:$A,0)),FALSE),ROUND(D80+(E80-D80)*(1+G80)*((9-1)/(MaxLevel-1))^(2^F80),0),D80+(E80-D80)*(1+G80)*((9-1)/(MaxLevel-1))^(2^F80)))</f>
        <v>374</v>
      </c>
      <c r="Q80" s="12">
        <f>IF(OR(D80="",E80=""),"",IF(IFERROR(INDEX(Stats!$D:$D,MATCH($C80,Stats!$A:$A,0)),FALSE),ROUND(D80+(E80-D80)*(1+G80)*((10-1)/(MaxLevel-1))^(2^F80),0),D80+(E80-D80)*(1+G80)*((10-1)/(MaxLevel-1))^(2^F80)))</f>
        <v>400</v>
      </c>
    </row>
    <row r="81" spans="1:17" x14ac:dyDescent="0.25">
      <c r="A81" s="4" t="s">
        <v>185</v>
      </c>
      <c r="B81" s="19" t="s">
        <v>221</v>
      </c>
      <c r="C81" s="4" t="s">
        <v>30</v>
      </c>
      <c r="D81" s="5"/>
      <c r="E81" s="5"/>
      <c r="F81" s="5"/>
      <c r="G81" s="5"/>
      <c r="H81" s="12" t="str">
        <f>IF(OR(D81="",E81=""),"",IF(IFERROR(INDEX(Stats!$D:$D,MATCH($C81,Stats!$A:$A,0)),FALSE),ROUND(D81+(E81-D81)*(1+G81)*((1-1)/(MaxLevel-1))^(2^F81),0),D81+(E81-D81)*(1+G81)*((1-1)/(MaxLevel-1))^(2^F81)))</f>
        <v/>
      </c>
      <c r="I81" s="12" t="str">
        <f>IF(OR(D81="",E81=""),"",IF(IFERROR(INDEX(Stats!$D:$D,MATCH($C81,Stats!$A:$A,0)),FALSE),ROUND(D81+(E81-D81)*(1+G81)*((2-1)/(MaxLevel-1))^(2^F81),0),D81+(E81-D81)*(1+G81)*((2-1)/(MaxLevel-1))^(2^F81)))</f>
        <v/>
      </c>
      <c r="J81" s="12" t="str">
        <f>IF(OR(D81="",E81=""),"",IF(IFERROR(INDEX(Stats!$D:$D,MATCH($C81,Stats!$A:$A,0)),FALSE),ROUND(D81+(E81-D81)*(1+G81)*((3-1)/(MaxLevel-1))^(2^F81),0),D81+(E81-D81)*(1+G81)*((3-1)/(MaxLevel-1))^(2^F81)))</f>
        <v/>
      </c>
      <c r="K81" s="12" t="str">
        <f>IF(OR(D81="",E81=""),"",IF(IFERROR(INDEX(Stats!$D:$D,MATCH($C81,Stats!$A:$A,0)),FALSE),ROUND(D81+(E81-D81)*(1+G81)*((4-1)/(MaxLevel-1))^(2^F81),0),D81+(E81-D81)*(1+G81)*((4-1)/(MaxLevel-1))^(2^F81)))</f>
        <v/>
      </c>
      <c r="L81" s="12" t="str">
        <f>IF(OR(D81="",E81=""),"",IF(IFERROR(INDEX(Stats!$D:$D,MATCH($C81,Stats!$A:$A,0)),FALSE),ROUND(D81+(E81-D81)*(1+G81)*((5-1)/(MaxLevel-1))^(2^F81),0),D81+(E81-D81)*(1+G81)*((5-1)/(MaxLevel-1))^(2^F81)))</f>
        <v/>
      </c>
      <c r="M81" s="12" t="str">
        <f>IF(OR(D81="",E81=""),"",IF(IFERROR(INDEX(Stats!$D:$D,MATCH($C81,Stats!$A:$A,0)),FALSE),ROUND(D81+(E81-D81)*(1+G81)*((6-1)/(MaxLevel-1))^(2^F81),0),D81+(E81-D81)*(1+G81)*((6-1)/(MaxLevel-1))^(2^F81)))</f>
        <v/>
      </c>
      <c r="N81" s="12" t="str">
        <f>IF(OR(D81="",E81=""),"",IF(IFERROR(INDEX(Stats!$D:$D,MATCH($C81,Stats!$A:$A,0)),FALSE),ROUND(D81+(E81-D81)*(1+G81)*((7-1)/(MaxLevel-1))^(2^F81),0),D81+(E81-D81)*(1+G81)*((7-1)/(MaxLevel-1))^(2^F81)))</f>
        <v/>
      </c>
      <c r="O81" s="12" t="str">
        <f>IF(OR(D81="",E81=""),"",IF(IFERROR(INDEX(Stats!$D:$D,MATCH($C81,Stats!$A:$A,0)),FALSE),ROUND(D81+(E81-D81)*(1+G81)*((8-1)/(MaxLevel-1))^(2^F81),0),D81+(E81-D81)*(1+G81)*((8-1)/(MaxLevel-1))^(2^F81)))</f>
        <v/>
      </c>
      <c r="P81" s="12" t="str">
        <f>IF(OR(D81="",E81=""),"",IF(IFERROR(INDEX(Stats!$D:$D,MATCH($C81,Stats!$A:$A,0)),FALSE),ROUND(D81+(E81-D81)*(1+G81)*((9-1)/(MaxLevel-1))^(2^F81),0),D81+(E81-D81)*(1+G81)*((9-1)/(MaxLevel-1))^(2^F81)))</f>
        <v/>
      </c>
      <c r="Q81" s="12" t="str">
        <f>IF(OR(D81="",E81=""),"",IF(IFERROR(INDEX(Stats!$D:$D,MATCH($C81,Stats!$A:$A,0)),FALSE),ROUND(D81+(E81-D81)*(1+G81)*((10-1)/(MaxLevel-1))^(2^F81),0),D81+(E81-D81)*(1+G81)*((10-1)/(MaxLevel-1))^(2^F81)))</f>
        <v/>
      </c>
    </row>
    <row r="82" spans="1:17" x14ac:dyDescent="0.25">
      <c r="A82" s="4" t="s">
        <v>185</v>
      </c>
      <c r="B82" s="19" t="s">
        <v>221</v>
      </c>
      <c r="C82" s="4" t="s">
        <v>32</v>
      </c>
      <c r="D82" s="5"/>
      <c r="E82" s="5"/>
      <c r="F82" s="5"/>
      <c r="G82" s="5"/>
      <c r="H82" s="12" t="str">
        <f>IF(OR(D82="",E82=""),"",IF(IFERROR(INDEX(Stats!$D:$D,MATCH($C82,Stats!$A:$A,0)),FALSE),ROUND(D82+(E82-D82)*(1+G82)*((1-1)/(MaxLevel-1))^(2^F82),0),D82+(E82-D82)*(1+G82)*((1-1)/(MaxLevel-1))^(2^F82)))</f>
        <v/>
      </c>
      <c r="I82" s="12" t="str">
        <f>IF(OR(D82="",E82=""),"",IF(IFERROR(INDEX(Stats!$D:$D,MATCH($C82,Stats!$A:$A,0)),FALSE),ROUND(D82+(E82-D82)*(1+G82)*((2-1)/(MaxLevel-1))^(2^F82),0),D82+(E82-D82)*(1+G82)*((2-1)/(MaxLevel-1))^(2^F82)))</f>
        <v/>
      </c>
      <c r="J82" s="12" t="str">
        <f>IF(OR(D82="",E82=""),"",IF(IFERROR(INDEX(Stats!$D:$D,MATCH($C82,Stats!$A:$A,0)),FALSE),ROUND(D82+(E82-D82)*(1+G82)*((3-1)/(MaxLevel-1))^(2^F82),0),D82+(E82-D82)*(1+G82)*((3-1)/(MaxLevel-1))^(2^F82)))</f>
        <v/>
      </c>
      <c r="K82" s="12" t="str">
        <f>IF(OR(D82="",E82=""),"",IF(IFERROR(INDEX(Stats!$D:$D,MATCH($C82,Stats!$A:$A,0)),FALSE),ROUND(D82+(E82-D82)*(1+G82)*((4-1)/(MaxLevel-1))^(2^F82),0),D82+(E82-D82)*(1+G82)*((4-1)/(MaxLevel-1))^(2^F82)))</f>
        <v/>
      </c>
      <c r="L82" s="12" t="str">
        <f>IF(OR(D82="",E82=""),"",IF(IFERROR(INDEX(Stats!$D:$D,MATCH($C82,Stats!$A:$A,0)),FALSE),ROUND(D82+(E82-D82)*(1+G82)*((5-1)/(MaxLevel-1))^(2^F82),0),D82+(E82-D82)*(1+G82)*((5-1)/(MaxLevel-1))^(2^F82)))</f>
        <v/>
      </c>
      <c r="M82" s="12" t="str">
        <f>IF(OR(D82="",E82=""),"",IF(IFERROR(INDEX(Stats!$D:$D,MATCH($C82,Stats!$A:$A,0)),FALSE),ROUND(D82+(E82-D82)*(1+G82)*((6-1)/(MaxLevel-1))^(2^F82),0),D82+(E82-D82)*(1+G82)*((6-1)/(MaxLevel-1))^(2^F82)))</f>
        <v/>
      </c>
      <c r="N82" s="12" t="str">
        <f>IF(OR(D82="",E82=""),"",IF(IFERROR(INDEX(Stats!$D:$D,MATCH($C82,Stats!$A:$A,0)),FALSE),ROUND(D82+(E82-D82)*(1+G82)*((7-1)/(MaxLevel-1))^(2^F82),0),D82+(E82-D82)*(1+G82)*((7-1)/(MaxLevel-1))^(2^F82)))</f>
        <v/>
      </c>
      <c r="O82" s="12" t="str">
        <f>IF(OR(D82="",E82=""),"",IF(IFERROR(INDEX(Stats!$D:$D,MATCH($C82,Stats!$A:$A,0)),FALSE),ROUND(D82+(E82-D82)*(1+G82)*((8-1)/(MaxLevel-1))^(2^F82),0),D82+(E82-D82)*(1+G82)*((8-1)/(MaxLevel-1))^(2^F82)))</f>
        <v/>
      </c>
      <c r="P82" s="12" t="str">
        <f>IF(OR(D82="",E82=""),"",IF(IFERROR(INDEX(Stats!$D:$D,MATCH($C82,Stats!$A:$A,0)),FALSE),ROUND(D82+(E82-D82)*(1+G82)*((9-1)/(MaxLevel-1))^(2^F82),0),D82+(E82-D82)*(1+G82)*((9-1)/(MaxLevel-1))^(2^F82)))</f>
        <v/>
      </c>
      <c r="Q82" s="12" t="str">
        <f>IF(OR(D82="",E82=""),"",IF(IFERROR(INDEX(Stats!$D:$D,MATCH($C82,Stats!$A:$A,0)),FALSE),ROUND(D82+(E82-D82)*(1+G82)*((10-1)/(MaxLevel-1))^(2^F82),0),D82+(E82-D82)*(1+G82)*((10-1)/(MaxLevel-1))^(2^F82)))</f>
        <v/>
      </c>
    </row>
    <row r="83" spans="1:17" x14ac:dyDescent="0.25">
      <c r="A83" s="4" t="s">
        <v>185</v>
      </c>
      <c r="B83" s="19" t="s">
        <v>221</v>
      </c>
      <c r="C83" s="4" t="s">
        <v>34</v>
      </c>
      <c r="D83" s="5"/>
      <c r="E83" s="5"/>
      <c r="F83" s="5"/>
      <c r="G83" s="5"/>
      <c r="H83" s="12" t="str">
        <f>IF(OR(D83="",E83=""),"",IF(IFERROR(INDEX(Stats!$D:$D,MATCH($C83,Stats!$A:$A,0)),FALSE),ROUND(D83+(E83-D83)*(1+G83)*((1-1)/(MaxLevel-1))^(2^F83),0),D83+(E83-D83)*(1+G83)*((1-1)/(MaxLevel-1))^(2^F83)))</f>
        <v/>
      </c>
      <c r="I83" s="12" t="str">
        <f>IF(OR(D83="",E83=""),"",IF(IFERROR(INDEX(Stats!$D:$D,MATCH($C83,Stats!$A:$A,0)),FALSE),ROUND(D83+(E83-D83)*(1+G83)*((2-1)/(MaxLevel-1))^(2^F83),0),D83+(E83-D83)*(1+G83)*((2-1)/(MaxLevel-1))^(2^F83)))</f>
        <v/>
      </c>
      <c r="J83" s="12" t="str">
        <f>IF(OR(D83="",E83=""),"",IF(IFERROR(INDEX(Stats!$D:$D,MATCH($C83,Stats!$A:$A,0)),FALSE),ROUND(D83+(E83-D83)*(1+G83)*((3-1)/(MaxLevel-1))^(2^F83),0),D83+(E83-D83)*(1+G83)*((3-1)/(MaxLevel-1))^(2^F83)))</f>
        <v/>
      </c>
      <c r="K83" s="12" t="str">
        <f>IF(OR(D83="",E83=""),"",IF(IFERROR(INDEX(Stats!$D:$D,MATCH($C83,Stats!$A:$A,0)),FALSE),ROUND(D83+(E83-D83)*(1+G83)*((4-1)/(MaxLevel-1))^(2^F83),0),D83+(E83-D83)*(1+G83)*((4-1)/(MaxLevel-1))^(2^F83)))</f>
        <v/>
      </c>
      <c r="L83" s="12" t="str">
        <f>IF(OR(D83="",E83=""),"",IF(IFERROR(INDEX(Stats!$D:$D,MATCH($C83,Stats!$A:$A,0)),FALSE),ROUND(D83+(E83-D83)*(1+G83)*((5-1)/(MaxLevel-1))^(2^F83),0),D83+(E83-D83)*(1+G83)*((5-1)/(MaxLevel-1))^(2^F83)))</f>
        <v/>
      </c>
      <c r="M83" s="12" t="str">
        <f>IF(OR(D83="",E83=""),"",IF(IFERROR(INDEX(Stats!$D:$D,MATCH($C83,Stats!$A:$A,0)),FALSE),ROUND(D83+(E83-D83)*(1+G83)*((6-1)/(MaxLevel-1))^(2^F83),0),D83+(E83-D83)*(1+G83)*((6-1)/(MaxLevel-1))^(2^F83)))</f>
        <v/>
      </c>
      <c r="N83" s="12" t="str">
        <f>IF(OR(D83="",E83=""),"",IF(IFERROR(INDEX(Stats!$D:$D,MATCH($C83,Stats!$A:$A,0)),FALSE),ROUND(D83+(E83-D83)*(1+G83)*((7-1)/(MaxLevel-1))^(2^F83),0),D83+(E83-D83)*(1+G83)*((7-1)/(MaxLevel-1))^(2^F83)))</f>
        <v/>
      </c>
      <c r="O83" s="12" t="str">
        <f>IF(OR(D83="",E83=""),"",IF(IFERROR(INDEX(Stats!$D:$D,MATCH($C83,Stats!$A:$A,0)),FALSE),ROUND(D83+(E83-D83)*(1+G83)*((8-1)/(MaxLevel-1))^(2^F83),0),D83+(E83-D83)*(1+G83)*((8-1)/(MaxLevel-1))^(2^F83)))</f>
        <v/>
      </c>
      <c r="P83" s="12" t="str">
        <f>IF(OR(D83="",E83=""),"",IF(IFERROR(INDEX(Stats!$D:$D,MATCH($C83,Stats!$A:$A,0)),FALSE),ROUND(D83+(E83-D83)*(1+G83)*((9-1)/(MaxLevel-1))^(2^F83),0),D83+(E83-D83)*(1+G83)*((9-1)/(MaxLevel-1))^(2^F83)))</f>
        <v/>
      </c>
      <c r="Q83" s="12" t="str">
        <f>IF(OR(D83="",E83=""),"",IF(IFERROR(INDEX(Stats!$D:$D,MATCH($C83,Stats!$A:$A,0)),FALSE),ROUND(D83+(E83-D83)*(1+G83)*((10-1)/(MaxLevel-1))^(2^F83),0),D83+(E83-D83)*(1+G83)*((10-1)/(MaxLevel-1))^(2^F83)))</f>
        <v/>
      </c>
    </row>
    <row r="84" spans="1:17" x14ac:dyDescent="0.25">
      <c r="A84" s="4" t="s">
        <v>185</v>
      </c>
      <c r="B84" s="19" t="s">
        <v>221</v>
      </c>
      <c r="C84" s="4" t="s">
        <v>36</v>
      </c>
      <c r="D84" s="5"/>
      <c r="E84" s="5"/>
      <c r="F84" s="5"/>
      <c r="G84" s="5"/>
      <c r="H84" s="12" t="str">
        <f>IF(OR(D84="",E84=""),"",IF(IFERROR(INDEX(Stats!$D:$D,MATCH($C84,Stats!$A:$A,0)),FALSE),ROUND(D84+(E84-D84)*(1+G84)*((1-1)/(MaxLevel-1))^(2^F84),0),D84+(E84-D84)*(1+G84)*((1-1)/(MaxLevel-1))^(2^F84)))</f>
        <v/>
      </c>
      <c r="I84" s="12" t="str">
        <f>IF(OR(D84="",E84=""),"",IF(IFERROR(INDEX(Stats!$D:$D,MATCH($C84,Stats!$A:$A,0)),FALSE),ROUND(D84+(E84-D84)*(1+G84)*((2-1)/(MaxLevel-1))^(2^F84),0),D84+(E84-D84)*(1+G84)*((2-1)/(MaxLevel-1))^(2^F84)))</f>
        <v/>
      </c>
      <c r="J84" s="12" t="str">
        <f>IF(OR(D84="",E84=""),"",IF(IFERROR(INDEX(Stats!$D:$D,MATCH($C84,Stats!$A:$A,0)),FALSE),ROUND(D84+(E84-D84)*(1+G84)*((3-1)/(MaxLevel-1))^(2^F84),0),D84+(E84-D84)*(1+G84)*((3-1)/(MaxLevel-1))^(2^F84)))</f>
        <v/>
      </c>
      <c r="K84" s="12" t="str">
        <f>IF(OR(D84="",E84=""),"",IF(IFERROR(INDEX(Stats!$D:$D,MATCH($C84,Stats!$A:$A,0)),FALSE),ROUND(D84+(E84-D84)*(1+G84)*((4-1)/(MaxLevel-1))^(2^F84),0),D84+(E84-D84)*(1+G84)*((4-1)/(MaxLevel-1))^(2^F84)))</f>
        <v/>
      </c>
      <c r="L84" s="12" t="str">
        <f>IF(OR(D84="",E84=""),"",IF(IFERROR(INDEX(Stats!$D:$D,MATCH($C84,Stats!$A:$A,0)),FALSE),ROUND(D84+(E84-D84)*(1+G84)*((5-1)/(MaxLevel-1))^(2^F84),0),D84+(E84-D84)*(1+G84)*((5-1)/(MaxLevel-1))^(2^F84)))</f>
        <v/>
      </c>
      <c r="M84" s="12" t="str">
        <f>IF(OR(D84="",E84=""),"",IF(IFERROR(INDEX(Stats!$D:$D,MATCH($C84,Stats!$A:$A,0)),FALSE),ROUND(D84+(E84-D84)*(1+G84)*((6-1)/(MaxLevel-1))^(2^F84),0),D84+(E84-D84)*(1+G84)*((6-1)/(MaxLevel-1))^(2^F84)))</f>
        <v/>
      </c>
      <c r="N84" s="12" t="str">
        <f>IF(OR(D84="",E84=""),"",IF(IFERROR(INDEX(Stats!$D:$D,MATCH($C84,Stats!$A:$A,0)),FALSE),ROUND(D84+(E84-D84)*(1+G84)*((7-1)/(MaxLevel-1))^(2^F84),0),D84+(E84-D84)*(1+G84)*((7-1)/(MaxLevel-1))^(2^F84)))</f>
        <v/>
      </c>
      <c r="O84" s="12" t="str">
        <f>IF(OR(D84="",E84=""),"",IF(IFERROR(INDEX(Stats!$D:$D,MATCH($C84,Stats!$A:$A,0)),FALSE),ROUND(D84+(E84-D84)*(1+G84)*((8-1)/(MaxLevel-1))^(2^F84),0),D84+(E84-D84)*(1+G84)*((8-1)/(MaxLevel-1))^(2^F84)))</f>
        <v/>
      </c>
      <c r="P84" s="12" t="str">
        <f>IF(OR(D84="",E84=""),"",IF(IFERROR(INDEX(Stats!$D:$D,MATCH($C84,Stats!$A:$A,0)),FALSE),ROUND(D84+(E84-D84)*(1+G84)*((9-1)/(MaxLevel-1))^(2^F84),0),D84+(E84-D84)*(1+G84)*((9-1)/(MaxLevel-1))^(2^F84)))</f>
        <v/>
      </c>
      <c r="Q84" s="12" t="str">
        <f>IF(OR(D84="",E84=""),"",IF(IFERROR(INDEX(Stats!$D:$D,MATCH($C84,Stats!$A:$A,0)),FALSE),ROUND(D84+(E84-D84)*(1+G84)*((10-1)/(MaxLevel-1))^(2^F84),0),D84+(E84-D84)*(1+G84)*((10-1)/(MaxLevel-1))^(2^F84)))</f>
        <v/>
      </c>
    </row>
    <row r="85" spans="1:17" x14ac:dyDescent="0.25">
      <c r="A85" s="4" t="s">
        <v>185</v>
      </c>
      <c r="B85" s="19" t="s">
        <v>221</v>
      </c>
      <c r="C85" s="4" t="s">
        <v>38</v>
      </c>
      <c r="D85" s="5">
        <v>1.5</v>
      </c>
      <c r="E85" s="5">
        <v>2</v>
      </c>
      <c r="F85" s="5">
        <v>-1</v>
      </c>
      <c r="G85" s="5">
        <v>0</v>
      </c>
      <c r="H85" s="12">
        <f>IF(OR(D85="",E85=""),"",IF(IFERROR(INDEX(Stats!$D:$D,MATCH($C85,Stats!$A:$A,0)),FALSE),ROUND(D85+(E85-D85)*(1+G85)*((1-1)/(MaxLevel-1))^(2^F85),0),D85+(E85-D85)*(1+G85)*((1-1)/(MaxLevel-1))^(2^F85)))</f>
        <v>1.5</v>
      </c>
      <c r="I85" s="12">
        <f>IF(OR(D85="",E85=""),"",IF(IFERROR(INDEX(Stats!$D:$D,MATCH($C85,Stats!$A:$A,0)),FALSE),ROUND(D85+(E85-D85)*(1+G85)*((2-1)/(MaxLevel-1))^(2^F85),0),D85+(E85-D85)*(1+G85)*((2-1)/(MaxLevel-1))^(2^F85)))</f>
        <v>1.6666666666666667</v>
      </c>
      <c r="J85" s="12">
        <f>IF(OR(D85="",E85=""),"",IF(IFERROR(INDEX(Stats!$D:$D,MATCH($C85,Stats!$A:$A,0)),FALSE),ROUND(D85+(E85-D85)*(1+G85)*((3-1)/(MaxLevel-1))^(2^F85),0),D85+(E85-D85)*(1+G85)*((3-1)/(MaxLevel-1))^(2^F85)))</f>
        <v>1.7357022603955159</v>
      </c>
      <c r="K85" s="12">
        <f>IF(OR(D85="",E85=""),"",IF(IFERROR(INDEX(Stats!$D:$D,MATCH($C85,Stats!$A:$A,0)),FALSE),ROUND(D85+(E85-D85)*(1+G85)*((4-1)/(MaxLevel-1))^(2^F85),0),D85+(E85-D85)*(1+G85)*((4-1)/(MaxLevel-1))^(2^F85)))</f>
        <v>1.7886751345948129</v>
      </c>
      <c r="L85" s="12">
        <f>IF(OR(D85="",E85=""),"",IF(IFERROR(INDEX(Stats!$D:$D,MATCH($C85,Stats!$A:$A,0)),FALSE),ROUND(D85+(E85-D85)*(1+G85)*((5-1)/(MaxLevel-1))^(2^F85),0),D85+(E85-D85)*(1+G85)*((5-1)/(MaxLevel-1))^(2^F85)))</f>
        <v>1.8333333333333333</v>
      </c>
      <c r="M85" s="12">
        <f>IF(OR(D85="",E85=""),"",IF(IFERROR(INDEX(Stats!$D:$D,MATCH($C85,Stats!$A:$A,0)),FALSE),ROUND(D85+(E85-D85)*(1+G85)*((6-1)/(MaxLevel-1))^(2^F85),0),D85+(E85-D85)*(1+G85)*((6-1)/(MaxLevel-1))^(2^F85)))</f>
        <v>1.8726779962499649</v>
      </c>
      <c r="N85" s="12">
        <f>IF(OR(D85="",E85=""),"",IF(IFERROR(INDEX(Stats!$D:$D,MATCH($C85,Stats!$A:$A,0)),FALSE),ROUND(D85+(E85-D85)*(1+G85)*((7-1)/(MaxLevel-1))^(2^F85),0),D85+(E85-D85)*(1+G85)*((7-1)/(MaxLevel-1))^(2^F85)))</f>
        <v>1.9082482904638631</v>
      </c>
      <c r="O85" s="12">
        <f>IF(OR(D85="",E85=""),"",IF(IFERROR(INDEX(Stats!$D:$D,MATCH($C85,Stats!$A:$A,0)),FALSE),ROUND(D85+(E85-D85)*(1+G85)*((8-1)/(MaxLevel-1))^(2^F85),0),D85+(E85-D85)*(1+G85)*((8-1)/(MaxLevel-1))^(2^F85)))</f>
        <v>1.9409585518440984</v>
      </c>
      <c r="P85" s="12">
        <f>IF(OR(D85="",E85=""),"",IF(IFERROR(INDEX(Stats!$D:$D,MATCH($C85,Stats!$A:$A,0)),FALSE),ROUND(D85+(E85-D85)*(1+G85)*((9-1)/(MaxLevel-1))^(2^F85),0),D85+(E85-D85)*(1+G85)*((9-1)/(MaxLevel-1))^(2^F85)))</f>
        <v>1.9714045207910318</v>
      </c>
      <c r="Q85" s="12">
        <f>IF(OR(D85="",E85=""),"",IF(IFERROR(INDEX(Stats!$D:$D,MATCH($C85,Stats!$A:$A,0)),FALSE),ROUND(D85+(E85-D85)*(1+G85)*((10-1)/(MaxLevel-1))^(2^F85),0),D85+(E85-D85)*(1+G85)*((10-1)/(MaxLevel-1))^(2^F85)))</f>
        <v>2</v>
      </c>
    </row>
    <row r="86" spans="1:17" x14ac:dyDescent="0.25">
      <c r="A86" s="4" t="s">
        <v>185</v>
      </c>
      <c r="B86" s="19" t="s">
        <v>221</v>
      </c>
      <c r="C86" s="4" t="s">
        <v>40</v>
      </c>
      <c r="D86" s="5">
        <v>20</v>
      </c>
      <c r="E86" s="5">
        <v>100</v>
      </c>
      <c r="F86" s="5">
        <v>1</v>
      </c>
      <c r="G86" s="5">
        <v>0.1</v>
      </c>
      <c r="H86" s="12">
        <f>IF(OR(D86="",E86=""),"",IF(IFERROR(INDEX(Stats!$D:$D,MATCH($C86,Stats!$A:$A,0)),FALSE),ROUND(D86+(E86-D86)*(1+G86)*((1-1)/(MaxLevel-1))^(2^F86),0),D86+(E86-D86)*(1+G86)*((1-1)/(MaxLevel-1))^(2^F86)))</f>
        <v>20</v>
      </c>
      <c r="I86" s="12">
        <f>IF(OR(D86="",E86=""),"",IF(IFERROR(INDEX(Stats!$D:$D,MATCH($C86,Stats!$A:$A,0)),FALSE),ROUND(D86+(E86-D86)*(1+G86)*((2-1)/(MaxLevel-1))^(2^F86),0),D86+(E86-D86)*(1+G86)*((2-1)/(MaxLevel-1))^(2^F86)))</f>
        <v>21</v>
      </c>
      <c r="J86" s="12">
        <f>IF(OR(D86="",E86=""),"",IF(IFERROR(INDEX(Stats!$D:$D,MATCH($C86,Stats!$A:$A,0)),FALSE),ROUND(D86+(E86-D86)*(1+G86)*((3-1)/(MaxLevel-1))^(2^F86),0),D86+(E86-D86)*(1+G86)*((3-1)/(MaxLevel-1))^(2^F86)))</f>
        <v>24</v>
      </c>
      <c r="K86" s="12">
        <f>IF(OR(D86="",E86=""),"",IF(IFERROR(INDEX(Stats!$D:$D,MATCH($C86,Stats!$A:$A,0)),FALSE),ROUND(D86+(E86-D86)*(1+G86)*((4-1)/(MaxLevel-1))^(2^F86),0),D86+(E86-D86)*(1+G86)*((4-1)/(MaxLevel-1))^(2^F86)))</f>
        <v>30</v>
      </c>
      <c r="L86" s="12">
        <f>IF(OR(D86="",E86=""),"",IF(IFERROR(INDEX(Stats!$D:$D,MATCH($C86,Stats!$A:$A,0)),FALSE),ROUND(D86+(E86-D86)*(1+G86)*((5-1)/(MaxLevel-1))^(2^F86),0),D86+(E86-D86)*(1+G86)*((5-1)/(MaxLevel-1))^(2^F86)))</f>
        <v>37</v>
      </c>
      <c r="M86" s="12">
        <f>IF(OR(D86="",E86=""),"",IF(IFERROR(INDEX(Stats!$D:$D,MATCH($C86,Stats!$A:$A,0)),FALSE),ROUND(D86+(E86-D86)*(1+G86)*((6-1)/(MaxLevel-1))^(2^F86),0),D86+(E86-D86)*(1+G86)*((6-1)/(MaxLevel-1))^(2^F86)))</f>
        <v>47</v>
      </c>
      <c r="N86" s="12">
        <f>IF(OR(D86="",E86=""),"",IF(IFERROR(INDEX(Stats!$D:$D,MATCH($C86,Stats!$A:$A,0)),FALSE),ROUND(D86+(E86-D86)*(1+G86)*((7-1)/(MaxLevel-1))^(2^F86),0),D86+(E86-D86)*(1+G86)*((7-1)/(MaxLevel-1))^(2^F86)))</f>
        <v>59</v>
      </c>
      <c r="O86" s="12">
        <f>IF(OR(D86="",E86=""),"",IF(IFERROR(INDEX(Stats!$D:$D,MATCH($C86,Stats!$A:$A,0)),FALSE),ROUND(D86+(E86-D86)*(1+G86)*((8-1)/(MaxLevel-1))^(2^F86),0),D86+(E86-D86)*(1+G86)*((8-1)/(MaxLevel-1))^(2^F86)))</f>
        <v>73</v>
      </c>
      <c r="P86" s="12">
        <f>IF(OR(D86="",E86=""),"",IF(IFERROR(INDEX(Stats!$D:$D,MATCH($C86,Stats!$A:$A,0)),FALSE),ROUND(D86+(E86-D86)*(1+G86)*((9-1)/(MaxLevel-1))^(2^F86),0),D86+(E86-D86)*(1+G86)*((9-1)/(MaxLevel-1))^(2^F86)))</f>
        <v>90</v>
      </c>
      <c r="Q86" s="12">
        <f>IF(OR(D86="",E86=""),"",IF(IFERROR(INDEX(Stats!$D:$D,MATCH($C86,Stats!$A:$A,0)),FALSE),ROUND(D86+(E86-D86)*(1+G86)*((10-1)/(MaxLevel-1))^(2^F86),0),D86+(E86-D86)*(1+G86)*((10-1)/(MaxLevel-1))^(2^F86)))</f>
        <v>108</v>
      </c>
    </row>
    <row r="87" spans="1:17" x14ac:dyDescent="0.25">
      <c r="A87" s="4" t="s">
        <v>185</v>
      </c>
      <c r="B87" s="19" t="s">
        <v>221</v>
      </c>
      <c r="C87" s="4" t="s">
        <v>42</v>
      </c>
      <c r="D87" s="5"/>
      <c r="E87" s="5"/>
      <c r="F87" s="5"/>
      <c r="G87" s="5"/>
      <c r="H87" s="12" t="str">
        <f>IF(OR(D87="",E87=""),"",IF(IFERROR(INDEX(Stats!$D:$D,MATCH($C87,Stats!$A:$A,0)),FALSE),ROUND(D87+(E87-D87)*(1+G87)*((1-1)/(MaxLevel-1))^(2^F87),0),D87+(E87-D87)*(1+G87)*((1-1)/(MaxLevel-1))^(2^F87)))</f>
        <v/>
      </c>
      <c r="I87" s="12" t="str">
        <f>IF(OR(D87="",E87=""),"",IF(IFERROR(INDEX(Stats!$D:$D,MATCH($C87,Stats!$A:$A,0)),FALSE),ROUND(D87+(E87-D87)*(1+G87)*((2-1)/(MaxLevel-1))^(2^F87),0),D87+(E87-D87)*(1+G87)*((2-1)/(MaxLevel-1))^(2^F87)))</f>
        <v/>
      </c>
      <c r="J87" s="12" t="str">
        <f>IF(OR(D87="",E87=""),"",IF(IFERROR(INDEX(Stats!$D:$D,MATCH($C87,Stats!$A:$A,0)),FALSE),ROUND(D87+(E87-D87)*(1+G87)*((3-1)/(MaxLevel-1))^(2^F87),0),D87+(E87-D87)*(1+G87)*((3-1)/(MaxLevel-1))^(2^F87)))</f>
        <v/>
      </c>
      <c r="K87" s="12" t="str">
        <f>IF(OR(D87="",E87=""),"",IF(IFERROR(INDEX(Stats!$D:$D,MATCH($C87,Stats!$A:$A,0)),FALSE),ROUND(D87+(E87-D87)*(1+G87)*((4-1)/(MaxLevel-1))^(2^F87),0),D87+(E87-D87)*(1+G87)*((4-1)/(MaxLevel-1))^(2^F87)))</f>
        <v/>
      </c>
      <c r="L87" s="12" t="str">
        <f>IF(OR(D87="",E87=""),"",IF(IFERROR(INDEX(Stats!$D:$D,MATCH($C87,Stats!$A:$A,0)),FALSE),ROUND(D87+(E87-D87)*(1+G87)*((5-1)/(MaxLevel-1))^(2^F87),0),D87+(E87-D87)*(1+G87)*((5-1)/(MaxLevel-1))^(2^F87)))</f>
        <v/>
      </c>
      <c r="M87" s="12" t="str">
        <f>IF(OR(D87="",E87=""),"",IF(IFERROR(INDEX(Stats!$D:$D,MATCH($C87,Stats!$A:$A,0)),FALSE),ROUND(D87+(E87-D87)*(1+G87)*((6-1)/(MaxLevel-1))^(2^F87),0),D87+(E87-D87)*(1+G87)*((6-1)/(MaxLevel-1))^(2^F87)))</f>
        <v/>
      </c>
      <c r="N87" s="12" t="str">
        <f>IF(OR(D87="",E87=""),"",IF(IFERROR(INDEX(Stats!$D:$D,MATCH($C87,Stats!$A:$A,0)),FALSE),ROUND(D87+(E87-D87)*(1+G87)*((7-1)/(MaxLevel-1))^(2^F87),0),D87+(E87-D87)*(1+G87)*((7-1)/(MaxLevel-1))^(2^F87)))</f>
        <v/>
      </c>
      <c r="O87" s="12" t="str">
        <f>IF(OR(D87="",E87=""),"",IF(IFERROR(INDEX(Stats!$D:$D,MATCH($C87,Stats!$A:$A,0)),FALSE),ROUND(D87+(E87-D87)*(1+G87)*((8-1)/(MaxLevel-1))^(2^F87),0),D87+(E87-D87)*(1+G87)*((8-1)/(MaxLevel-1))^(2^F87)))</f>
        <v/>
      </c>
      <c r="P87" s="12" t="str">
        <f>IF(OR(D87="",E87=""),"",IF(IFERROR(INDEX(Stats!$D:$D,MATCH($C87,Stats!$A:$A,0)),FALSE),ROUND(D87+(E87-D87)*(1+G87)*((9-1)/(MaxLevel-1))^(2^F87),0),D87+(E87-D87)*(1+G87)*((9-1)/(MaxLevel-1))^(2^F87)))</f>
        <v/>
      </c>
      <c r="Q87" s="12" t="str">
        <f>IF(OR(D87="",E87=""),"",IF(IFERROR(INDEX(Stats!$D:$D,MATCH($C87,Stats!$A:$A,0)),FALSE),ROUND(D87+(E87-D87)*(1+G87)*((10-1)/(MaxLevel-1))^(2^F87),0),D87+(E87-D87)*(1+G87)*((10-1)/(MaxLevel-1))^(2^F87)))</f>
        <v/>
      </c>
    </row>
    <row r="88" spans="1:17" x14ac:dyDescent="0.25">
      <c r="A88" s="4" t="s">
        <v>185</v>
      </c>
      <c r="B88" s="19" t="s">
        <v>221</v>
      </c>
      <c r="C88" s="4" t="s">
        <v>44</v>
      </c>
      <c r="D88" s="5"/>
      <c r="E88" s="5"/>
      <c r="F88" s="5"/>
      <c r="G88" s="5"/>
      <c r="H88" s="12" t="str">
        <f>IF(OR(D88="",E88=""),"",IF(IFERROR(INDEX(Stats!$D:$D,MATCH($C88,Stats!$A:$A,0)),FALSE),ROUND(D88+(E88-D88)*(1+G88)*((1-1)/(MaxLevel-1))^(2^F88),0),D88+(E88-D88)*(1+G88)*((1-1)/(MaxLevel-1))^(2^F88)))</f>
        <v/>
      </c>
      <c r="I88" s="12" t="str">
        <f>IF(OR(D88="",E88=""),"",IF(IFERROR(INDEX(Stats!$D:$D,MATCH($C88,Stats!$A:$A,0)),FALSE),ROUND(D88+(E88-D88)*(1+G88)*((2-1)/(MaxLevel-1))^(2^F88),0),D88+(E88-D88)*(1+G88)*((2-1)/(MaxLevel-1))^(2^F88)))</f>
        <v/>
      </c>
      <c r="J88" s="12" t="str">
        <f>IF(OR(D88="",E88=""),"",IF(IFERROR(INDEX(Stats!$D:$D,MATCH($C88,Stats!$A:$A,0)),FALSE),ROUND(D88+(E88-D88)*(1+G88)*((3-1)/(MaxLevel-1))^(2^F88),0),D88+(E88-D88)*(1+G88)*((3-1)/(MaxLevel-1))^(2^F88)))</f>
        <v/>
      </c>
      <c r="K88" s="12" t="str">
        <f>IF(OR(D88="",E88=""),"",IF(IFERROR(INDEX(Stats!$D:$D,MATCH($C88,Stats!$A:$A,0)),FALSE),ROUND(D88+(E88-D88)*(1+G88)*((4-1)/(MaxLevel-1))^(2^F88),0),D88+(E88-D88)*(1+G88)*((4-1)/(MaxLevel-1))^(2^F88)))</f>
        <v/>
      </c>
      <c r="L88" s="12" t="str">
        <f>IF(OR(D88="",E88=""),"",IF(IFERROR(INDEX(Stats!$D:$D,MATCH($C88,Stats!$A:$A,0)),FALSE),ROUND(D88+(E88-D88)*(1+G88)*((5-1)/(MaxLevel-1))^(2^F88),0),D88+(E88-D88)*(1+G88)*((5-1)/(MaxLevel-1))^(2^F88)))</f>
        <v/>
      </c>
      <c r="M88" s="12" t="str">
        <f>IF(OR(D88="",E88=""),"",IF(IFERROR(INDEX(Stats!$D:$D,MATCH($C88,Stats!$A:$A,0)),FALSE),ROUND(D88+(E88-D88)*(1+G88)*((6-1)/(MaxLevel-1))^(2^F88),0),D88+(E88-D88)*(1+G88)*((6-1)/(MaxLevel-1))^(2^F88)))</f>
        <v/>
      </c>
      <c r="N88" s="12" t="str">
        <f>IF(OR(D88="",E88=""),"",IF(IFERROR(INDEX(Stats!$D:$D,MATCH($C88,Stats!$A:$A,0)),FALSE),ROUND(D88+(E88-D88)*(1+G88)*((7-1)/(MaxLevel-1))^(2^F88),0),D88+(E88-D88)*(1+G88)*((7-1)/(MaxLevel-1))^(2^F88)))</f>
        <v/>
      </c>
      <c r="O88" s="12" t="str">
        <f>IF(OR(D88="",E88=""),"",IF(IFERROR(INDEX(Stats!$D:$D,MATCH($C88,Stats!$A:$A,0)),FALSE),ROUND(D88+(E88-D88)*(1+G88)*((8-1)/(MaxLevel-1))^(2^F88),0),D88+(E88-D88)*(1+G88)*((8-1)/(MaxLevel-1))^(2^F88)))</f>
        <v/>
      </c>
      <c r="P88" s="12" t="str">
        <f>IF(OR(D88="",E88=""),"",IF(IFERROR(INDEX(Stats!$D:$D,MATCH($C88,Stats!$A:$A,0)),FALSE),ROUND(D88+(E88-D88)*(1+G88)*((9-1)/(MaxLevel-1))^(2^F88),0),D88+(E88-D88)*(1+G88)*((9-1)/(MaxLevel-1))^(2^F88)))</f>
        <v/>
      </c>
      <c r="Q88" s="12" t="str">
        <f>IF(OR(D88="",E88=""),"",IF(IFERROR(INDEX(Stats!$D:$D,MATCH($C88,Stats!$A:$A,0)),FALSE),ROUND(D88+(E88-D88)*(1+G88)*((10-1)/(MaxLevel-1))^(2^F88),0),D88+(E88-D88)*(1+G88)*((10-1)/(MaxLevel-1))^(2^F88)))</f>
        <v/>
      </c>
    </row>
    <row r="89" spans="1:17" x14ac:dyDescent="0.25">
      <c r="A89" s="4" t="s">
        <v>185</v>
      </c>
      <c r="B89" s="19" t="s">
        <v>221</v>
      </c>
      <c r="C89" s="4" t="s">
        <v>46</v>
      </c>
      <c r="D89" s="5"/>
      <c r="E89" s="5"/>
      <c r="F89" s="5"/>
      <c r="G89" s="5"/>
      <c r="H89" s="12" t="str">
        <f>IF(OR(D89="",E89=""),"",IF(IFERROR(INDEX(Stats!$D:$D,MATCH($C89,Stats!$A:$A,0)),FALSE),ROUND(D89+(E89-D89)*(1+G89)*((1-1)/(MaxLevel-1))^(2^F89),0),D89+(E89-D89)*(1+G89)*((1-1)/(MaxLevel-1))^(2^F89)))</f>
        <v/>
      </c>
      <c r="I89" s="12" t="str">
        <f>IF(OR(D89="",E89=""),"",IF(IFERROR(INDEX(Stats!$D:$D,MATCH($C89,Stats!$A:$A,0)),FALSE),ROUND(D89+(E89-D89)*(1+G89)*((2-1)/(MaxLevel-1))^(2^F89),0),D89+(E89-D89)*(1+G89)*((2-1)/(MaxLevel-1))^(2^F89)))</f>
        <v/>
      </c>
      <c r="J89" s="12" t="str">
        <f>IF(OR(D89="",E89=""),"",IF(IFERROR(INDEX(Stats!$D:$D,MATCH($C89,Stats!$A:$A,0)),FALSE),ROUND(D89+(E89-D89)*(1+G89)*((3-1)/(MaxLevel-1))^(2^F89),0),D89+(E89-D89)*(1+G89)*((3-1)/(MaxLevel-1))^(2^F89)))</f>
        <v/>
      </c>
      <c r="K89" s="12" t="str">
        <f>IF(OR(D89="",E89=""),"",IF(IFERROR(INDEX(Stats!$D:$D,MATCH($C89,Stats!$A:$A,0)),FALSE),ROUND(D89+(E89-D89)*(1+G89)*((4-1)/(MaxLevel-1))^(2^F89),0),D89+(E89-D89)*(1+G89)*((4-1)/(MaxLevel-1))^(2^F89)))</f>
        <v/>
      </c>
      <c r="L89" s="12" t="str">
        <f>IF(OR(D89="",E89=""),"",IF(IFERROR(INDEX(Stats!$D:$D,MATCH($C89,Stats!$A:$A,0)),FALSE),ROUND(D89+(E89-D89)*(1+G89)*((5-1)/(MaxLevel-1))^(2^F89),0),D89+(E89-D89)*(1+G89)*((5-1)/(MaxLevel-1))^(2^F89)))</f>
        <v/>
      </c>
      <c r="M89" s="12" t="str">
        <f>IF(OR(D89="",E89=""),"",IF(IFERROR(INDEX(Stats!$D:$D,MATCH($C89,Stats!$A:$A,0)),FALSE),ROUND(D89+(E89-D89)*(1+G89)*((6-1)/(MaxLevel-1))^(2^F89),0),D89+(E89-D89)*(1+G89)*((6-1)/(MaxLevel-1))^(2^F89)))</f>
        <v/>
      </c>
      <c r="N89" s="12" t="str">
        <f>IF(OR(D89="",E89=""),"",IF(IFERROR(INDEX(Stats!$D:$D,MATCH($C89,Stats!$A:$A,0)),FALSE),ROUND(D89+(E89-D89)*(1+G89)*((7-1)/(MaxLevel-1))^(2^F89),0),D89+(E89-D89)*(1+G89)*((7-1)/(MaxLevel-1))^(2^F89)))</f>
        <v/>
      </c>
      <c r="O89" s="12" t="str">
        <f>IF(OR(D89="",E89=""),"",IF(IFERROR(INDEX(Stats!$D:$D,MATCH($C89,Stats!$A:$A,0)),FALSE),ROUND(D89+(E89-D89)*(1+G89)*((8-1)/(MaxLevel-1))^(2^F89),0),D89+(E89-D89)*(1+G89)*((8-1)/(MaxLevel-1))^(2^F89)))</f>
        <v/>
      </c>
      <c r="P89" s="12" t="str">
        <f>IF(OR(D89="",E89=""),"",IF(IFERROR(INDEX(Stats!$D:$D,MATCH($C89,Stats!$A:$A,0)),FALSE),ROUND(D89+(E89-D89)*(1+G89)*((9-1)/(MaxLevel-1))^(2^F89),0),D89+(E89-D89)*(1+G89)*((9-1)/(MaxLevel-1))^(2^F89)))</f>
        <v/>
      </c>
      <c r="Q89" s="12" t="str">
        <f>IF(OR(D89="",E89=""),"",IF(IFERROR(INDEX(Stats!$D:$D,MATCH($C89,Stats!$A:$A,0)),FALSE),ROUND(D89+(E89-D89)*(1+G89)*((10-1)/(MaxLevel-1))^(2^F89),0),D89+(E89-D89)*(1+G89)*((10-1)/(MaxLevel-1))^(2^F89)))</f>
        <v/>
      </c>
    </row>
    <row r="90" spans="1:17" x14ac:dyDescent="0.25">
      <c r="A90" s="4" t="s">
        <v>185</v>
      </c>
      <c r="B90" s="19" t="s">
        <v>221</v>
      </c>
      <c r="C90" s="4" t="s">
        <v>48</v>
      </c>
      <c r="D90" s="5"/>
      <c r="E90" s="5"/>
      <c r="F90" s="5"/>
      <c r="G90" s="5"/>
      <c r="H90" s="12" t="str">
        <f>IF(OR(D90="",E90=""),"",IF(IFERROR(INDEX(Stats!$D:$D,MATCH($C90,Stats!$A:$A,0)),FALSE),ROUND(D90+(E90-D90)*(1+G90)*((1-1)/(MaxLevel-1))^(2^F90),0),D90+(E90-D90)*(1+G90)*((1-1)/(MaxLevel-1))^(2^F90)))</f>
        <v/>
      </c>
      <c r="I90" s="12" t="str">
        <f>IF(OR(D90="",E90=""),"",IF(IFERROR(INDEX(Stats!$D:$D,MATCH($C90,Stats!$A:$A,0)),FALSE),ROUND(D90+(E90-D90)*(1+G90)*((2-1)/(MaxLevel-1))^(2^F90),0),D90+(E90-D90)*(1+G90)*((2-1)/(MaxLevel-1))^(2^F90)))</f>
        <v/>
      </c>
      <c r="J90" s="12" t="str">
        <f>IF(OR(D90="",E90=""),"",IF(IFERROR(INDEX(Stats!$D:$D,MATCH($C90,Stats!$A:$A,0)),FALSE),ROUND(D90+(E90-D90)*(1+G90)*((3-1)/(MaxLevel-1))^(2^F90),0),D90+(E90-D90)*(1+G90)*((3-1)/(MaxLevel-1))^(2^F90)))</f>
        <v/>
      </c>
      <c r="K90" s="12" t="str">
        <f>IF(OR(D90="",E90=""),"",IF(IFERROR(INDEX(Stats!$D:$D,MATCH($C90,Stats!$A:$A,0)),FALSE),ROUND(D90+(E90-D90)*(1+G90)*((4-1)/(MaxLevel-1))^(2^F90),0),D90+(E90-D90)*(1+G90)*((4-1)/(MaxLevel-1))^(2^F90)))</f>
        <v/>
      </c>
      <c r="L90" s="12" t="str">
        <f>IF(OR(D90="",E90=""),"",IF(IFERROR(INDEX(Stats!$D:$D,MATCH($C90,Stats!$A:$A,0)),FALSE),ROUND(D90+(E90-D90)*(1+G90)*((5-1)/(MaxLevel-1))^(2^F90),0),D90+(E90-D90)*(1+G90)*((5-1)/(MaxLevel-1))^(2^F90)))</f>
        <v/>
      </c>
      <c r="M90" s="12" t="str">
        <f>IF(OR(D90="",E90=""),"",IF(IFERROR(INDEX(Stats!$D:$D,MATCH($C90,Stats!$A:$A,0)),FALSE),ROUND(D90+(E90-D90)*(1+G90)*((6-1)/(MaxLevel-1))^(2^F90),0),D90+(E90-D90)*(1+G90)*((6-1)/(MaxLevel-1))^(2^F90)))</f>
        <v/>
      </c>
      <c r="N90" s="12" t="str">
        <f>IF(OR(D90="",E90=""),"",IF(IFERROR(INDEX(Stats!$D:$D,MATCH($C90,Stats!$A:$A,0)),FALSE),ROUND(D90+(E90-D90)*(1+G90)*((7-1)/(MaxLevel-1))^(2^F90),0),D90+(E90-D90)*(1+G90)*((7-1)/(MaxLevel-1))^(2^F90)))</f>
        <v/>
      </c>
      <c r="O90" s="12" t="str">
        <f>IF(OR(D90="",E90=""),"",IF(IFERROR(INDEX(Stats!$D:$D,MATCH($C90,Stats!$A:$A,0)),FALSE),ROUND(D90+(E90-D90)*(1+G90)*((8-1)/(MaxLevel-1))^(2^F90),0),D90+(E90-D90)*(1+G90)*((8-1)/(MaxLevel-1))^(2^F90)))</f>
        <v/>
      </c>
      <c r="P90" s="12" t="str">
        <f>IF(OR(D90="",E90=""),"",IF(IFERROR(INDEX(Stats!$D:$D,MATCH($C90,Stats!$A:$A,0)),FALSE),ROUND(D90+(E90-D90)*(1+G90)*((9-1)/(MaxLevel-1))^(2^F90),0),D90+(E90-D90)*(1+G90)*((9-1)/(MaxLevel-1))^(2^F90)))</f>
        <v/>
      </c>
      <c r="Q90" s="12" t="str">
        <f>IF(OR(D90="",E90=""),"",IF(IFERROR(INDEX(Stats!$D:$D,MATCH($C90,Stats!$A:$A,0)),FALSE),ROUND(D90+(E90-D90)*(1+G90)*((10-1)/(MaxLevel-1))^(2^F90),0),D90+(E90-D90)*(1+G90)*((10-1)/(MaxLevel-1))^(2^F90)))</f>
        <v/>
      </c>
    </row>
    <row r="91" spans="1:17" x14ac:dyDescent="0.25">
      <c r="A91" s="4" t="s">
        <v>185</v>
      </c>
      <c r="B91" s="19" t="s">
        <v>221</v>
      </c>
      <c r="C91" s="4" t="s">
        <v>50</v>
      </c>
      <c r="D91" s="5"/>
      <c r="E91" s="5"/>
      <c r="F91" s="5"/>
      <c r="G91" s="5"/>
      <c r="H91" s="12" t="str">
        <f>IF(OR(D91="",E91=""),"",IF(IFERROR(INDEX(Stats!$D:$D,MATCH($C91,Stats!$A:$A,0)),FALSE),ROUND(D91+(E91-D91)*(1+G91)*((1-1)/(MaxLevel-1))^(2^F91),0),D91+(E91-D91)*(1+G91)*((1-1)/(MaxLevel-1))^(2^F91)))</f>
        <v/>
      </c>
      <c r="I91" s="12" t="str">
        <f>IF(OR(D91="",E91=""),"",IF(IFERROR(INDEX(Stats!$D:$D,MATCH($C91,Stats!$A:$A,0)),FALSE),ROUND(D91+(E91-D91)*(1+G91)*((2-1)/(MaxLevel-1))^(2^F91),0),D91+(E91-D91)*(1+G91)*((2-1)/(MaxLevel-1))^(2^F91)))</f>
        <v/>
      </c>
      <c r="J91" s="12" t="str">
        <f>IF(OR(D91="",E91=""),"",IF(IFERROR(INDEX(Stats!$D:$D,MATCH($C91,Stats!$A:$A,0)),FALSE),ROUND(D91+(E91-D91)*(1+G91)*((3-1)/(MaxLevel-1))^(2^F91),0),D91+(E91-D91)*(1+G91)*((3-1)/(MaxLevel-1))^(2^F91)))</f>
        <v/>
      </c>
      <c r="K91" s="12" t="str">
        <f>IF(OR(D91="",E91=""),"",IF(IFERROR(INDEX(Stats!$D:$D,MATCH($C91,Stats!$A:$A,0)),FALSE),ROUND(D91+(E91-D91)*(1+G91)*((4-1)/(MaxLevel-1))^(2^F91),0),D91+(E91-D91)*(1+G91)*((4-1)/(MaxLevel-1))^(2^F91)))</f>
        <v/>
      </c>
      <c r="L91" s="12" t="str">
        <f>IF(OR(D91="",E91=""),"",IF(IFERROR(INDEX(Stats!$D:$D,MATCH($C91,Stats!$A:$A,0)),FALSE),ROUND(D91+(E91-D91)*(1+G91)*((5-1)/(MaxLevel-1))^(2^F91),0),D91+(E91-D91)*(1+G91)*((5-1)/(MaxLevel-1))^(2^F91)))</f>
        <v/>
      </c>
      <c r="M91" s="12" t="str">
        <f>IF(OR(D91="",E91=""),"",IF(IFERROR(INDEX(Stats!$D:$D,MATCH($C91,Stats!$A:$A,0)),FALSE),ROUND(D91+(E91-D91)*(1+G91)*((6-1)/(MaxLevel-1))^(2^F91),0),D91+(E91-D91)*(1+G91)*((6-1)/(MaxLevel-1))^(2^F91)))</f>
        <v/>
      </c>
      <c r="N91" s="12" t="str">
        <f>IF(OR(D91="",E91=""),"",IF(IFERROR(INDEX(Stats!$D:$D,MATCH($C91,Stats!$A:$A,0)),FALSE),ROUND(D91+(E91-D91)*(1+G91)*((7-1)/(MaxLevel-1))^(2^F91),0),D91+(E91-D91)*(1+G91)*((7-1)/(MaxLevel-1))^(2^F91)))</f>
        <v/>
      </c>
      <c r="O91" s="12" t="str">
        <f>IF(OR(D91="",E91=""),"",IF(IFERROR(INDEX(Stats!$D:$D,MATCH($C91,Stats!$A:$A,0)),FALSE),ROUND(D91+(E91-D91)*(1+G91)*((8-1)/(MaxLevel-1))^(2^F91),0),D91+(E91-D91)*(1+G91)*((8-1)/(MaxLevel-1))^(2^F91)))</f>
        <v/>
      </c>
      <c r="P91" s="12" t="str">
        <f>IF(OR(D91="",E91=""),"",IF(IFERROR(INDEX(Stats!$D:$D,MATCH($C91,Stats!$A:$A,0)),FALSE),ROUND(D91+(E91-D91)*(1+G91)*((9-1)/(MaxLevel-1))^(2^F91),0),D91+(E91-D91)*(1+G91)*((9-1)/(MaxLevel-1))^(2^F91)))</f>
        <v/>
      </c>
      <c r="Q91" s="12" t="str">
        <f>IF(OR(D91="",E91=""),"",IF(IFERROR(INDEX(Stats!$D:$D,MATCH($C91,Stats!$A:$A,0)),FALSE),ROUND(D91+(E91-D91)*(1+G91)*((10-1)/(MaxLevel-1))^(2^F91),0),D91+(E91-D91)*(1+G91)*((10-1)/(MaxLevel-1))^(2^F91)))</f>
        <v/>
      </c>
    </row>
    <row r="92" spans="1:17" x14ac:dyDescent="0.25">
      <c r="A92" s="4" t="s">
        <v>185</v>
      </c>
      <c r="B92" s="19" t="s">
        <v>221</v>
      </c>
      <c r="C92" s="4" t="s">
        <v>52</v>
      </c>
      <c r="D92" s="5"/>
      <c r="E92" s="5"/>
      <c r="F92" s="5"/>
      <c r="G92" s="5"/>
      <c r="H92" s="12" t="str">
        <f>IF(OR(D92="",E92=""),"",IF(IFERROR(INDEX(Stats!$D:$D,MATCH($C92,Stats!$A:$A,0)),FALSE),ROUND(D92+(E92-D92)*(1+G92)*((1-1)/(MaxLevel-1))^(2^F92),0),D92+(E92-D92)*(1+G92)*((1-1)/(MaxLevel-1))^(2^F92)))</f>
        <v/>
      </c>
      <c r="I92" s="12" t="str">
        <f>IF(OR(D92="",E92=""),"",IF(IFERROR(INDEX(Stats!$D:$D,MATCH($C92,Stats!$A:$A,0)),FALSE),ROUND(D92+(E92-D92)*(1+G92)*((2-1)/(MaxLevel-1))^(2^F92),0),D92+(E92-D92)*(1+G92)*((2-1)/(MaxLevel-1))^(2^F92)))</f>
        <v/>
      </c>
      <c r="J92" s="12" t="str">
        <f>IF(OR(D92="",E92=""),"",IF(IFERROR(INDEX(Stats!$D:$D,MATCH($C92,Stats!$A:$A,0)),FALSE),ROUND(D92+(E92-D92)*(1+G92)*((3-1)/(MaxLevel-1))^(2^F92),0),D92+(E92-D92)*(1+G92)*((3-1)/(MaxLevel-1))^(2^F92)))</f>
        <v/>
      </c>
      <c r="K92" s="12" t="str">
        <f>IF(OR(D92="",E92=""),"",IF(IFERROR(INDEX(Stats!$D:$D,MATCH($C92,Stats!$A:$A,0)),FALSE),ROUND(D92+(E92-D92)*(1+G92)*((4-1)/(MaxLevel-1))^(2^F92),0),D92+(E92-D92)*(1+G92)*((4-1)/(MaxLevel-1))^(2^F92)))</f>
        <v/>
      </c>
      <c r="L92" s="12" t="str">
        <f>IF(OR(D92="",E92=""),"",IF(IFERROR(INDEX(Stats!$D:$D,MATCH($C92,Stats!$A:$A,0)),FALSE),ROUND(D92+(E92-D92)*(1+G92)*((5-1)/(MaxLevel-1))^(2^F92),0),D92+(E92-D92)*(1+G92)*((5-1)/(MaxLevel-1))^(2^F92)))</f>
        <v/>
      </c>
      <c r="M92" s="12" t="str">
        <f>IF(OR(D92="",E92=""),"",IF(IFERROR(INDEX(Stats!$D:$D,MATCH($C92,Stats!$A:$A,0)),FALSE),ROUND(D92+(E92-D92)*(1+G92)*((6-1)/(MaxLevel-1))^(2^F92),0),D92+(E92-D92)*(1+G92)*((6-1)/(MaxLevel-1))^(2^F92)))</f>
        <v/>
      </c>
      <c r="N92" s="12" t="str">
        <f>IF(OR(D92="",E92=""),"",IF(IFERROR(INDEX(Stats!$D:$D,MATCH($C92,Stats!$A:$A,0)),FALSE),ROUND(D92+(E92-D92)*(1+G92)*((7-1)/(MaxLevel-1))^(2^F92),0),D92+(E92-D92)*(1+G92)*((7-1)/(MaxLevel-1))^(2^F92)))</f>
        <v/>
      </c>
      <c r="O92" s="12" t="str">
        <f>IF(OR(D92="",E92=""),"",IF(IFERROR(INDEX(Stats!$D:$D,MATCH($C92,Stats!$A:$A,0)),FALSE),ROUND(D92+(E92-D92)*(1+G92)*((8-1)/(MaxLevel-1))^(2^F92),0),D92+(E92-D92)*(1+G92)*((8-1)/(MaxLevel-1))^(2^F92)))</f>
        <v/>
      </c>
      <c r="P92" s="12" t="str">
        <f>IF(OR(D92="",E92=""),"",IF(IFERROR(INDEX(Stats!$D:$D,MATCH($C92,Stats!$A:$A,0)),FALSE),ROUND(D92+(E92-D92)*(1+G92)*((9-1)/(MaxLevel-1))^(2^F92),0),D92+(E92-D92)*(1+G92)*((9-1)/(MaxLevel-1))^(2^F92)))</f>
        <v/>
      </c>
      <c r="Q92" s="12" t="str">
        <f>IF(OR(D92="",E92=""),"",IF(IFERROR(INDEX(Stats!$D:$D,MATCH($C92,Stats!$A:$A,0)),FALSE),ROUND(D92+(E92-D92)*(1+G92)*((10-1)/(MaxLevel-1))^(2^F92),0),D92+(E92-D92)*(1+G92)*((10-1)/(MaxLevel-1))^(2^F92)))</f>
        <v/>
      </c>
    </row>
    <row r="93" spans="1:17" x14ac:dyDescent="0.25">
      <c r="A93" s="4" t="s">
        <v>185</v>
      </c>
      <c r="B93" s="19" t="s">
        <v>221</v>
      </c>
      <c r="C93" s="4" t="s">
        <v>54</v>
      </c>
      <c r="D93" s="5"/>
      <c r="E93" s="5"/>
      <c r="F93" s="5"/>
      <c r="G93" s="5"/>
      <c r="H93" s="12" t="str">
        <f>IF(OR(D93="",E93=""),"",IF(IFERROR(INDEX(Stats!$D:$D,MATCH($C93,Stats!$A:$A,0)),FALSE),ROUND(D93+(E93-D93)*(1+G93)*((1-1)/(MaxLevel-1))^(2^F93),0),D93+(E93-D93)*(1+G93)*((1-1)/(MaxLevel-1))^(2^F93)))</f>
        <v/>
      </c>
      <c r="I93" s="12" t="str">
        <f>IF(OR(D93="",E93=""),"",IF(IFERROR(INDEX(Stats!$D:$D,MATCH($C93,Stats!$A:$A,0)),FALSE),ROUND(D93+(E93-D93)*(1+G93)*((2-1)/(MaxLevel-1))^(2^F93),0),D93+(E93-D93)*(1+G93)*((2-1)/(MaxLevel-1))^(2^F93)))</f>
        <v/>
      </c>
      <c r="J93" s="12" t="str">
        <f>IF(OR(D93="",E93=""),"",IF(IFERROR(INDEX(Stats!$D:$D,MATCH($C93,Stats!$A:$A,0)),FALSE),ROUND(D93+(E93-D93)*(1+G93)*((3-1)/(MaxLevel-1))^(2^F93),0),D93+(E93-D93)*(1+G93)*((3-1)/(MaxLevel-1))^(2^F93)))</f>
        <v/>
      </c>
      <c r="K93" s="12" t="str">
        <f>IF(OR(D93="",E93=""),"",IF(IFERROR(INDEX(Stats!$D:$D,MATCH($C93,Stats!$A:$A,0)),FALSE),ROUND(D93+(E93-D93)*(1+G93)*((4-1)/(MaxLevel-1))^(2^F93),0),D93+(E93-D93)*(1+G93)*((4-1)/(MaxLevel-1))^(2^F93)))</f>
        <v/>
      </c>
      <c r="L93" s="12" t="str">
        <f>IF(OR(D93="",E93=""),"",IF(IFERROR(INDEX(Stats!$D:$D,MATCH($C93,Stats!$A:$A,0)),FALSE),ROUND(D93+(E93-D93)*(1+G93)*((5-1)/(MaxLevel-1))^(2^F93),0),D93+(E93-D93)*(1+G93)*((5-1)/(MaxLevel-1))^(2^F93)))</f>
        <v/>
      </c>
      <c r="M93" s="12" t="str">
        <f>IF(OR(D93="",E93=""),"",IF(IFERROR(INDEX(Stats!$D:$D,MATCH($C93,Stats!$A:$A,0)),FALSE),ROUND(D93+(E93-D93)*(1+G93)*((6-1)/(MaxLevel-1))^(2^F93),0),D93+(E93-D93)*(1+G93)*((6-1)/(MaxLevel-1))^(2^F93)))</f>
        <v/>
      </c>
      <c r="N93" s="12" t="str">
        <f>IF(OR(D93="",E93=""),"",IF(IFERROR(INDEX(Stats!$D:$D,MATCH($C93,Stats!$A:$A,0)),FALSE),ROUND(D93+(E93-D93)*(1+G93)*((7-1)/(MaxLevel-1))^(2^F93),0),D93+(E93-D93)*(1+G93)*((7-1)/(MaxLevel-1))^(2^F93)))</f>
        <v/>
      </c>
      <c r="O93" s="12" t="str">
        <f>IF(OR(D93="",E93=""),"",IF(IFERROR(INDEX(Stats!$D:$D,MATCH($C93,Stats!$A:$A,0)),FALSE),ROUND(D93+(E93-D93)*(1+G93)*((8-1)/(MaxLevel-1))^(2^F93),0),D93+(E93-D93)*(1+G93)*((8-1)/(MaxLevel-1))^(2^F93)))</f>
        <v/>
      </c>
      <c r="P93" s="12" t="str">
        <f>IF(OR(D93="",E93=""),"",IF(IFERROR(INDEX(Stats!$D:$D,MATCH($C93,Stats!$A:$A,0)),FALSE),ROUND(D93+(E93-D93)*(1+G93)*((9-1)/(MaxLevel-1))^(2^F93),0),D93+(E93-D93)*(1+G93)*((9-1)/(MaxLevel-1))^(2^F93)))</f>
        <v/>
      </c>
      <c r="Q93" s="12" t="str">
        <f>IF(OR(D93="",E93=""),"",IF(IFERROR(INDEX(Stats!$D:$D,MATCH($C93,Stats!$A:$A,0)),FALSE),ROUND(D93+(E93-D93)*(1+G93)*((10-1)/(MaxLevel-1))^(2^F93),0),D93+(E93-D93)*(1+G93)*((10-1)/(MaxLevel-1))^(2^F93)))</f>
        <v/>
      </c>
    </row>
    <row r="94" spans="1:17" x14ac:dyDescent="0.25">
      <c r="A94" s="4" t="s">
        <v>185</v>
      </c>
      <c r="B94" s="19" t="s">
        <v>221</v>
      </c>
      <c r="C94" s="4" t="s">
        <v>56</v>
      </c>
      <c r="D94" s="5"/>
      <c r="E94" s="5"/>
      <c r="F94" s="5"/>
      <c r="G94" s="5"/>
      <c r="H94" s="12" t="str">
        <f>IF(OR(D94="",E94=""),"",IF(IFERROR(INDEX(Stats!$D:$D,MATCH($C94,Stats!$A:$A,0)),FALSE),ROUND(D94+(E94-D94)*(1+G94)*((1-1)/(MaxLevel-1))^(2^F94),0),D94+(E94-D94)*(1+G94)*((1-1)/(MaxLevel-1))^(2^F94)))</f>
        <v/>
      </c>
      <c r="I94" s="12" t="str">
        <f>IF(OR(D94="",E94=""),"",IF(IFERROR(INDEX(Stats!$D:$D,MATCH($C94,Stats!$A:$A,0)),FALSE),ROUND(D94+(E94-D94)*(1+G94)*((2-1)/(MaxLevel-1))^(2^F94),0),D94+(E94-D94)*(1+G94)*((2-1)/(MaxLevel-1))^(2^F94)))</f>
        <v/>
      </c>
      <c r="J94" s="12" t="str">
        <f>IF(OR(D94="",E94=""),"",IF(IFERROR(INDEX(Stats!$D:$D,MATCH($C94,Stats!$A:$A,0)),FALSE),ROUND(D94+(E94-D94)*(1+G94)*((3-1)/(MaxLevel-1))^(2^F94),0),D94+(E94-D94)*(1+G94)*((3-1)/(MaxLevel-1))^(2^F94)))</f>
        <v/>
      </c>
      <c r="K94" s="12" t="str">
        <f>IF(OR(D94="",E94=""),"",IF(IFERROR(INDEX(Stats!$D:$D,MATCH($C94,Stats!$A:$A,0)),FALSE),ROUND(D94+(E94-D94)*(1+G94)*((4-1)/(MaxLevel-1))^(2^F94),0),D94+(E94-D94)*(1+G94)*((4-1)/(MaxLevel-1))^(2^F94)))</f>
        <v/>
      </c>
      <c r="L94" s="12" t="str">
        <f>IF(OR(D94="",E94=""),"",IF(IFERROR(INDEX(Stats!$D:$D,MATCH($C94,Stats!$A:$A,0)),FALSE),ROUND(D94+(E94-D94)*(1+G94)*((5-1)/(MaxLevel-1))^(2^F94),0),D94+(E94-D94)*(1+G94)*((5-1)/(MaxLevel-1))^(2^F94)))</f>
        <v/>
      </c>
      <c r="M94" s="12" t="str">
        <f>IF(OR(D94="",E94=""),"",IF(IFERROR(INDEX(Stats!$D:$D,MATCH($C94,Stats!$A:$A,0)),FALSE),ROUND(D94+(E94-D94)*(1+G94)*((6-1)/(MaxLevel-1))^(2^F94),0),D94+(E94-D94)*(1+G94)*((6-1)/(MaxLevel-1))^(2^F94)))</f>
        <v/>
      </c>
      <c r="N94" s="12" t="str">
        <f>IF(OR(D94="",E94=""),"",IF(IFERROR(INDEX(Stats!$D:$D,MATCH($C94,Stats!$A:$A,0)),FALSE),ROUND(D94+(E94-D94)*(1+G94)*((7-1)/(MaxLevel-1))^(2^F94),0),D94+(E94-D94)*(1+G94)*((7-1)/(MaxLevel-1))^(2^F94)))</f>
        <v/>
      </c>
      <c r="O94" s="12" t="str">
        <f>IF(OR(D94="",E94=""),"",IF(IFERROR(INDEX(Stats!$D:$D,MATCH($C94,Stats!$A:$A,0)),FALSE),ROUND(D94+(E94-D94)*(1+G94)*((8-1)/(MaxLevel-1))^(2^F94),0),D94+(E94-D94)*(1+G94)*((8-1)/(MaxLevel-1))^(2^F94)))</f>
        <v/>
      </c>
      <c r="P94" s="12" t="str">
        <f>IF(OR(D94="",E94=""),"",IF(IFERROR(INDEX(Stats!$D:$D,MATCH($C94,Stats!$A:$A,0)),FALSE),ROUND(D94+(E94-D94)*(1+G94)*((9-1)/(MaxLevel-1))^(2^F94),0),D94+(E94-D94)*(1+G94)*((9-1)/(MaxLevel-1))^(2^F94)))</f>
        <v/>
      </c>
      <c r="Q94" s="12" t="str">
        <f>IF(OR(D94="",E94=""),"",IF(IFERROR(INDEX(Stats!$D:$D,MATCH($C94,Stats!$A:$A,0)),FALSE),ROUND(D94+(E94-D94)*(1+G94)*((10-1)/(MaxLevel-1))^(2^F94),0),D94+(E94-D94)*(1+G94)*((10-1)/(MaxLevel-1))^(2^F94)))</f>
        <v/>
      </c>
    </row>
    <row r="95" spans="1:17" x14ac:dyDescent="0.25">
      <c r="A95" s="4" t="s">
        <v>185</v>
      </c>
      <c r="B95" s="19" t="s">
        <v>221</v>
      </c>
      <c r="C95" s="4" t="s">
        <v>58</v>
      </c>
      <c r="D95" s="5"/>
      <c r="E95" s="5"/>
      <c r="F95" s="5"/>
      <c r="G95" s="5"/>
      <c r="H95" s="12" t="str">
        <f>IF(OR(D95="",E95=""),"",IF(IFERROR(INDEX(Stats!$D:$D,MATCH($C95,Stats!$A:$A,0)),FALSE),ROUND(D95+(E95-D95)*(1+G95)*((1-1)/(MaxLevel-1))^(2^F95),0),D95+(E95-D95)*(1+G95)*((1-1)/(MaxLevel-1))^(2^F95)))</f>
        <v/>
      </c>
      <c r="I95" s="12" t="str">
        <f>IF(OR(D95="",E95=""),"",IF(IFERROR(INDEX(Stats!$D:$D,MATCH($C95,Stats!$A:$A,0)),FALSE),ROUND(D95+(E95-D95)*(1+G95)*((2-1)/(MaxLevel-1))^(2^F95),0),D95+(E95-D95)*(1+G95)*((2-1)/(MaxLevel-1))^(2^F95)))</f>
        <v/>
      </c>
      <c r="J95" s="12" t="str">
        <f>IF(OR(D95="",E95=""),"",IF(IFERROR(INDEX(Stats!$D:$D,MATCH($C95,Stats!$A:$A,0)),FALSE),ROUND(D95+(E95-D95)*(1+G95)*((3-1)/(MaxLevel-1))^(2^F95),0),D95+(E95-D95)*(1+G95)*((3-1)/(MaxLevel-1))^(2^F95)))</f>
        <v/>
      </c>
      <c r="K95" s="12" t="str">
        <f>IF(OR(D95="",E95=""),"",IF(IFERROR(INDEX(Stats!$D:$D,MATCH($C95,Stats!$A:$A,0)),FALSE),ROUND(D95+(E95-D95)*(1+G95)*((4-1)/(MaxLevel-1))^(2^F95),0),D95+(E95-D95)*(1+G95)*((4-1)/(MaxLevel-1))^(2^F95)))</f>
        <v/>
      </c>
      <c r="L95" s="12" t="str">
        <f>IF(OR(D95="",E95=""),"",IF(IFERROR(INDEX(Stats!$D:$D,MATCH($C95,Stats!$A:$A,0)),FALSE),ROUND(D95+(E95-D95)*(1+G95)*((5-1)/(MaxLevel-1))^(2^F95),0),D95+(E95-D95)*(1+G95)*((5-1)/(MaxLevel-1))^(2^F95)))</f>
        <v/>
      </c>
      <c r="M95" s="12" t="str">
        <f>IF(OR(D95="",E95=""),"",IF(IFERROR(INDEX(Stats!$D:$D,MATCH($C95,Stats!$A:$A,0)),FALSE),ROUND(D95+(E95-D95)*(1+G95)*((6-1)/(MaxLevel-1))^(2^F95),0),D95+(E95-D95)*(1+G95)*((6-1)/(MaxLevel-1))^(2^F95)))</f>
        <v/>
      </c>
      <c r="N95" s="12" t="str">
        <f>IF(OR(D95="",E95=""),"",IF(IFERROR(INDEX(Stats!$D:$D,MATCH($C95,Stats!$A:$A,0)),FALSE),ROUND(D95+(E95-D95)*(1+G95)*((7-1)/(MaxLevel-1))^(2^F95),0),D95+(E95-D95)*(1+G95)*((7-1)/(MaxLevel-1))^(2^F95)))</f>
        <v/>
      </c>
      <c r="O95" s="12" t="str">
        <f>IF(OR(D95="",E95=""),"",IF(IFERROR(INDEX(Stats!$D:$D,MATCH($C95,Stats!$A:$A,0)),FALSE),ROUND(D95+(E95-D95)*(1+G95)*((8-1)/(MaxLevel-1))^(2^F95),0),D95+(E95-D95)*(1+G95)*((8-1)/(MaxLevel-1))^(2^F95)))</f>
        <v/>
      </c>
      <c r="P95" s="12" t="str">
        <f>IF(OR(D95="",E95=""),"",IF(IFERROR(INDEX(Stats!$D:$D,MATCH($C95,Stats!$A:$A,0)),FALSE),ROUND(D95+(E95-D95)*(1+G95)*((9-1)/(MaxLevel-1))^(2^F95),0),D95+(E95-D95)*(1+G95)*((9-1)/(MaxLevel-1))^(2^F95)))</f>
        <v/>
      </c>
      <c r="Q95" s="12" t="str">
        <f>IF(OR(D95="",E95=""),"",IF(IFERROR(INDEX(Stats!$D:$D,MATCH($C95,Stats!$A:$A,0)),FALSE),ROUND(D95+(E95-D95)*(1+G95)*((10-1)/(MaxLevel-1))^(2^F95),0),D95+(E95-D95)*(1+G95)*((10-1)/(MaxLevel-1))^(2^F95)))</f>
        <v/>
      </c>
    </row>
    <row r="96" spans="1:17" x14ac:dyDescent="0.25">
      <c r="A96" s="4" t="s">
        <v>185</v>
      </c>
      <c r="B96" s="19" t="s">
        <v>221</v>
      </c>
      <c r="C96" s="4" t="s">
        <v>60</v>
      </c>
      <c r="D96" s="5"/>
      <c r="E96" s="5"/>
      <c r="F96" s="5"/>
      <c r="G96" s="5"/>
      <c r="H96" s="12" t="str">
        <f>IF(OR(D96="",E96=""),"",IF(IFERROR(INDEX(Stats!$D:$D,MATCH($C96,Stats!$A:$A,0)),FALSE),ROUND(D96+(E96-D96)*(1+G96)*((1-1)/(MaxLevel-1))^(2^F96),0),D96+(E96-D96)*(1+G96)*((1-1)/(MaxLevel-1))^(2^F96)))</f>
        <v/>
      </c>
      <c r="I96" s="12" t="str">
        <f>IF(OR(D96="",E96=""),"",IF(IFERROR(INDEX(Stats!$D:$D,MATCH($C96,Stats!$A:$A,0)),FALSE),ROUND(D96+(E96-D96)*(1+G96)*((2-1)/(MaxLevel-1))^(2^F96),0),D96+(E96-D96)*(1+G96)*((2-1)/(MaxLevel-1))^(2^F96)))</f>
        <v/>
      </c>
      <c r="J96" s="12" t="str">
        <f>IF(OR(D96="",E96=""),"",IF(IFERROR(INDEX(Stats!$D:$D,MATCH($C96,Stats!$A:$A,0)),FALSE),ROUND(D96+(E96-D96)*(1+G96)*((3-1)/(MaxLevel-1))^(2^F96),0),D96+(E96-D96)*(1+G96)*((3-1)/(MaxLevel-1))^(2^F96)))</f>
        <v/>
      </c>
      <c r="K96" s="12" t="str">
        <f>IF(OR(D96="",E96=""),"",IF(IFERROR(INDEX(Stats!$D:$D,MATCH($C96,Stats!$A:$A,0)),FALSE),ROUND(D96+(E96-D96)*(1+G96)*((4-1)/(MaxLevel-1))^(2^F96),0),D96+(E96-D96)*(1+G96)*((4-1)/(MaxLevel-1))^(2^F96)))</f>
        <v/>
      </c>
      <c r="L96" s="12" t="str">
        <f>IF(OR(D96="",E96=""),"",IF(IFERROR(INDEX(Stats!$D:$D,MATCH($C96,Stats!$A:$A,0)),FALSE),ROUND(D96+(E96-D96)*(1+G96)*((5-1)/(MaxLevel-1))^(2^F96),0),D96+(E96-D96)*(1+G96)*((5-1)/(MaxLevel-1))^(2^F96)))</f>
        <v/>
      </c>
      <c r="M96" s="12" t="str">
        <f>IF(OR(D96="",E96=""),"",IF(IFERROR(INDEX(Stats!$D:$D,MATCH($C96,Stats!$A:$A,0)),FALSE),ROUND(D96+(E96-D96)*(1+G96)*((6-1)/(MaxLevel-1))^(2^F96),0),D96+(E96-D96)*(1+G96)*((6-1)/(MaxLevel-1))^(2^F96)))</f>
        <v/>
      </c>
      <c r="N96" s="12" t="str">
        <f>IF(OR(D96="",E96=""),"",IF(IFERROR(INDEX(Stats!$D:$D,MATCH($C96,Stats!$A:$A,0)),FALSE),ROUND(D96+(E96-D96)*(1+G96)*((7-1)/(MaxLevel-1))^(2^F96),0),D96+(E96-D96)*(1+G96)*((7-1)/(MaxLevel-1))^(2^F96)))</f>
        <v/>
      </c>
      <c r="O96" s="12" t="str">
        <f>IF(OR(D96="",E96=""),"",IF(IFERROR(INDEX(Stats!$D:$D,MATCH($C96,Stats!$A:$A,0)),FALSE),ROUND(D96+(E96-D96)*(1+G96)*((8-1)/(MaxLevel-1))^(2^F96),0),D96+(E96-D96)*(1+G96)*((8-1)/(MaxLevel-1))^(2^F96)))</f>
        <v/>
      </c>
      <c r="P96" s="12" t="str">
        <f>IF(OR(D96="",E96=""),"",IF(IFERROR(INDEX(Stats!$D:$D,MATCH($C96,Stats!$A:$A,0)),FALSE),ROUND(D96+(E96-D96)*(1+G96)*((9-1)/(MaxLevel-1))^(2^F96),0),D96+(E96-D96)*(1+G96)*((9-1)/(MaxLevel-1))^(2^F96)))</f>
        <v/>
      </c>
      <c r="Q96" s="12" t="str">
        <f>IF(OR(D96="",E96=""),"",IF(IFERROR(INDEX(Stats!$D:$D,MATCH($C96,Stats!$A:$A,0)),FALSE),ROUND(D96+(E96-D96)*(1+G96)*((10-1)/(MaxLevel-1))^(2^F96),0),D96+(E96-D96)*(1+G96)*((10-1)/(MaxLevel-1))^(2^F96)))</f>
        <v/>
      </c>
    </row>
    <row r="97" spans="1:17" x14ac:dyDescent="0.25">
      <c r="A97" s="4" t="s">
        <v>185</v>
      </c>
      <c r="B97" s="4" t="s">
        <v>190</v>
      </c>
      <c r="C97" s="4" t="s">
        <v>24</v>
      </c>
      <c r="D97" s="5">
        <v>0</v>
      </c>
      <c r="E97" s="5">
        <v>5000</v>
      </c>
      <c r="F97" s="5">
        <v>1</v>
      </c>
      <c r="G97" s="5">
        <v>0</v>
      </c>
      <c r="H97" s="12">
        <f>IF(OR(D97="",E97=""),"",IF(IFERROR(INDEX(Stats!$D:$D,MATCH($C97,Stats!$A:$A,0)),FALSE),ROUND(D97+(E97-D97)*(1+G97)*((1-1)/(MaxLevel-1))^(2^F97),0),D97+(E97-D97)*(1+G97)*((1-1)/(MaxLevel-1))^(2^F97)))</f>
        <v>0</v>
      </c>
      <c r="I97" s="12">
        <f>IF(OR(D97="",E97=""),"",IF(IFERROR(INDEX(Stats!$D:$D,MATCH($C97,Stats!$A:$A,0)),FALSE),ROUND(D97+(E97-D97)*(1+G97)*((2-1)/(MaxLevel-1))^(2^F97),0),D97+(E97-D97)*(1+G97)*((2-1)/(MaxLevel-1))^(2^F97)))</f>
        <v>62</v>
      </c>
      <c r="J97" s="12">
        <f>IF(OR(D97="",E97=""),"",IF(IFERROR(INDEX(Stats!$D:$D,MATCH($C97,Stats!$A:$A,0)),FALSE),ROUND(D97+(E97-D97)*(1+G97)*((3-1)/(MaxLevel-1))^(2^F97),0),D97+(E97-D97)*(1+G97)*((3-1)/(MaxLevel-1))^(2^F97)))</f>
        <v>247</v>
      </c>
      <c r="K97" s="12">
        <f>IF(OR(D97="",E97=""),"",IF(IFERROR(INDEX(Stats!$D:$D,MATCH($C97,Stats!$A:$A,0)),FALSE),ROUND(D97+(E97-D97)*(1+G97)*((4-1)/(MaxLevel-1))^(2^F97),0),D97+(E97-D97)*(1+G97)*((4-1)/(MaxLevel-1))^(2^F97)))</f>
        <v>556</v>
      </c>
      <c r="L97" s="12">
        <f>IF(OR(D97="",E97=""),"",IF(IFERROR(INDEX(Stats!$D:$D,MATCH($C97,Stats!$A:$A,0)),FALSE),ROUND(D97+(E97-D97)*(1+G97)*((5-1)/(MaxLevel-1))^(2^F97),0),D97+(E97-D97)*(1+G97)*((5-1)/(MaxLevel-1))^(2^F97)))</f>
        <v>988</v>
      </c>
      <c r="M97" s="12">
        <f>IF(OR(D97="",E97=""),"",IF(IFERROR(INDEX(Stats!$D:$D,MATCH($C97,Stats!$A:$A,0)),FALSE),ROUND(D97+(E97-D97)*(1+G97)*((6-1)/(MaxLevel-1))^(2^F97),0),D97+(E97-D97)*(1+G97)*((6-1)/(MaxLevel-1))^(2^F97)))</f>
        <v>1543</v>
      </c>
      <c r="N97" s="12">
        <f>IF(OR(D97="",E97=""),"",IF(IFERROR(INDEX(Stats!$D:$D,MATCH($C97,Stats!$A:$A,0)),FALSE),ROUND(D97+(E97-D97)*(1+G97)*((7-1)/(MaxLevel-1))^(2^F97),0),D97+(E97-D97)*(1+G97)*((7-1)/(MaxLevel-1))^(2^F97)))</f>
        <v>2222</v>
      </c>
      <c r="O97" s="12">
        <f>IF(OR(D97="",E97=""),"",IF(IFERROR(INDEX(Stats!$D:$D,MATCH($C97,Stats!$A:$A,0)),FALSE),ROUND(D97+(E97-D97)*(1+G97)*((8-1)/(MaxLevel-1))^(2^F97),0),D97+(E97-D97)*(1+G97)*((8-1)/(MaxLevel-1))^(2^F97)))</f>
        <v>3025</v>
      </c>
      <c r="P97" s="12">
        <f>IF(OR(D97="",E97=""),"",IF(IFERROR(INDEX(Stats!$D:$D,MATCH($C97,Stats!$A:$A,0)),FALSE),ROUND(D97+(E97-D97)*(1+G97)*((9-1)/(MaxLevel-1))^(2^F97),0),D97+(E97-D97)*(1+G97)*((9-1)/(MaxLevel-1))^(2^F97)))</f>
        <v>3951</v>
      </c>
      <c r="Q97" s="12">
        <f>IF(OR(D97="",E97=""),"",IF(IFERROR(INDEX(Stats!$D:$D,MATCH($C97,Stats!$A:$A,0)),FALSE),ROUND(D97+(E97-D97)*(1+G97)*((10-1)/(MaxLevel-1))^(2^F97),0),D97+(E97-D97)*(1+G97)*((10-1)/(MaxLevel-1))^(2^F97)))</f>
        <v>5000</v>
      </c>
    </row>
    <row r="98" spans="1:17" x14ac:dyDescent="0.25">
      <c r="A98" s="4" t="s">
        <v>185</v>
      </c>
      <c r="B98" s="4" t="s">
        <v>190</v>
      </c>
      <c r="C98" s="4" t="s">
        <v>26</v>
      </c>
      <c r="D98" s="5">
        <v>10</v>
      </c>
      <c r="E98" s="5">
        <v>80</v>
      </c>
      <c r="F98" s="5">
        <v>0</v>
      </c>
      <c r="G98" s="5">
        <v>0</v>
      </c>
      <c r="H98" s="12">
        <f>IF(OR(D98="",E98=""),"",IF(IFERROR(INDEX(Stats!$D:$D,MATCH($C98,Stats!$A:$A,0)),FALSE),ROUND(D98+(E98-D98)*(1+G98)*((1-1)/(MaxLevel-1))^(2^F98),0),D98+(E98-D98)*(1+G98)*((1-1)/(MaxLevel-1))^(2^F98)))</f>
        <v>10</v>
      </c>
      <c r="I98" s="12">
        <f>IF(OR(D98="",E98=""),"",IF(IFERROR(INDEX(Stats!$D:$D,MATCH($C98,Stats!$A:$A,0)),FALSE),ROUND(D98+(E98-D98)*(1+G98)*((2-1)/(MaxLevel-1))^(2^F98),0),D98+(E98-D98)*(1+G98)*((2-1)/(MaxLevel-1))^(2^F98)))</f>
        <v>18</v>
      </c>
      <c r="J98" s="12">
        <f>IF(OR(D98="",E98=""),"",IF(IFERROR(INDEX(Stats!$D:$D,MATCH($C98,Stats!$A:$A,0)),FALSE),ROUND(D98+(E98-D98)*(1+G98)*((3-1)/(MaxLevel-1))^(2^F98),0),D98+(E98-D98)*(1+G98)*((3-1)/(MaxLevel-1))^(2^F98)))</f>
        <v>26</v>
      </c>
      <c r="K98" s="12">
        <f>IF(OR(D98="",E98=""),"",IF(IFERROR(INDEX(Stats!$D:$D,MATCH($C98,Stats!$A:$A,0)),FALSE),ROUND(D98+(E98-D98)*(1+G98)*((4-1)/(MaxLevel-1))^(2^F98),0),D98+(E98-D98)*(1+G98)*((4-1)/(MaxLevel-1))^(2^F98)))</f>
        <v>33</v>
      </c>
      <c r="L98" s="12">
        <f>IF(OR(D98="",E98=""),"",IF(IFERROR(INDEX(Stats!$D:$D,MATCH($C98,Stats!$A:$A,0)),FALSE),ROUND(D98+(E98-D98)*(1+G98)*((5-1)/(MaxLevel-1))^(2^F98),0),D98+(E98-D98)*(1+G98)*((5-1)/(MaxLevel-1))^(2^F98)))</f>
        <v>41</v>
      </c>
      <c r="M98" s="12">
        <f>IF(OR(D98="",E98=""),"",IF(IFERROR(INDEX(Stats!$D:$D,MATCH($C98,Stats!$A:$A,0)),FALSE),ROUND(D98+(E98-D98)*(1+G98)*((6-1)/(MaxLevel-1))^(2^F98),0),D98+(E98-D98)*(1+G98)*((6-1)/(MaxLevel-1))^(2^F98)))</f>
        <v>49</v>
      </c>
      <c r="N98" s="12">
        <f>IF(OR(D98="",E98=""),"",IF(IFERROR(INDEX(Stats!$D:$D,MATCH($C98,Stats!$A:$A,0)),FALSE),ROUND(D98+(E98-D98)*(1+G98)*((7-1)/(MaxLevel-1))^(2^F98),0),D98+(E98-D98)*(1+G98)*((7-1)/(MaxLevel-1))^(2^F98)))</f>
        <v>57</v>
      </c>
      <c r="O98" s="12">
        <f>IF(OR(D98="",E98=""),"",IF(IFERROR(INDEX(Stats!$D:$D,MATCH($C98,Stats!$A:$A,0)),FALSE),ROUND(D98+(E98-D98)*(1+G98)*((8-1)/(MaxLevel-1))^(2^F98),0),D98+(E98-D98)*(1+G98)*((8-1)/(MaxLevel-1))^(2^F98)))</f>
        <v>64</v>
      </c>
      <c r="P98" s="12">
        <f>IF(OR(D98="",E98=""),"",IF(IFERROR(INDEX(Stats!$D:$D,MATCH($C98,Stats!$A:$A,0)),FALSE),ROUND(D98+(E98-D98)*(1+G98)*((9-1)/(MaxLevel-1))^(2^F98),0),D98+(E98-D98)*(1+G98)*((9-1)/(MaxLevel-1))^(2^F98)))</f>
        <v>72</v>
      </c>
      <c r="Q98" s="12">
        <f>IF(OR(D98="",E98=""),"",IF(IFERROR(INDEX(Stats!$D:$D,MATCH($C98,Stats!$A:$A,0)),FALSE),ROUND(D98+(E98-D98)*(1+G98)*((10-1)/(MaxLevel-1))^(2^F98),0),D98+(E98-D98)*(1+G98)*((10-1)/(MaxLevel-1))^(2^F98)))</f>
        <v>80</v>
      </c>
    </row>
    <row r="99" spans="1:17" x14ac:dyDescent="0.25">
      <c r="A99" s="4" t="s">
        <v>185</v>
      </c>
      <c r="B99" s="4" t="s">
        <v>190</v>
      </c>
      <c r="C99" s="4" t="s">
        <v>28</v>
      </c>
      <c r="D99" s="5">
        <v>80</v>
      </c>
      <c r="E99" s="5">
        <v>400</v>
      </c>
      <c r="F99" s="5">
        <v>-0.5</v>
      </c>
      <c r="G99" s="5">
        <v>0</v>
      </c>
      <c r="H99" s="12">
        <f>IF(OR(D99="",E99=""),"",IF(IFERROR(INDEX(Stats!$D:$D,MATCH($C99,Stats!$A:$A,0)),FALSE),ROUND(D99+(E99-D99)*(1+G99)*((1-1)/(MaxLevel-1))^(2^F99),0),D99+(E99-D99)*(1+G99)*((1-1)/(MaxLevel-1))^(2^F99)))</f>
        <v>80</v>
      </c>
      <c r="I99" s="12">
        <f>IF(OR(D99="",E99=""),"",IF(IFERROR(INDEX(Stats!$D:$D,MATCH($C99,Stats!$A:$A,0)),FALSE),ROUND(D99+(E99-D99)*(1+G99)*((2-1)/(MaxLevel-1))^(2^F99),0),D99+(E99-D99)*(1+G99)*((2-1)/(MaxLevel-1))^(2^F99)))</f>
        <v>148</v>
      </c>
      <c r="J99" s="12">
        <f>IF(OR(D99="",E99=""),"",IF(IFERROR(INDEX(Stats!$D:$D,MATCH($C99,Stats!$A:$A,0)),FALSE),ROUND(D99+(E99-D99)*(1+G99)*((3-1)/(MaxLevel-1))^(2^F99),0),D99+(E99-D99)*(1+G99)*((3-1)/(MaxLevel-1))^(2^F99)))</f>
        <v>190</v>
      </c>
      <c r="K99" s="12">
        <f>IF(OR(D99="",E99=""),"",IF(IFERROR(INDEX(Stats!$D:$D,MATCH($C99,Stats!$A:$A,0)),FALSE),ROUND(D99+(E99-D99)*(1+G99)*((4-1)/(MaxLevel-1))^(2^F99),0),D99+(E99-D99)*(1+G99)*((4-1)/(MaxLevel-1))^(2^F99)))</f>
        <v>227</v>
      </c>
      <c r="L99" s="12">
        <f>IF(OR(D99="",E99=""),"",IF(IFERROR(INDEX(Stats!$D:$D,MATCH($C99,Stats!$A:$A,0)),FALSE),ROUND(D99+(E99-D99)*(1+G99)*((5-1)/(MaxLevel-1))^(2^F99),0),D99+(E99-D99)*(1+G99)*((5-1)/(MaxLevel-1))^(2^F99)))</f>
        <v>260</v>
      </c>
      <c r="M99" s="12">
        <f>IF(OR(D99="",E99=""),"",IF(IFERROR(INDEX(Stats!$D:$D,MATCH($C99,Stats!$A:$A,0)),FALSE),ROUND(D99+(E99-D99)*(1+G99)*((6-1)/(MaxLevel-1))^(2^F99),0),D99+(E99-D99)*(1+G99)*((6-1)/(MaxLevel-1))^(2^F99)))</f>
        <v>291</v>
      </c>
      <c r="N99" s="12">
        <f>IF(OR(D99="",E99=""),"",IF(IFERROR(INDEX(Stats!$D:$D,MATCH($C99,Stats!$A:$A,0)),FALSE),ROUND(D99+(E99-D99)*(1+G99)*((7-1)/(MaxLevel-1))^(2^F99),0),D99+(E99-D99)*(1+G99)*((7-1)/(MaxLevel-1))^(2^F99)))</f>
        <v>320</v>
      </c>
      <c r="O99" s="12">
        <f>IF(OR(D99="",E99=""),"",IF(IFERROR(INDEX(Stats!$D:$D,MATCH($C99,Stats!$A:$A,0)),FALSE),ROUND(D99+(E99-D99)*(1+G99)*((8-1)/(MaxLevel-1))^(2^F99),0),D99+(E99-D99)*(1+G99)*((8-1)/(MaxLevel-1))^(2^F99)))</f>
        <v>348</v>
      </c>
      <c r="P99" s="12">
        <f>IF(OR(D99="",E99=""),"",IF(IFERROR(INDEX(Stats!$D:$D,MATCH($C99,Stats!$A:$A,0)),FALSE),ROUND(D99+(E99-D99)*(1+G99)*((9-1)/(MaxLevel-1))^(2^F99),0),D99+(E99-D99)*(1+G99)*((9-1)/(MaxLevel-1))^(2^F99)))</f>
        <v>374</v>
      </c>
      <c r="Q99" s="12">
        <f>IF(OR(D99="",E99=""),"",IF(IFERROR(INDEX(Stats!$D:$D,MATCH($C99,Stats!$A:$A,0)),FALSE),ROUND(D99+(E99-D99)*(1+G99)*((10-1)/(MaxLevel-1))^(2^F99),0),D99+(E99-D99)*(1+G99)*((10-1)/(MaxLevel-1))^(2^F99)))</f>
        <v>400</v>
      </c>
    </row>
    <row r="100" spans="1:17" x14ac:dyDescent="0.25">
      <c r="A100" s="4" t="s">
        <v>185</v>
      </c>
      <c r="B100" s="4" t="s">
        <v>190</v>
      </c>
      <c r="C100" s="4" t="s">
        <v>30</v>
      </c>
      <c r="D100" s="5"/>
      <c r="E100" s="5"/>
      <c r="F100" s="5"/>
      <c r="G100" s="5"/>
      <c r="H100" s="12" t="str">
        <f>IF(OR(D100="",E100=""),"",IF(IFERROR(INDEX(Stats!$D:$D,MATCH($C100,Stats!$A:$A,0)),FALSE),ROUND(D100+(E100-D100)*(1+G100)*((1-1)/(MaxLevel-1))^(2^F100),0),D100+(E100-D100)*(1+G100)*((1-1)/(MaxLevel-1))^(2^F100)))</f>
        <v/>
      </c>
      <c r="I100" s="12" t="str">
        <f>IF(OR(D100="",E100=""),"",IF(IFERROR(INDEX(Stats!$D:$D,MATCH($C100,Stats!$A:$A,0)),FALSE),ROUND(D100+(E100-D100)*(1+G100)*((2-1)/(MaxLevel-1))^(2^F100),0),D100+(E100-D100)*(1+G100)*((2-1)/(MaxLevel-1))^(2^F100)))</f>
        <v/>
      </c>
      <c r="J100" s="12" t="str">
        <f>IF(OR(D100="",E100=""),"",IF(IFERROR(INDEX(Stats!$D:$D,MATCH($C100,Stats!$A:$A,0)),FALSE),ROUND(D100+(E100-D100)*(1+G100)*((3-1)/(MaxLevel-1))^(2^F100),0),D100+(E100-D100)*(1+G100)*((3-1)/(MaxLevel-1))^(2^F100)))</f>
        <v/>
      </c>
      <c r="K100" s="12" t="str">
        <f>IF(OR(D100="",E100=""),"",IF(IFERROR(INDEX(Stats!$D:$D,MATCH($C100,Stats!$A:$A,0)),FALSE),ROUND(D100+(E100-D100)*(1+G100)*((4-1)/(MaxLevel-1))^(2^F100),0),D100+(E100-D100)*(1+G100)*((4-1)/(MaxLevel-1))^(2^F100)))</f>
        <v/>
      </c>
      <c r="L100" s="12" t="str">
        <f>IF(OR(D100="",E100=""),"",IF(IFERROR(INDEX(Stats!$D:$D,MATCH($C100,Stats!$A:$A,0)),FALSE),ROUND(D100+(E100-D100)*(1+G100)*((5-1)/(MaxLevel-1))^(2^F100),0),D100+(E100-D100)*(1+G100)*((5-1)/(MaxLevel-1))^(2^F100)))</f>
        <v/>
      </c>
      <c r="M100" s="12" t="str">
        <f>IF(OR(D100="",E100=""),"",IF(IFERROR(INDEX(Stats!$D:$D,MATCH($C100,Stats!$A:$A,0)),FALSE),ROUND(D100+(E100-D100)*(1+G100)*((6-1)/(MaxLevel-1))^(2^F100),0),D100+(E100-D100)*(1+G100)*((6-1)/(MaxLevel-1))^(2^F100)))</f>
        <v/>
      </c>
      <c r="N100" s="12" t="str">
        <f>IF(OR(D100="",E100=""),"",IF(IFERROR(INDEX(Stats!$D:$D,MATCH($C100,Stats!$A:$A,0)),FALSE),ROUND(D100+(E100-D100)*(1+G100)*((7-1)/(MaxLevel-1))^(2^F100),0),D100+(E100-D100)*(1+G100)*((7-1)/(MaxLevel-1))^(2^F100)))</f>
        <v/>
      </c>
      <c r="O100" s="12" t="str">
        <f>IF(OR(D100="",E100=""),"",IF(IFERROR(INDEX(Stats!$D:$D,MATCH($C100,Stats!$A:$A,0)),FALSE),ROUND(D100+(E100-D100)*(1+G100)*((8-1)/(MaxLevel-1))^(2^F100),0),D100+(E100-D100)*(1+G100)*((8-1)/(MaxLevel-1))^(2^F100)))</f>
        <v/>
      </c>
      <c r="P100" s="12" t="str">
        <f>IF(OR(D100="",E100=""),"",IF(IFERROR(INDEX(Stats!$D:$D,MATCH($C100,Stats!$A:$A,0)),FALSE),ROUND(D100+(E100-D100)*(1+G100)*((9-1)/(MaxLevel-1))^(2^F100),0),D100+(E100-D100)*(1+G100)*((9-1)/(MaxLevel-1))^(2^F100)))</f>
        <v/>
      </c>
      <c r="Q100" s="12" t="str">
        <f>IF(OR(D100="",E100=""),"",IF(IFERROR(INDEX(Stats!$D:$D,MATCH($C100,Stats!$A:$A,0)),FALSE),ROUND(D100+(E100-D100)*(1+G100)*((10-1)/(MaxLevel-1))^(2^F100),0),D100+(E100-D100)*(1+G100)*((10-1)/(MaxLevel-1))^(2^F100)))</f>
        <v/>
      </c>
    </row>
    <row r="101" spans="1:17" x14ac:dyDescent="0.25">
      <c r="A101" s="4" t="s">
        <v>185</v>
      </c>
      <c r="B101" s="4" t="s">
        <v>190</v>
      </c>
      <c r="C101" s="4" t="s">
        <v>32</v>
      </c>
      <c r="D101" s="5"/>
      <c r="E101" s="5"/>
      <c r="F101" s="5"/>
      <c r="G101" s="5"/>
      <c r="H101" s="12" t="str">
        <f>IF(OR(D101="",E101=""),"",IF(IFERROR(INDEX(Stats!$D:$D,MATCH($C101,Stats!$A:$A,0)),FALSE),ROUND(D101+(E101-D101)*(1+G101)*((1-1)/(MaxLevel-1))^(2^F101),0),D101+(E101-D101)*(1+G101)*((1-1)/(MaxLevel-1))^(2^F101)))</f>
        <v/>
      </c>
      <c r="I101" s="12" t="str">
        <f>IF(OR(D101="",E101=""),"",IF(IFERROR(INDEX(Stats!$D:$D,MATCH($C101,Stats!$A:$A,0)),FALSE),ROUND(D101+(E101-D101)*(1+G101)*((2-1)/(MaxLevel-1))^(2^F101),0),D101+(E101-D101)*(1+G101)*((2-1)/(MaxLevel-1))^(2^F101)))</f>
        <v/>
      </c>
      <c r="J101" s="12" t="str">
        <f>IF(OR(D101="",E101=""),"",IF(IFERROR(INDEX(Stats!$D:$D,MATCH($C101,Stats!$A:$A,0)),FALSE),ROUND(D101+(E101-D101)*(1+G101)*((3-1)/(MaxLevel-1))^(2^F101),0),D101+(E101-D101)*(1+G101)*((3-1)/(MaxLevel-1))^(2^F101)))</f>
        <v/>
      </c>
      <c r="K101" s="12" t="str">
        <f>IF(OR(D101="",E101=""),"",IF(IFERROR(INDEX(Stats!$D:$D,MATCH($C101,Stats!$A:$A,0)),FALSE),ROUND(D101+(E101-D101)*(1+G101)*((4-1)/(MaxLevel-1))^(2^F101),0),D101+(E101-D101)*(1+G101)*((4-1)/(MaxLevel-1))^(2^F101)))</f>
        <v/>
      </c>
      <c r="L101" s="12" t="str">
        <f>IF(OR(D101="",E101=""),"",IF(IFERROR(INDEX(Stats!$D:$D,MATCH($C101,Stats!$A:$A,0)),FALSE),ROUND(D101+(E101-D101)*(1+G101)*((5-1)/(MaxLevel-1))^(2^F101),0),D101+(E101-D101)*(1+G101)*((5-1)/(MaxLevel-1))^(2^F101)))</f>
        <v/>
      </c>
      <c r="M101" s="12" t="str">
        <f>IF(OR(D101="",E101=""),"",IF(IFERROR(INDEX(Stats!$D:$D,MATCH($C101,Stats!$A:$A,0)),FALSE),ROUND(D101+(E101-D101)*(1+G101)*((6-1)/(MaxLevel-1))^(2^F101),0),D101+(E101-D101)*(1+G101)*((6-1)/(MaxLevel-1))^(2^F101)))</f>
        <v/>
      </c>
      <c r="N101" s="12" t="str">
        <f>IF(OR(D101="",E101=""),"",IF(IFERROR(INDEX(Stats!$D:$D,MATCH($C101,Stats!$A:$A,0)),FALSE),ROUND(D101+(E101-D101)*(1+G101)*((7-1)/(MaxLevel-1))^(2^F101),0),D101+(E101-D101)*(1+G101)*((7-1)/(MaxLevel-1))^(2^F101)))</f>
        <v/>
      </c>
      <c r="O101" s="12" t="str">
        <f>IF(OR(D101="",E101=""),"",IF(IFERROR(INDEX(Stats!$D:$D,MATCH($C101,Stats!$A:$A,0)),FALSE),ROUND(D101+(E101-D101)*(1+G101)*((8-1)/(MaxLevel-1))^(2^F101),0),D101+(E101-D101)*(1+G101)*((8-1)/(MaxLevel-1))^(2^F101)))</f>
        <v/>
      </c>
      <c r="P101" s="12" t="str">
        <f>IF(OR(D101="",E101=""),"",IF(IFERROR(INDEX(Stats!$D:$D,MATCH($C101,Stats!$A:$A,0)),FALSE),ROUND(D101+(E101-D101)*(1+G101)*((9-1)/(MaxLevel-1))^(2^F101),0),D101+(E101-D101)*(1+G101)*((9-1)/(MaxLevel-1))^(2^F101)))</f>
        <v/>
      </c>
      <c r="Q101" s="12" t="str">
        <f>IF(OR(D101="",E101=""),"",IF(IFERROR(INDEX(Stats!$D:$D,MATCH($C101,Stats!$A:$A,0)),FALSE),ROUND(D101+(E101-D101)*(1+G101)*((10-1)/(MaxLevel-1))^(2^F101),0),D101+(E101-D101)*(1+G101)*((10-1)/(MaxLevel-1))^(2^F101)))</f>
        <v/>
      </c>
    </row>
    <row r="102" spans="1:17" x14ac:dyDescent="0.25">
      <c r="A102" s="4" t="s">
        <v>185</v>
      </c>
      <c r="B102" s="4" t="s">
        <v>190</v>
      </c>
      <c r="C102" s="4" t="s">
        <v>34</v>
      </c>
      <c r="D102" s="5"/>
      <c r="E102" s="5"/>
      <c r="F102" s="5"/>
      <c r="G102" s="5"/>
      <c r="H102" s="12" t="str">
        <f>IF(OR(D102="",E102=""),"",IF(IFERROR(INDEX(Stats!$D:$D,MATCH($C102,Stats!$A:$A,0)),FALSE),ROUND(D102+(E102-D102)*(1+G102)*((1-1)/(MaxLevel-1))^(2^F102),0),D102+(E102-D102)*(1+G102)*((1-1)/(MaxLevel-1))^(2^F102)))</f>
        <v/>
      </c>
      <c r="I102" s="12" t="str">
        <f>IF(OR(D102="",E102=""),"",IF(IFERROR(INDEX(Stats!$D:$D,MATCH($C102,Stats!$A:$A,0)),FALSE),ROUND(D102+(E102-D102)*(1+G102)*((2-1)/(MaxLevel-1))^(2^F102),0),D102+(E102-D102)*(1+G102)*((2-1)/(MaxLevel-1))^(2^F102)))</f>
        <v/>
      </c>
      <c r="J102" s="12" t="str">
        <f>IF(OR(D102="",E102=""),"",IF(IFERROR(INDEX(Stats!$D:$D,MATCH($C102,Stats!$A:$A,0)),FALSE),ROUND(D102+(E102-D102)*(1+G102)*((3-1)/(MaxLevel-1))^(2^F102),0),D102+(E102-D102)*(1+G102)*((3-1)/(MaxLevel-1))^(2^F102)))</f>
        <v/>
      </c>
      <c r="K102" s="12" t="str">
        <f>IF(OR(D102="",E102=""),"",IF(IFERROR(INDEX(Stats!$D:$D,MATCH($C102,Stats!$A:$A,0)),FALSE),ROUND(D102+(E102-D102)*(1+G102)*((4-1)/(MaxLevel-1))^(2^F102),0),D102+(E102-D102)*(1+G102)*((4-1)/(MaxLevel-1))^(2^F102)))</f>
        <v/>
      </c>
      <c r="L102" s="12" t="str">
        <f>IF(OR(D102="",E102=""),"",IF(IFERROR(INDEX(Stats!$D:$D,MATCH($C102,Stats!$A:$A,0)),FALSE),ROUND(D102+(E102-D102)*(1+G102)*((5-1)/(MaxLevel-1))^(2^F102),0),D102+(E102-D102)*(1+G102)*((5-1)/(MaxLevel-1))^(2^F102)))</f>
        <v/>
      </c>
      <c r="M102" s="12" t="str">
        <f>IF(OR(D102="",E102=""),"",IF(IFERROR(INDEX(Stats!$D:$D,MATCH($C102,Stats!$A:$A,0)),FALSE),ROUND(D102+(E102-D102)*(1+G102)*((6-1)/(MaxLevel-1))^(2^F102),0),D102+(E102-D102)*(1+G102)*((6-1)/(MaxLevel-1))^(2^F102)))</f>
        <v/>
      </c>
      <c r="N102" s="12" t="str">
        <f>IF(OR(D102="",E102=""),"",IF(IFERROR(INDEX(Stats!$D:$D,MATCH($C102,Stats!$A:$A,0)),FALSE),ROUND(D102+(E102-D102)*(1+G102)*((7-1)/(MaxLevel-1))^(2^F102),0),D102+(E102-D102)*(1+G102)*((7-1)/(MaxLevel-1))^(2^F102)))</f>
        <v/>
      </c>
      <c r="O102" s="12" t="str">
        <f>IF(OR(D102="",E102=""),"",IF(IFERROR(INDEX(Stats!$D:$D,MATCH($C102,Stats!$A:$A,0)),FALSE),ROUND(D102+(E102-D102)*(1+G102)*((8-1)/(MaxLevel-1))^(2^F102),0),D102+(E102-D102)*(1+G102)*((8-1)/(MaxLevel-1))^(2^F102)))</f>
        <v/>
      </c>
      <c r="P102" s="12" t="str">
        <f>IF(OR(D102="",E102=""),"",IF(IFERROR(INDEX(Stats!$D:$D,MATCH($C102,Stats!$A:$A,0)),FALSE),ROUND(D102+(E102-D102)*(1+G102)*((9-1)/(MaxLevel-1))^(2^F102),0),D102+(E102-D102)*(1+G102)*((9-1)/(MaxLevel-1))^(2^F102)))</f>
        <v/>
      </c>
      <c r="Q102" s="12" t="str">
        <f>IF(OR(D102="",E102=""),"",IF(IFERROR(INDEX(Stats!$D:$D,MATCH($C102,Stats!$A:$A,0)),FALSE),ROUND(D102+(E102-D102)*(1+G102)*((10-1)/(MaxLevel-1))^(2^F102),0),D102+(E102-D102)*(1+G102)*((10-1)/(MaxLevel-1))^(2^F102)))</f>
        <v/>
      </c>
    </row>
    <row r="103" spans="1:17" x14ac:dyDescent="0.25">
      <c r="A103" s="4" t="s">
        <v>185</v>
      </c>
      <c r="B103" s="4" t="s">
        <v>190</v>
      </c>
      <c r="C103" s="4" t="s">
        <v>36</v>
      </c>
      <c r="D103" s="5"/>
      <c r="E103" s="5"/>
      <c r="F103" s="5"/>
      <c r="G103" s="5"/>
      <c r="H103" s="12" t="str">
        <f>IF(OR(D103="",E103=""),"",IF(IFERROR(INDEX(Stats!$D:$D,MATCH($C103,Stats!$A:$A,0)),FALSE),ROUND(D103+(E103-D103)*(1+G103)*((1-1)/(MaxLevel-1))^(2^F103),0),D103+(E103-D103)*(1+G103)*((1-1)/(MaxLevel-1))^(2^F103)))</f>
        <v/>
      </c>
      <c r="I103" s="12" t="str">
        <f>IF(OR(D103="",E103=""),"",IF(IFERROR(INDEX(Stats!$D:$D,MATCH($C103,Stats!$A:$A,0)),FALSE),ROUND(D103+(E103-D103)*(1+G103)*((2-1)/(MaxLevel-1))^(2^F103),0),D103+(E103-D103)*(1+G103)*((2-1)/(MaxLevel-1))^(2^F103)))</f>
        <v/>
      </c>
      <c r="J103" s="12" t="str">
        <f>IF(OR(D103="",E103=""),"",IF(IFERROR(INDEX(Stats!$D:$D,MATCH($C103,Stats!$A:$A,0)),FALSE),ROUND(D103+(E103-D103)*(1+G103)*((3-1)/(MaxLevel-1))^(2^F103),0),D103+(E103-D103)*(1+G103)*((3-1)/(MaxLevel-1))^(2^F103)))</f>
        <v/>
      </c>
      <c r="K103" s="12" t="str">
        <f>IF(OR(D103="",E103=""),"",IF(IFERROR(INDEX(Stats!$D:$D,MATCH($C103,Stats!$A:$A,0)),FALSE),ROUND(D103+(E103-D103)*(1+G103)*((4-1)/(MaxLevel-1))^(2^F103),0),D103+(E103-D103)*(1+G103)*((4-1)/(MaxLevel-1))^(2^F103)))</f>
        <v/>
      </c>
      <c r="L103" s="12" t="str">
        <f>IF(OR(D103="",E103=""),"",IF(IFERROR(INDEX(Stats!$D:$D,MATCH($C103,Stats!$A:$A,0)),FALSE),ROUND(D103+(E103-D103)*(1+G103)*((5-1)/(MaxLevel-1))^(2^F103),0),D103+(E103-D103)*(1+G103)*((5-1)/(MaxLevel-1))^(2^F103)))</f>
        <v/>
      </c>
      <c r="M103" s="12" t="str">
        <f>IF(OR(D103="",E103=""),"",IF(IFERROR(INDEX(Stats!$D:$D,MATCH($C103,Stats!$A:$A,0)),FALSE),ROUND(D103+(E103-D103)*(1+G103)*((6-1)/(MaxLevel-1))^(2^F103),0),D103+(E103-D103)*(1+G103)*((6-1)/(MaxLevel-1))^(2^F103)))</f>
        <v/>
      </c>
      <c r="N103" s="12" t="str">
        <f>IF(OR(D103="",E103=""),"",IF(IFERROR(INDEX(Stats!$D:$D,MATCH($C103,Stats!$A:$A,0)),FALSE),ROUND(D103+(E103-D103)*(1+G103)*((7-1)/(MaxLevel-1))^(2^F103),0),D103+(E103-D103)*(1+G103)*((7-1)/(MaxLevel-1))^(2^F103)))</f>
        <v/>
      </c>
      <c r="O103" s="12" t="str">
        <f>IF(OR(D103="",E103=""),"",IF(IFERROR(INDEX(Stats!$D:$D,MATCH($C103,Stats!$A:$A,0)),FALSE),ROUND(D103+(E103-D103)*(1+G103)*((8-1)/(MaxLevel-1))^(2^F103),0),D103+(E103-D103)*(1+G103)*((8-1)/(MaxLevel-1))^(2^F103)))</f>
        <v/>
      </c>
      <c r="P103" s="12" t="str">
        <f>IF(OR(D103="",E103=""),"",IF(IFERROR(INDEX(Stats!$D:$D,MATCH($C103,Stats!$A:$A,0)),FALSE),ROUND(D103+(E103-D103)*(1+G103)*((9-1)/(MaxLevel-1))^(2^F103),0),D103+(E103-D103)*(1+G103)*((9-1)/(MaxLevel-1))^(2^F103)))</f>
        <v/>
      </c>
      <c r="Q103" s="12" t="str">
        <f>IF(OR(D103="",E103=""),"",IF(IFERROR(INDEX(Stats!$D:$D,MATCH($C103,Stats!$A:$A,0)),FALSE),ROUND(D103+(E103-D103)*(1+G103)*((10-1)/(MaxLevel-1))^(2^F103),0),D103+(E103-D103)*(1+G103)*((10-1)/(MaxLevel-1))^(2^F103)))</f>
        <v/>
      </c>
    </row>
    <row r="104" spans="1:17" x14ac:dyDescent="0.25">
      <c r="A104" s="4" t="s">
        <v>185</v>
      </c>
      <c r="B104" s="4" t="s">
        <v>190</v>
      </c>
      <c r="C104" s="4" t="s">
        <v>38</v>
      </c>
      <c r="D104" s="5">
        <v>1.5</v>
      </c>
      <c r="E104" s="5">
        <v>2</v>
      </c>
      <c r="F104" s="5">
        <v>-1</v>
      </c>
      <c r="G104" s="5">
        <v>0</v>
      </c>
      <c r="H104" s="12">
        <f>IF(OR(D104="",E104=""),"",IF(IFERROR(INDEX(Stats!$D:$D,MATCH($C104,Stats!$A:$A,0)),FALSE),ROUND(D104+(E104-D104)*(1+G104)*((1-1)/(MaxLevel-1))^(2^F104),0),D104+(E104-D104)*(1+G104)*((1-1)/(MaxLevel-1))^(2^F104)))</f>
        <v>1.5</v>
      </c>
      <c r="I104" s="12">
        <f>IF(OR(D104="",E104=""),"",IF(IFERROR(INDEX(Stats!$D:$D,MATCH($C104,Stats!$A:$A,0)),FALSE),ROUND(D104+(E104-D104)*(1+G104)*((2-1)/(MaxLevel-1))^(2^F104),0),D104+(E104-D104)*(1+G104)*((2-1)/(MaxLevel-1))^(2^F104)))</f>
        <v>1.6666666666666667</v>
      </c>
      <c r="J104" s="12">
        <f>IF(OR(D104="",E104=""),"",IF(IFERROR(INDEX(Stats!$D:$D,MATCH($C104,Stats!$A:$A,0)),FALSE),ROUND(D104+(E104-D104)*(1+G104)*((3-1)/(MaxLevel-1))^(2^F104),0),D104+(E104-D104)*(1+G104)*((3-1)/(MaxLevel-1))^(2^F104)))</f>
        <v>1.7357022603955159</v>
      </c>
      <c r="K104" s="12">
        <f>IF(OR(D104="",E104=""),"",IF(IFERROR(INDEX(Stats!$D:$D,MATCH($C104,Stats!$A:$A,0)),FALSE),ROUND(D104+(E104-D104)*(1+G104)*((4-1)/(MaxLevel-1))^(2^F104),0),D104+(E104-D104)*(1+G104)*((4-1)/(MaxLevel-1))^(2^F104)))</f>
        <v>1.7886751345948129</v>
      </c>
      <c r="L104" s="12">
        <f>IF(OR(D104="",E104=""),"",IF(IFERROR(INDEX(Stats!$D:$D,MATCH($C104,Stats!$A:$A,0)),FALSE),ROUND(D104+(E104-D104)*(1+G104)*((5-1)/(MaxLevel-1))^(2^F104),0),D104+(E104-D104)*(1+G104)*((5-1)/(MaxLevel-1))^(2^F104)))</f>
        <v>1.8333333333333333</v>
      </c>
      <c r="M104" s="12">
        <f>IF(OR(D104="",E104=""),"",IF(IFERROR(INDEX(Stats!$D:$D,MATCH($C104,Stats!$A:$A,0)),FALSE),ROUND(D104+(E104-D104)*(1+G104)*((6-1)/(MaxLevel-1))^(2^F104),0),D104+(E104-D104)*(1+G104)*((6-1)/(MaxLevel-1))^(2^F104)))</f>
        <v>1.8726779962499649</v>
      </c>
      <c r="N104" s="12">
        <f>IF(OR(D104="",E104=""),"",IF(IFERROR(INDEX(Stats!$D:$D,MATCH($C104,Stats!$A:$A,0)),FALSE),ROUND(D104+(E104-D104)*(1+G104)*((7-1)/(MaxLevel-1))^(2^F104),0),D104+(E104-D104)*(1+G104)*((7-1)/(MaxLevel-1))^(2^F104)))</f>
        <v>1.9082482904638631</v>
      </c>
      <c r="O104" s="12">
        <f>IF(OR(D104="",E104=""),"",IF(IFERROR(INDEX(Stats!$D:$D,MATCH($C104,Stats!$A:$A,0)),FALSE),ROUND(D104+(E104-D104)*(1+G104)*((8-1)/(MaxLevel-1))^(2^F104),0),D104+(E104-D104)*(1+G104)*((8-1)/(MaxLevel-1))^(2^F104)))</f>
        <v>1.9409585518440984</v>
      </c>
      <c r="P104" s="12">
        <f>IF(OR(D104="",E104=""),"",IF(IFERROR(INDEX(Stats!$D:$D,MATCH($C104,Stats!$A:$A,0)),FALSE),ROUND(D104+(E104-D104)*(1+G104)*((9-1)/(MaxLevel-1))^(2^F104),0),D104+(E104-D104)*(1+G104)*((9-1)/(MaxLevel-1))^(2^F104)))</f>
        <v>1.9714045207910318</v>
      </c>
      <c r="Q104" s="12">
        <f>IF(OR(D104="",E104=""),"",IF(IFERROR(INDEX(Stats!$D:$D,MATCH($C104,Stats!$A:$A,0)),FALSE),ROUND(D104+(E104-D104)*(1+G104)*((10-1)/(MaxLevel-1))^(2^F104),0),D104+(E104-D104)*(1+G104)*((10-1)/(MaxLevel-1))^(2^F104)))</f>
        <v>2</v>
      </c>
    </row>
    <row r="105" spans="1:17" x14ac:dyDescent="0.25">
      <c r="A105" s="4" t="s">
        <v>185</v>
      </c>
      <c r="B105" s="4" t="s">
        <v>190</v>
      </c>
      <c r="C105" s="4" t="s">
        <v>40</v>
      </c>
      <c r="D105" s="5">
        <v>20</v>
      </c>
      <c r="E105" s="5">
        <v>100</v>
      </c>
      <c r="F105" s="5">
        <v>1</v>
      </c>
      <c r="G105" s="5">
        <v>0.1</v>
      </c>
      <c r="H105" s="12">
        <f>IF(OR(D105="",E105=""),"",IF(IFERROR(INDEX(Stats!$D:$D,MATCH($C105,Stats!$A:$A,0)),FALSE),ROUND(D105+(E105-D105)*(1+G105)*((1-1)/(MaxLevel-1))^(2^F105),0),D105+(E105-D105)*(1+G105)*((1-1)/(MaxLevel-1))^(2^F105)))</f>
        <v>20</v>
      </c>
      <c r="I105" s="12">
        <f>IF(OR(D105="",E105=""),"",IF(IFERROR(INDEX(Stats!$D:$D,MATCH($C105,Stats!$A:$A,0)),FALSE),ROUND(D105+(E105-D105)*(1+G105)*((2-1)/(MaxLevel-1))^(2^F105),0),D105+(E105-D105)*(1+G105)*((2-1)/(MaxLevel-1))^(2^F105)))</f>
        <v>21</v>
      </c>
      <c r="J105" s="12">
        <f>IF(OR(D105="",E105=""),"",IF(IFERROR(INDEX(Stats!$D:$D,MATCH($C105,Stats!$A:$A,0)),FALSE),ROUND(D105+(E105-D105)*(1+G105)*((3-1)/(MaxLevel-1))^(2^F105),0),D105+(E105-D105)*(1+G105)*((3-1)/(MaxLevel-1))^(2^F105)))</f>
        <v>24</v>
      </c>
      <c r="K105" s="12">
        <f>IF(OR(D105="",E105=""),"",IF(IFERROR(INDEX(Stats!$D:$D,MATCH($C105,Stats!$A:$A,0)),FALSE),ROUND(D105+(E105-D105)*(1+G105)*((4-1)/(MaxLevel-1))^(2^F105),0),D105+(E105-D105)*(1+G105)*((4-1)/(MaxLevel-1))^(2^F105)))</f>
        <v>30</v>
      </c>
      <c r="L105" s="12">
        <f>IF(OR(D105="",E105=""),"",IF(IFERROR(INDEX(Stats!$D:$D,MATCH($C105,Stats!$A:$A,0)),FALSE),ROUND(D105+(E105-D105)*(1+G105)*((5-1)/(MaxLevel-1))^(2^F105),0),D105+(E105-D105)*(1+G105)*((5-1)/(MaxLevel-1))^(2^F105)))</f>
        <v>37</v>
      </c>
      <c r="M105" s="12">
        <f>IF(OR(D105="",E105=""),"",IF(IFERROR(INDEX(Stats!$D:$D,MATCH($C105,Stats!$A:$A,0)),FALSE),ROUND(D105+(E105-D105)*(1+G105)*((6-1)/(MaxLevel-1))^(2^F105),0),D105+(E105-D105)*(1+G105)*((6-1)/(MaxLevel-1))^(2^F105)))</f>
        <v>47</v>
      </c>
      <c r="N105" s="12">
        <f>IF(OR(D105="",E105=""),"",IF(IFERROR(INDEX(Stats!$D:$D,MATCH($C105,Stats!$A:$A,0)),FALSE),ROUND(D105+(E105-D105)*(1+G105)*((7-1)/(MaxLevel-1))^(2^F105),0),D105+(E105-D105)*(1+G105)*((7-1)/(MaxLevel-1))^(2^F105)))</f>
        <v>59</v>
      </c>
      <c r="O105" s="12">
        <f>IF(OR(D105="",E105=""),"",IF(IFERROR(INDEX(Stats!$D:$D,MATCH($C105,Stats!$A:$A,0)),FALSE),ROUND(D105+(E105-D105)*(1+G105)*((8-1)/(MaxLevel-1))^(2^F105),0),D105+(E105-D105)*(1+G105)*((8-1)/(MaxLevel-1))^(2^F105)))</f>
        <v>73</v>
      </c>
      <c r="P105" s="12">
        <f>IF(OR(D105="",E105=""),"",IF(IFERROR(INDEX(Stats!$D:$D,MATCH($C105,Stats!$A:$A,0)),FALSE),ROUND(D105+(E105-D105)*(1+G105)*((9-1)/(MaxLevel-1))^(2^F105),0),D105+(E105-D105)*(1+G105)*((9-1)/(MaxLevel-1))^(2^F105)))</f>
        <v>90</v>
      </c>
      <c r="Q105" s="12">
        <f>IF(OR(D105="",E105=""),"",IF(IFERROR(INDEX(Stats!$D:$D,MATCH($C105,Stats!$A:$A,0)),FALSE),ROUND(D105+(E105-D105)*(1+G105)*((10-1)/(MaxLevel-1))^(2^F105),0),D105+(E105-D105)*(1+G105)*((10-1)/(MaxLevel-1))^(2^F105)))</f>
        <v>108</v>
      </c>
    </row>
    <row r="106" spans="1:17" x14ac:dyDescent="0.25">
      <c r="A106" s="4" t="s">
        <v>185</v>
      </c>
      <c r="B106" s="4" t="s">
        <v>190</v>
      </c>
      <c r="C106" s="4" t="s">
        <v>42</v>
      </c>
      <c r="D106" s="5"/>
      <c r="E106" s="5"/>
      <c r="F106" s="5"/>
      <c r="G106" s="5"/>
      <c r="H106" s="12" t="str">
        <f>IF(OR(D106="",E106=""),"",IF(IFERROR(INDEX(Stats!$D:$D,MATCH($C106,Stats!$A:$A,0)),FALSE),ROUND(D106+(E106-D106)*(1+G106)*((1-1)/(MaxLevel-1))^(2^F106),0),D106+(E106-D106)*(1+G106)*((1-1)/(MaxLevel-1))^(2^F106)))</f>
        <v/>
      </c>
      <c r="I106" s="12" t="str">
        <f>IF(OR(D106="",E106=""),"",IF(IFERROR(INDEX(Stats!$D:$D,MATCH($C106,Stats!$A:$A,0)),FALSE),ROUND(D106+(E106-D106)*(1+G106)*((2-1)/(MaxLevel-1))^(2^F106),0),D106+(E106-D106)*(1+G106)*((2-1)/(MaxLevel-1))^(2^F106)))</f>
        <v/>
      </c>
      <c r="J106" s="12" t="str">
        <f>IF(OR(D106="",E106=""),"",IF(IFERROR(INDEX(Stats!$D:$D,MATCH($C106,Stats!$A:$A,0)),FALSE),ROUND(D106+(E106-D106)*(1+G106)*((3-1)/(MaxLevel-1))^(2^F106),0),D106+(E106-D106)*(1+G106)*((3-1)/(MaxLevel-1))^(2^F106)))</f>
        <v/>
      </c>
      <c r="K106" s="12" t="str">
        <f>IF(OR(D106="",E106=""),"",IF(IFERROR(INDEX(Stats!$D:$D,MATCH($C106,Stats!$A:$A,0)),FALSE),ROUND(D106+(E106-D106)*(1+G106)*((4-1)/(MaxLevel-1))^(2^F106),0),D106+(E106-D106)*(1+G106)*((4-1)/(MaxLevel-1))^(2^F106)))</f>
        <v/>
      </c>
      <c r="L106" s="12" t="str">
        <f>IF(OR(D106="",E106=""),"",IF(IFERROR(INDEX(Stats!$D:$D,MATCH($C106,Stats!$A:$A,0)),FALSE),ROUND(D106+(E106-D106)*(1+G106)*((5-1)/(MaxLevel-1))^(2^F106),0),D106+(E106-D106)*(1+G106)*((5-1)/(MaxLevel-1))^(2^F106)))</f>
        <v/>
      </c>
      <c r="M106" s="12" t="str">
        <f>IF(OR(D106="",E106=""),"",IF(IFERROR(INDEX(Stats!$D:$D,MATCH($C106,Stats!$A:$A,0)),FALSE),ROUND(D106+(E106-D106)*(1+G106)*((6-1)/(MaxLevel-1))^(2^F106),0),D106+(E106-D106)*(1+G106)*((6-1)/(MaxLevel-1))^(2^F106)))</f>
        <v/>
      </c>
      <c r="N106" s="12" t="str">
        <f>IF(OR(D106="",E106=""),"",IF(IFERROR(INDEX(Stats!$D:$D,MATCH($C106,Stats!$A:$A,0)),FALSE),ROUND(D106+(E106-D106)*(1+G106)*((7-1)/(MaxLevel-1))^(2^F106),0),D106+(E106-D106)*(1+G106)*((7-1)/(MaxLevel-1))^(2^F106)))</f>
        <v/>
      </c>
      <c r="O106" s="12" t="str">
        <f>IF(OR(D106="",E106=""),"",IF(IFERROR(INDEX(Stats!$D:$D,MATCH($C106,Stats!$A:$A,0)),FALSE),ROUND(D106+(E106-D106)*(1+G106)*((8-1)/(MaxLevel-1))^(2^F106),0),D106+(E106-D106)*(1+G106)*((8-1)/(MaxLevel-1))^(2^F106)))</f>
        <v/>
      </c>
      <c r="P106" s="12" t="str">
        <f>IF(OR(D106="",E106=""),"",IF(IFERROR(INDEX(Stats!$D:$D,MATCH($C106,Stats!$A:$A,0)),FALSE),ROUND(D106+(E106-D106)*(1+G106)*((9-1)/(MaxLevel-1))^(2^F106),0),D106+(E106-D106)*(1+G106)*((9-1)/(MaxLevel-1))^(2^F106)))</f>
        <v/>
      </c>
      <c r="Q106" s="12" t="str">
        <f>IF(OR(D106="",E106=""),"",IF(IFERROR(INDEX(Stats!$D:$D,MATCH($C106,Stats!$A:$A,0)),FALSE),ROUND(D106+(E106-D106)*(1+G106)*((10-1)/(MaxLevel-1))^(2^F106),0),D106+(E106-D106)*(1+G106)*((10-1)/(MaxLevel-1))^(2^F106)))</f>
        <v/>
      </c>
    </row>
    <row r="107" spans="1:17" x14ac:dyDescent="0.25">
      <c r="A107" s="4" t="s">
        <v>185</v>
      </c>
      <c r="B107" s="4" t="s">
        <v>190</v>
      </c>
      <c r="C107" s="4" t="s">
        <v>44</v>
      </c>
      <c r="D107" s="5"/>
      <c r="E107" s="5"/>
      <c r="F107" s="5"/>
      <c r="G107" s="5"/>
      <c r="H107" s="12" t="str">
        <f>IF(OR(D107="",E107=""),"",IF(IFERROR(INDEX(Stats!$D:$D,MATCH($C107,Stats!$A:$A,0)),FALSE),ROUND(D107+(E107-D107)*(1+G107)*((1-1)/(MaxLevel-1))^(2^F107),0),D107+(E107-D107)*(1+G107)*((1-1)/(MaxLevel-1))^(2^F107)))</f>
        <v/>
      </c>
      <c r="I107" s="12" t="str">
        <f>IF(OR(D107="",E107=""),"",IF(IFERROR(INDEX(Stats!$D:$D,MATCH($C107,Stats!$A:$A,0)),FALSE),ROUND(D107+(E107-D107)*(1+G107)*((2-1)/(MaxLevel-1))^(2^F107),0),D107+(E107-D107)*(1+G107)*((2-1)/(MaxLevel-1))^(2^F107)))</f>
        <v/>
      </c>
      <c r="J107" s="12" t="str">
        <f>IF(OR(D107="",E107=""),"",IF(IFERROR(INDEX(Stats!$D:$D,MATCH($C107,Stats!$A:$A,0)),FALSE),ROUND(D107+(E107-D107)*(1+G107)*((3-1)/(MaxLevel-1))^(2^F107),0),D107+(E107-D107)*(1+G107)*((3-1)/(MaxLevel-1))^(2^F107)))</f>
        <v/>
      </c>
      <c r="K107" s="12" t="str">
        <f>IF(OR(D107="",E107=""),"",IF(IFERROR(INDEX(Stats!$D:$D,MATCH($C107,Stats!$A:$A,0)),FALSE),ROUND(D107+(E107-D107)*(1+G107)*((4-1)/(MaxLevel-1))^(2^F107),0),D107+(E107-D107)*(1+G107)*((4-1)/(MaxLevel-1))^(2^F107)))</f>
        <v/>
      </c>
      <c r="L107" s="12" t="str">
        <f>IF(OR(D107="",E107=""),"",IF(IFERROR(INDEX(Stats!$D:$D,MATCH($C107,Stats!$A:$A,0)),FALSE),ROUND(D107+(E107-D107)*(1+G107)*((5-1)/(MaxLevel-1))^(2^F107),0),D107+(E107-D107)*(1+G107)*((5-1)/(MaxLevel-1))^(2^F107)))</f>
        <v/>
      </c>
      <c r="M107" s="12" t="str">
        <f>IF(OR(D107="",E107=""),"",IF(IFERROR(INDEX(Stats!$D:$D,MATCH($C107,Stats!$A:$A,0)),FALSE),ROUND(D107+(E107-D107)*(1+G107)*((6-1)/(MaxLevel-1))^(2^F107),0),D107+(E107-D107)*(1+G107)*((6-1)/(MaxLevel-1))^(2^F107)))</f>
        <v/>
      </c>
      <c r="N107" s="12" t="str">
        <f>IF(OR(D107="",E107=""),"",IF(IFERROR(INDEX(Stats!$D:$D,MATCH($C107,Stats!$A:$A,0)),FALSE),ROUND(D107+(E107-D107)*(1+G107)*((7-1)/(MaxLevel-1))^(2^F107),0),D107+(E107-D107)*(1+G107)*((7-1)/(MaxLevel-1))^(2^F107)))</f>
        <v/>
      </c>
      <c r="O107" s="12" t="str">
        <f>IF(OR(D107="",E107=""),"",IF(IFERROR(INDEX(Stats!$D:$D,MATCH($C107,Stats!$A:$A,0)),FALSE),ROUND(D107+(E107-D107)*(1+G107)*((8-1)/(MaxLevel-1))^(2^F107),0),D107+(E107-D107)*(1+G107)*((8-1)/(MaxLevel-1))^(2^F107)))</f>
        <v/>
      </c>
      <c r="P107" s="12" t="str">
        <f>IF(OR(D107="",E107=""),"",IF(IFERROR(INDEX(Stats!$D:$D,MATCH($C107,Stats!$A:$A,0)),FALSE),ROUND(D107+(E107-D107)*(1+G107)*((9-1)/(MaxLevel-1))^(2^F107),0),D107+(E107-D107)*(1+G107)*((9-1)/(MaxLevel-1))^(2^F107)))</f>
        <v/>
      </c>
      <c r="Q107" s="12" t="str">
        <f>IF(OR(D107="",E107=""),"",IF(IFERROR(INDEX(Stats!$D:$D,MATCH($C107,Stats!$A:$A,0)),FALSE),ROUND(D107+(E107-D107)*(1+G107)*((10-1)/(MaxLevel-1))^(2^F107),0),D107+(E107-D107)*(1+G107)*((10-1)/(MaxLevel-1))^(2^F107)))</f>
        <v/>
      </c>
    </row>
    <row r="108" spans="1:17" x14ac:dyDescent="0.25">
      <c r="A108" s="4" t="s">
        <v>185</v>
      </c>
      <c r="B108" s="4" t="s">
        <v>190</v>
      </c>
      <c r="C108" s="4" t="s">
        <v>46</v>
      </c>
      <c r="D108" s="5"/>
      <c r="E108" s="5"/>
      <c r="F108" s="5"/>
      <c r="G108" s="5"/>
      <c r="H108" s="12" t="str">
        <f>IF(OR(D108="",E108=""),"",IF(IFERROR(INDEX(Stats!$D:$D,MATCH($C108,Stats!$A:$A,0)),FALSE),ROUND(D108+(E108-D108)*(1+G108)*((1-1)/(MaxLevel-1))^(2^F108),0),D108+(E108-D108)*(1+G108)*((1-1)/(MaxLevel-1))^(2^F108)))</f>
        <v/>
      </c>
      <c r="I108" s="12" t="str">
        <f>IF(OR(D108="",E108=""),"",IF(IFERROR(INDEX(Stats!$D:$D,MATCH($C108,Stats!$A:$A,0)),FALSE),ROUND(D108+(E108-D108)*(1+G108)*((2-1)/(MaxLevel-1))^(2^F108),0),D108+(E108-D108)*(1+G108)*((2-1)/(MaxLevel-1))^(2^F108)))</f>
        <v/>
      </c>
      <c r="J108" s="12" t="str">
        <f>IF(OR(D108="",E108=""),"",IF(IFERROR(INDEX(Stats!$D:$D,MATCH($C108,Stats!$A:$A,0)),FALSE),ROUND(D108+(E108-D108)*(1+G108)*((3-1)/(MaxLevel-1))^(2^F108),0),D108+(E108-D108)*(1+G108)*((3-1)/(MaxLevel-1))^(2^F108)))</f>
        <v/>
      </c>
      <c r="K108" s="12" t="str">
        <f>IF(OR(D108="",E108=""),"",IF(IFERROR(INDEX(Stats!$D:$D,MATCH($C108,Stats!$A:$A,0)),FALSE),ROUND(D108+(E108-D108)*(1+G108)*((4-1)/(MaxLevel-1))^(2^F108),0),D108+(E108-D108)*(1+G108)*((4-1)/(MaxLevel-1))^(2^F108)))</f>
        <v/>
      </c>
      <c r="L108" s="12" t="str">
        <f>IF(OR(D108="",E108=""),"",IF(IFERROR(INDEX(Stats!$D:$D,MATCH($C108,Stats!$A:$A,0)),FALSE),ROUND(D108+(E108-D108)*(1+G108)*((5-1)/(MaxLevel-1))^(2^F108),0),D108+(E108-D108)*(1+G108)*((5-1)/(MaxLevel-1))^(2^F108)))</f>
        <v/>
      </c>
      <c r="M108" s="12" t="str">
        <f>IF(OR(D108="",E108=""),"",IF(IFERROR(INDEX(Stats!$D:$D,MATCH($C108,Stats!$A:$A,0)),FALSE),ROUND(D108+(E108-D108)*(1+G108)*((6-1)/(MaxLevel-1))^(2^F108),0),D108+(E108-D108)*(1+G108)*((6-1)/(MaxLevel-1))^(2^F108)))</f>
        <v/>
      </c>
      <c r="N108" s="12" t="str">
        <f>IF(OR(D108="",E108=""),"",IF(IFERROR(INDEX(Stats!$D:$D,MATCH($C108,Stats!$A:$A,0)),FALSE),ROUND(D108+(E108-D108)*(1+G108)*((7-1)/(MaxLevel-1))^(2^F108),0),D108+(E108-D108)*(1+G108)*((7-1)/(MaxLevel-1))^(2^F108)))</f>
        <v/>
      </c>
      <c r="O108" s="12" t="str">
        <f>IF(OR(D108="",E108=""),"",IF(IFERROR(INDEX(Stats!$D:$D,MATCH($C108,Stats!$A:$A,0)),FALSE),ROUND(D108+(E108-D108)*(1+G108)*((8-1)/(MaxLevel-1))^(2^F108),0),D108+(E108-D108)*(1+G108)*((8-1)/(MaxLevel-1))^(2^F108)))</f>
        <v/>
      </c>
      <c r="P108" s="12" t="str">
        <f>IF(OR(D108="",E108=""),"",IF(IFERROR(INDEX(Stats!$D:$D,MATCH($C108,Stats!$A:$A,0)),FALSE),ROUND(D108+(E108-D108)*(1+G108)*((9-1)/(MaxLevel-1))^(2^F108),0),D108+(E108-D108)*(1+G108)*((9-1)/(MaxLevel-1))^(2^F108)))</f>
        <v/>
      </c>
      <c r="Q108" s="12" t="str">
        <f>IF(OR(D108="",E108=""),"",IF(IFERROR(INDEX(Stats!$D:$D,MATCH($C108,Stats!$A:$A,0)),FALSE),ROUND(D108+(E108-D108)*(1+G108)*((10-1)/(MaxLevel-1))^(2^F108),0),D108+(E108-D108)*(1+G108)*((10-1)/(MaxLevel-1))^(2^F108)))</f>
        <v/>
      </c>
    </row>
    <row r="109" spans="1:17" x14ac:dyDescent="0.25">
      <c r="A109" s="4" t="s">
        <v>185</v>
      </c>
      <c r="B109" s="4" t="s">
        <v>190</v>
      </c>
      <c r="C109" s="4" t="s">
        <v>48</v>
      </c>
      <c r="D109" s="5"/>
      <c r="E109" s="5"/>
      <c r="F109" s="5"/>
      <c r="G109" s="5"/>
      <c r="H109" s="12" t="str">
        <f>IF(OR(D109="",E109=""),"",IF(IFERROR(INDEX(Stats!$D:$D,MATCH($C109,Stats!$A:$A,0)),FALSE),ROUND(D109+(E109-D109)*(1+G109)*((1-1)/(MaxLevel-1))^(2^F109),0),D109+(E109-D109)*(1+G109)*((1-1)/(MaxLevel-1))^(2^F109)))</f>
        <v/>
      </c>
      <c r="I109" s="12" t="str">
        <f>IF(OR(D109="",E109=""),"",IF(IFERROR(INDEX(Stats!$D:$D,MATCH($C109,Stats!$A:$A,0)),FALSE),ROUND(D109+(E109-D109)*(1+G109)*((2-1)/(MaxLevel-1))^(2^F109),0),D109+(E109-D109)*(1+G109)*((2-1)/(MaxLevel-1))^(2^F109)))</f>
        <v/>
      </c>
      <c r="J109" s="12" t="str">
        <f>IF(OR(D109="",E109=""),"",IF(IFERROR(INDEX(Stats!$D:$D,MATCH($C109,Stats!$A:$A,0)),FALSE),ROUND(D109+(E109-D109)*(1+G109)*((3-1)/(MaxLevel-1))^(2^F109),0),D109+(E109-D109)*(1+G109)*((3-1)/(MaxLevel-1))^(2^F109)))</f>
        <v/>
      </c>
      <c r="K109" s="12" t="str">
        <f>IF(OR(D109="",E109=""),"",IF(IFERROR(INDEX(Stats!$D:$D,MATCH($C109,Stats!$A:$A,0)),FALSE),ROUND(D109+(E109-D109)*(1+G109)*((4-1)/(MaxLevel-1))^(2^F109),0),D109+(E109-D109)*(1+G109)*((4-1)/(MaxLevel-1))^(2^F109)))</f>
        <v/>
      </c>
      <c r="L109" s="12" t="str">
        <f>IF(OR(D109="",E109=""),"",IF(IFERROR(INDEX(Stats!$D:$D,MATCH($C109,Stats!$A:$A,0)),FALSE),ROUND(D109+(E109-D109)*(1+G109)*((5-1)/(MaxLevel-1))^(2^F109),0),D109+(E109-D109)*(1+G109)*((5-1)/(MaxLevel-1))^(2^F109)))</f>
        <v/>
      </c>
      <c r="M109" s="12" t="str">
        <f>IF(OR(D109="",E109=""),"",IF(IFERROR(INDEX(Stats!$D:$D,MATCH($C109,Stats!$A:$A,0)),FALSE),ROUND(D109+(E109-D109)*(1+G109)*((6-1)/(MaxLevel-1))^(2^F109),0),D109+(E109-D109)*(1+G109)*((6-1)/(MaxLevel-1))^(2^F109)))</f>
        <v/>
      </c>
      <c r="N109" s="12" t="str">
        <f>IF(OR(D109="",E109=""),"",IF(IFERROR(INDEX(Stats!$D:$D,MATCH($C109,Stats!$A:$A,0)),FALSE),ROUND(D109+(E109-D109)*(1+G109)*((7-1)/(MaxLevel-1))^(2^F109),0),D109+(E109-D109)*(1+G109)*((7-1)/(MaxLevel-1))^(2^F109)))</f>
        <v/>
      </c>
      <c r="O109" s="12" t="str">
        <f>IF(OR(D109="",E109=""),"",IF(IFERROR(INDEX(Stats!$D:$D,MATCH($C109,Stats!$A:$A,0)),FALSE),ROUND(D109+(E109-D109)*(1+G109)*((8-1)/(MaxLevel-1))^(2^F109),0),D109+(E109-D109)*(1+G109)*((8-1)/(MaxLevel-1))^(2^F109)))</f>
        <v/>
      </c>
      <c r="P109" s="12" t="str">
        <f>IF(OR(D109="",E109=""),"",IF(IFERROR(INDEX(Stats!$D:$D,MATCH($C109,Stats!$A:$A,0)),FALSE),ROUND(D109+(E109-D109)*(1+G109)*((9-1)/(MaxLevel-1))^(2^F109),0),D109+(E109-D109)*(1+G109)*((9-1)/(MaxLevel-1))^(2^F109)))</f>
        <v/>
      </c>
      <c r="Q109" s="12" t="str">
        <f>IF(OR(D109="",E109=""),"",IF(IFERROR(INDEX(Stats!$D:$D,MATCH($C109,Stats!$A:$A,0)),FALSE),ROUND(D109+(E109-D109)*(1+G109)*((10-1)/(MaxLevel-1))^(2^F109),0),D109+(E109-D109)*(1+G109)*((10-1)/(MaxLevel-1))^(2^F109)))</f>
        <v/>
      </c>
    </row>
    <row r="110" spans="1:17" x14ac:dyDescent="0.25">
      <c r="A110" s="4" t="s">
        <v>185</v>
      </c>
      <c r="B110" s="4" t="s">
        <v>190</v>
      </c>
      <c r="C110" s="4" t="s">
        <v>50</v>
      </c>
      <c r="D110" s="5"/>
      <c r="E110" s="5"/>
      <c r="F110" s="5"/>
      <c r="G110" s="5"/>
      <c r="H110" s="12" t="str">
        <f>IF(OR(D110="",E110=""),"",IF(IFERROR(INDEX(Stats!$D:$D,MATCH($C110,Stats!$A:$A,0)),FALSE),ROUND(D110+(E110-D110)*(1+G110)*((1-1)/(MaxLevel-1))^(2^F110),0),D110+(E110-D110)*(1+G110)*((1-1)/(MaxLevel-1))^(2^F110)))</f>
        <v/>
      </c>
      <c r="I110" s="12" t="str">
        <f>IF(OR(D110="",E110=""),"",IF(IFERROR(INDEX(Stats!$D:$D,MATCH($C110,Stats!$A:$A,0)),FALSE),ROUND(D110+(E110-D110)*(1+G110)*((2-1)/(MaxLevel-1))^(2^F110),0),D110+(E110-D110)*(1+G110)*((2-1)/(MaxLevel-1))^(2^F110)))</f>
        <v/>
      </c>
      <c r="J110" s="12" t="str">
        <f>IF(OR(D110="",E110=""),"",IF(IFERROR(INDEX(Stats!$D:$D,MATCH($C110,Stats!$A:$A,0)),FALSE),ROUND(D110+(E110-D110)*(1+G110)*((3-1)/(MaxLevel-1))^(2^F110),0),D110+(E110-D110)*(1+G110)*((3-1)/(MaxLevel-1))^(2^F110)))</f>
        <v/>
      </c>
      <c r="K110" s="12" t="str">
        <f>IF(OR(D110="",E110=""),"",IF(IFERROR(INDEX(Stats!$D:$D,MATCH($C110,Stats!$A:$A,0)),FALSE),ROUND(D110+(E110-D110)*(1+G110)*((4-1)/(MaxLevel-1))^(2^F110),0),D110+(E110-D110)*(1+G110)*((4-1)/(MaxLevel-1))^(2^F110)))</f>
        <v/>
      </c>
      <c r="L110" s="12" t="str">
        <f>IF(OR(D110="",E110=""),"",IF(IFERROR(INDEX(Stats!$D:$D,MATCH($C110,Stats!$A:$A,0)),FALSE),ROUND(D110+(E110-D110)*(1+G110)*((5-1)/(MaxLevel-1))^(2^F110),0),D110+(E110-D110)*(1+G110)*((5-1)/(MaxLevel-1))^(2^F110)))</f>
        <v/>
      </c>
      <c r="M110" s="12" t="str">
        <f>IF(OR(D110="",E110=""),"",IF(IFERROR(INDEX(Stats!$D:$D,MATCH($C110,Stats!$A:$A,0)),FALSE),ROUND(D110+(E110-D110)*(1+G110)*((6-1)/(MaxLevel-1))^(2^F110),0),D110+(E110-D110)*(1+G110)*((6-1)/(MaxLevel-1))^(2^F110)))</f>
        <v/>
      </c>
      <c r="N110" s="12" t="str">
        <f>IF(OR(D110="",E110=""),"",IF(IFERROR(INDEX(Stats!$D:$D,MATCH($C110,Stats!$A:$A,0)),FALSE),ROUND(D110+(E110-D110)*(1+G110)*((7-1)/(MaxLevel-1))^(2^F110),0),D110+(E110-D110)*(1+G110)*((7-1)/(MaxLevel-1))^(2^F110)))</f>
        <v/>
      </c>
      <c r="O110" s="12" t="str">
        <f>IF(OR(D110="",E110=""),"",IF(IFERROR(INDEX(Stats!$D:$D,MATCH($C110,Stats!$A:$A,0)),FALSE),ROUND(D110+(E110-D110)*(1+G110)*((8-1)/(MaxLevel-1))^(2^F110),0),D110+(E110-D110)*(1+G110)*((8-1)/(MaxLevel-1))^(2^F110)))</f>
        <v/>
      </c>
      <c r="P110" s="12" t="str">
        <f>IF(OR(D110="",E110=""),"",IF(IFERROR(INDEX(Stats!$D:$D,MATCH($C110,Stats!$A:$A,0)),FALSE),ROUND(D110+(E110-D110)*(1+G110)*((9-1)/(MaxLevel-1))^(2^F110),0),D110+(E110-D110)*(1+G110)*((9-1)/(MaxLevel-1))^(2^F110)))</f>
        <v/>
      </c>
      <c r="Q110" s="12" t="str">
        <f>IF(OR(D110="",E110=""),"",IF(IFERROR(INDEX(Stats!$D:$D,MATCH($C110,Stats!$A:$A,0)),FALSE),ROUND(D110+(E110-D110)*(1+G110)*((10-1)/(MaxLevel-1))^(2^F110),0),D110+(E110-D110)*(1+G110)*((10-1)/(MaxLevel-1))^(2^F110)))</f>
        <v/>
      </c>
    </row>
    <row r="111" spans="1:17" x14ac:dyDescent="0.25">
      <c r="A111" s="4" t="s">
        <v>185</v>
      </c>
      <c r="B111" s="4" t="s">
        <v>190</v>
      </c>
      <c r="C111" s="4" t="s">
        <v>52</v>
      </c>
      <c r="D111" s="5"/>
      <c r="E111" s="5"/>
      <c r="F111" s="5"/>
      <c r="G111" s="5"/>
      <c r="H111" s="12" t="str">
        <f>IF(OR(D111="",E111=""),"",IF(IFERROR(INDEX(Stats!$D:$D,MATCH($C111,Stats!$A:$A,0)),FALSE),ROUND(D111+(E111-D111)*(1+G111)*((1-1)/(MaxLevel-1))^(2^F111),0),D111+(E111-D111)*(1+G111)*((1-1)/(MaxLevel-1))^(2^F111)))</f>
        <v/>
      </c>
      <c r="I111" s="12" t="str">
        <f>IF(OR(D111="",E111=""),"",IF(IFERROR(INDEX(Stats!$D:$D,MATCH($C111,Stats!$A:$A,0)),FALSE),ROUND(D111+(E111-D111)*(1+G111)*((2-1)/(MaxLevel-1))^(2^F111),0),D111+(E111-D111)*(1+G111)*((2-1)/(MaxLevel-1))^(2^F111)))</f>
        <v/>
      </c>
      <c r="J111" s="12" t="str">
        <f>IF(OR(D111="",E111=""),"",IF(IFERROR(INDEX(Stats!$D:$D,MATCH($C111,Stats!$A:$A,0)),FALSE),ROUND(D111+(E111-D111)*(1+G111)*((3-1)/(MaxLevel-1))^(2^F111),0),D111+(E111-D111)*(1+G111)*((3-1)/(MaxLevel-1))^(2^F111)))</f>
        <v/>
      </c>
      <c r="K111" s="12" t="str">
        <f>IF(OR(D111="",E111=""),"",IF(IFERROR(INDEX(Stats!$D:$D,MATCH($C111,Stats!$A:$A,0)),FALSE),ROUND(D111+(E111-D111)*(1+G111)*((4-1)/(MaxLevel-1))^(2^F111),0),D111+(E111-D111)*(1+G111)*((4-1)/(MaxLevel-1))^(2^F111)))</f>
        <v/>
      </c>
      <c r="L111" s="12" t="str">
        <f>IF(OR(D111="",E111=""),"",IF(IFERROR(INDEX(Stats!$D:$D,MATCH($C111,Stats!$A:$A,0)),FALSE),ROUND(D111+(E111-D111)*(1+G111)*((5-1)/(MaxLevel-1))^(2^F111),0),D111+(E111-D111)*(1+G111)*((5-1)/(MaxLevel-1))^(2^F111)))</f>
        <v/>
      </c>
      <c r="M111" s="12" t="str">
        <f>IF(OR(D111="",E111=""),"",IF(IFERROR(INDEX(Stats!$D:$D,MATCH($C111,Stats!$A:$A,0)),FALSE),ROUND(D111+(E111-D111)*(1+G111)*((6-1)/(MaxLevel-1))^(2^F111),0),D111+(E111-D111)*(1+G111)*((6-1)/(MaxLevel-1))^(2^F111)))</f>
        <v/>
      </c>
      <c r="N111" s="12" t="str">
        <f>IF(OR(D111="",E111=""),"",IF(IFERROR(INDEX(Stats!$D:$D,MATCH($C111,Stats!$A:$A,0)),FALSE),ROUND(D111+(E111-D111)*(1+G111)*((7-1)/(MaxLevel-1))^(2^F111),0),D111+(E111-D111)*(1+G111)*((7-1)/(MaxLevel-1))^(2^F111)))</f>
        <v/>
      </c>
      <c r="O111" s="12" t="str">
        <f>IF(OR(D111="",E111=""),"",IF(IFERROR(INDEX(Stats!$D:$D,MATCH($C111,Stats!$A:$A,0)),FALSE),ROUND(D111+(E111-D111)*(1+G111)*((8-1)/(MaxLevel-1))^(2^F111),0),D111+(E111-D111)*(1+G111)*((8-1)/(MaxLevel-1))^(2^F111)))</f>
        <v/>
      </c>
      <c r="P111" s="12" t="str">
        <f>IF(OR(D111="",E111=""),"",IF(IFERROR(INDEX(Stats!$D:$D,MATCH($C111,Stats!$A:$A,0)),FALSE),ROUND(D111+(E111-D111)*(1+G111)*((9-1)/(MaxLevel-1))^(2^F111),0),D111+(E111-D111)*(1+G111)*((9-1)/(MaxLevel-1))^(2^F111)))</f>
        <v/>
      </c>
      <c r="Q111" s="12" t="str">
        <f>IF(OR(D111="",E111=""),"",IF(IFERROR(INDEX(Stats!$D:$D,MATCH($C111,Stats!$A:$A,0)),FALSE),ROUND(D111+(E111-D111)*(1+G111)*((10-1)/(MaxLevel-1))^(2^F111),0),D111+(E111-D111)*(1+G111)*((10-1)/(MaxLevel-1))^(2^F111)))</f>
        <v/>
      </c>
    </row>
    <row r="112" spans="1:17" x14ac:dyDescent="0.25">
      <c r="A112" s="4" t="s">
        <v>185</v>
      </c>
      <c r="B112" s="4" t="s">
        <v>190</v>
      </c>
      <c r="C112" s="4" t="s">
        <v>54</v>
      </c>
      <c r="D112" s="5"/>
      <c r="E112" s="5"/>
      <c r="F112" s="5"/>
      <c r="G112" s="5"/>
      <c r="H112" s="12" t="str">
        <f>IF(OR(D112="",E112=""),"",IF(IFERROR(INDEX(Stats!$D:$D,MATCH($C112,Stats!$A:$A,0)),FALSE),ROUND(D112+(E112-D112)*(1+G112)*((1-1)/(MaxLevel-1))^(2^F112),0),D112+(E112-D112)*(1+G112)*((1-1)/(MaxLevel-1))^(2^F112)))</f>
        <v/>
      </c>
      <c r="I112" s="12" t="str">
        <f>IF(OR(D112="",E112=""),"",IF(IFERROR(INDEX(Stats!$D:$D,MATCH($C112,Stats!$A:$A,0)),FALSE),ROUND(D112+(E112-D112)*(1+G112)*((2-1)/(MaxLevel-1))^(2^F112),0),D112+(E112-D112)*(1+G112)*((2-1)/(MaxLevel-1))^(2^F112)))</f>
        <v/>
      </c>
      <c r="J112" s="12" t="str">
        <f>IF(OR(D112="",E112=""),"",IF(IFERROR(INDEX(Stats!$D:$D,MATCH($C112,Stats!$A:$A,0)),FALSE),ROUND(D112+(E112-D112)*(1+G112)*((3-1)/(MaxLevel-1))^(2^F112),0),D112+(E112-D112)*(1+G112)*((3-1)/(MaxLevel-1))^(2^F112)))</f>
        <v/>
      </c>
      <c r="K112" s="12" t="str">
        <f>IF(OR(D112="",E112=""),"",IF(IFERROR(INDEX(Stats!$D:$D,MATCH($C112,Stats!$A:$A,0)),FALSE),ROUND(D112+(E112-D112)*(1+G112)*((4-1)/(MaxLevel-1))^(2^F112),0),D112+(E112-D112)*(1+G112)*((4-1)/(MaxLevel-1))^(2^F112)))</f>
        <v/>
      </c>
      <c r="L112" s="12" t="str">
        <f>IF(OR(D112="",E112=""),"",IF(IFERROR(INDEX(Stats!$D:$D,MATCH($C112,Stats!$A:$A,0)),FALSE),ROUND(D112+(E112-D112)*(1+G112)*((5-1)/(MaxLevel-1))^(2^F112),0),D112+(E112-D112)*(1+G112)*((5-1)/(MaxLevel-1))^(2^F112)))</f>
        <v/>
      </c>
      <c r="M112" s="12" t="str">
        <f>IF(OR(D112="",E112=""),"",IF(IFERROR(INDEX(Stats!$D:$D,MATCH($C112,Stats!$A:$A,0)),FALSE),ROUND(D112+(E112-D112)*(1+G112)*((6-1)/(MaxLevel-1))^(2^F112),0),D112+(E112-D112)*(1+G112)*((6-1)/(MaxLevel-1))^(2^F112)))</f>
        <v/>
      </c>
      <c r="N112" s="12" t="str">
        <f>IF(OR(D112="",E112=""),"",IF(IFERROR(INDEX(Stats!$D:$D,MATCH($C112,Stats!$A:$A,0)),FALSE),ROUND(D112+(E112-D112)*(1+G112)*((7-1)/(MaxLevel-1))^(2^F112),0),D112+(E112-D112)*(1+G112)*((7-1)/(MaxLevel-1))^(2^F112)))</f>
        <v/>
      </c>
      <c r="O112" s="12" t="str">
        <f>IF(OR(D112="",E112=""),"",IF(IFERROR(INDEX(Stats!$D:$D,MATCH($C112,Stats!$A:$A,0)),FALSE),ROUND(D112+(E112-D112)*(1+G112)*((8-1)/(MaxLevel-1))^(2^F112),0),D112+(E112-D112)*(1+G112)*((8-1)/(MaxLevel-1))^(2^F112)))</f>
        <v/>
      </c>
      <c r="P112" s="12" t="str">
        <f>IF(OR(D112="",E112=""),"",IF(IFERROR(INDEX(Stats!$D:$D,MATCH($C112,Stats!$A:$A,0)),FALSE),ROUND(D112+(E112-D112)*(1+G112)*((9-1)/(MaxLevel-1))^(2^F112),0),D112+(E112-D112)*(1+G112)*((9-1)/(MaxLevel-1))^(2^F112)))</f>
        <v/>
      </c>
      <c r="Q112" s="12" t="str">
        <f>IF(OR(D112="",E112=""),"",IF(IFERROR(INDEX(Stats!$D:$D,MATCH($C112,Stats!$A:$A,0)),FALSE),ROUND(D112+(E112-D112)*(1+G112)*((10-1)/(MaxLevel-1))^(2^F112),0),D112+(E112-D112)*(1+G112)*((10-1)/(MaxLevel-1))^(2^F112)))</f>
        <v/>
      </c>
    </row>
    <row r="113" spans="1:17" x14ac:dyDescent="0.25">
      <c r="A113" s="4" t="s">
        <v>185</v>
      </c>
      <c r="B113" s="4" t="s">
        <v>190</v>
      </c>
      <c r="C113" s="4" t="s">
        <v>56</v>
      </c>
      <c r="D113" s="5"/>
      <c r="E113" s="5"/>
      <c r="F113" s="5"/>
      <c r="G113" s="5"/>
      <c r="H113" s="12" t="str">
        <f>IF(OR(D113="",E113=""),"",IF(IFERROR(INDEX(Stats!$D:$D,MATCH($C113,Stats!$A:$A,0)),FALSE),ROUND(D113+(E113-D113)*(1+G113)*((1-1)/(MaxLevel-1))^(2^F113),0),D113+(E113-D113)*(1+G113)*((1-1)/(MaxLevel-1))^(2^F113)))</f>
        <v/>
      </c>
      <c r="I113" s="12" t="str">
        <f>IF(OR(D113="",E113=""),"",IF(IFERROR(INDEX(Stats!$D:$D,MATCH($C113,Stats!$A:$A,0)),FALSE),ROUND(D113+(E113-D113)*(1+G113)*((2-1)/(MaxLevel-1))^(2^F113),0),D113+(E113-D113)*(1+G113)*((2-1)/(MaxLevel-1))^(2^F113)))</f>
        <v/>
      </c>
      <c r="J113" s="12" t="str">
        <f>IF(OR(D113="",E113=""),"",IF(IFERROR(INDEX(Stats!$D:$D,MATCH($C113,Stats!$A:$A,0)),FALSE),ROUND(D113+(E113-D113)*(1+G113)*((3-1)/(MaxLevel-1))^(2^F113),0),D113+(E113-D113)*(1+G113)*((3-1)/(MaxLevel-1))^(2^F113)))</f>
        <v/>
      </c>
      <c r="K113" s="12" t="str">
        <f>IF(OR(D113="",E113=""),"",IF(IFERROR(INDEX(Stats!$D:$D,MATCH($C113,Stats!$A:$A,0)),FALSE),ROUND(D113+(E113-D113)*(1+G113)*((4-1)/(MaxLevel-1))^(2^F113),0),D113+(E113-D113)*(1+G113)*((4-1)/(MaxLevel-1))^(2^F113)))</f>
        <v/>
      </c>
      <c r="L113" s="12" t="str">
        <f>IF(OR(D113="",E113=""),"",IF(IFERROR(INDEX(Stats!$D:$D,MATCH($C113,Stats!$A:$A,0)),FALSE),ROUND(D113+(E113-D113)*(1+G113)*((5-1)/(MaxLevel-1))^(2^F113),0),D113+(E113-D113)*(1+G113)*((5-1)/(MaxLevel-1))^(2^F113)))</f>
        <v/>
      </c>
      <c r="M113" s="12" t="str">
        <f>IF(OR(D113="",E113=""),"",IF(IFERROR(INDEX(Stats!$D:$D,MATCH($C113,Stats!$A:$A,0)),FALSE),ROUND(D113+(E113-D113)*(1+G113)*((6-1)/(MaxLevel-1))^(2^F113),0),D113+(E113-D113)*(1+G113)*((6-1)/(MaxLevel-1))^(2^F113)))</f>
        <v/>
      </c>
      <c r="N113" s="12" t="str">
        <f>IF(OR(D113="",E113=""),"",IF(IFERROR(INDEX(Stats!$D:$D,MATCH($C113,Stats!$A:$A,0)),FALSE),ROUND(D113+(E113-D113)*(1+G113)*((7-1)/(MaxLevel-1))^(2^F113),0),D113+(E113-D113)*(1+G113)*((7-1)/(MaxLevel-1))^(2^F113)))</f>
        <v/>
      </c>
      <c r="O113" s="12" t="str">
        <f>IF(OR(D113="",E113=""),"",IF(IFERROR(INDEX(Stats!$D:$D,MATCH($C113,Stats!$A:$A,0)),FALSE),ROUND(D113+(E113-D113)*(1+G113)*((8-1)/(MaxLevel-1))^(2^F113),0),D113+(E113-D113)*(1+G113)*((8-1)/(MaxLevel-1))^(2^F113)))</f>
        <v/>
      </c>
      <c r="P113" s="12" t="str">
        <f>IF(OR(D113="",E113=""),"",IF(IFERROR(INDEX(Stats!$D:$D,MATCH($C113,Stats!$A:$A,0)),FALSE),ROUND(D113+(E113-D113)*(1+G113)*((9-1)/(MaxLevel-1))^(2^F113),0),D113+(E113-D113)*(1+G113)*((9-1)/(MaxLevel-1))^(2^F113)))</f>
        <v/>
      </c>
      <c r="Q113" s="12" t="str">
        <f>IF(OR(D113="",E113=""),"",IF(IFERROR(INDEX(Stats!$D:$D,MATCH($C113,Stats!$A:$A,0)),FALSE),ROUND(D113+(E113-D113)*(1+G113)*((10-1)/(MaxLevel-1))^(2^F113),0),D113+(E113-D113)*(1+G113)*((10-1)/(MaxLevel-1))^(2^F113)))</f>
        <v/>
      </c>
    </row>
    <row r="114" spans="1:17" x14ac:dyDescent="0.25">
      <c r="A114" s="4" t="s">
        <v>185</v>
      </c>
      <c r="B114" s="4" t="s">
        <v>190</v>
      </c>
      <c r="C114" s="4" t="s">
        <v>58</v>
      </c>
      <c r="D114" s="5"/>
      <c r="E114" s="5"/>
      <c r="F114" s="5"/>
      <c r="G114" s="5"/>
      <c r="H114" s="12" t="str">
        <f>IF(OR(D114="",E114=""),"",IF(IFERROR(INDEX(Stats!$D:$D,MATCH($C114,Stats!$A:$A,0)),FALSE),ROUND(D114+(E114-D114)*(1+G114)*((1-1)/(MaxLevel-1))^(2^F114),0),D114+(E114-D114)*(1+G114)*((1-1)/(MaxLevel-1))^(2^F114)))</f>
        <v/>
      </c>
      <c r="I114" s="12" t="str">
        <f>IF(OR(D114="",E114=""),"",IF(IFERROR(INDEX(Stats!$D:$D,MATCH($C114,Stats!$A:$A,0)),FALSE),ROUND(D114+(E114-D114)*(1+G114)*((2-1)/(MaxLevel-1))^(2^F114),0),D114+(E114-D114)*(1+G114)*((2-1)/(MaxLevel-1))^(2^F114)))</f>
        <v/>
      </c>
      <c r="J114" s="12" t="str">
        <f>IF(OR(D114="",E114=""),"",IF(IFERROR(INDEX(Stats!$D:$D,MATCH($C114,Stats!$A:$A,0)),FALSE),ROUND(D114+(E114-D114)*(1+G114)*((3-1)/(MaxLevel-1))^(2^F114),0),D114+(E114-D114)*(1+G114)*((3-1)/(MaxLevel-1))^(2^F114)))</f>
        <v/>
      </c>
      <c r="K114" s="12" t="str">
        <f>IF(OR(D114="",E114=""),"",IF(IFERROR(INDEX(Stats!$D:$D,MATCH($C114,Stats!$A:$A,0)),FALSE),ROUND(D114+(E114-D114)*(1+G114)*((4-1)/(MaxLevel-1))^(2^F114),0),D114+(E114-D114)*(1+G114)*((4-1)/(MaxLevel-1))^(2^F114)))</f>
        <v/>
      </c>
      <c r="L114" s="12" t="str">
        <f>IF(OR(D114="",E114=""),"",IF(IFERROR(INDEX(Stats!$D:$D,MATCH($C114,Stats!$A:$A,0)),FALSE),ROUND(D114+(E114-D114)*(1+G114)*((5-1)/(MaxLevel-1))^(2^F114),0),D114+(E114-D114)*(1+G114)*((5-1)/(MaxLevel-1))^(2^F114)))</f>
        <v/>
      </c>
      <c r="M114" s="12" t="str">
        <f>IF(OR(D114="",E114=""),"",IF(IFERROR(INDEX(Stats!$D:$D,MATCH($C114,Stats!$A:$A,0)),FALSE),ROUND(D114+(E114-D114)*(1+G114)*((6-1)/(MaxLevel-1))^(2^F114),0),D114+(E114-D114)*(1+G114)*((6-1)/(MaxLevel-1))^(2^F114)))</f>
        <v/>
      </c>
      <c r="N114" s="12" t="str">
        <f>IF(OR(D114="",E114=""),"",IF(IFERROR(INDEX(Stats!$D:$D,MATCH($C114,Stats!$A:$A,0)),FALSE),ROUND(D114+(E114-D114)*(1+G114)*((7-1)/(MaxLevel-1))^(2^F114),0),D114+(E114-D114)*(1+G114)*((7-1)/(MaxLevel-1))^(2^F114)))</f>
        <v/>
      </c>
      <c r="O114" s="12" t="str">
        <f>IF(OR(D114="",E114=""),"",IF(IFERROR(INDEX(Stats!$D:$D,MATCH($C114,Stats!$A:$A,0)),FALSE),ROUND(D114+(E114-D114)*(1+G114)*((8-1)/(MaxLevel-1))^(2^F114),0),D114+(E114-D114)*(1+G114)*((8-1)/(MaxLevel-1))^(2^F114)))</f>
        <v/>
      </c>
      <c r="P114" s="12" t="str">
        <f>IF(OR(D114="",E114=""),"",IF(IFERROR(INDEX(Stats!$D:$D,MATCH($C114,Stats!$A:$A,0)),FALSE),ROUND(D114+(E114-D114)*(1+G114)*((9-1)/(MaxLevel-1))^(2^F114),0),D114+(E114-D114)*(1+G114)*((9-1)/(MaxLevel-1))^(2^F114)))</f>
        <v/>
      </c>
      <c r="Q114" s="12" t="str">
        <f>IF(OR(D114="",E114=""),"",IF(IFERROR(INDEX(Stats!$D:$D,MATCH($C114,Stats!$A:$A,0)),FALSE),ROUND(D114+(E114-D114)*(1+G114)*((10-1)/(MaxLevel-1))^(2^F114),0),D114+(E114-D114)*(1+G114)*((10-1)/(MaxLevel-1))^(2^F114)))</f>
        <v/>
      </c>
    </row>
    <row r="115" spans="1:17" x14ac:dyDescent="0.25">
      <c r="A115" s="4" t="s">
        <v>185</v>
      </c>
      <c r="B115" s="4" t="s">
        <v>190</v>
      </c>
      <c r="C115" s="4" t="s">
        <v>60</v>
      </c>
      <c r="D115" s="5"/>
      <c r="E115" s="5"/>
      <c r="F115" s="5"/>
      <c r="G115" s="5"/>
      <c r="H115" s="12" t="str">
        <f>IF(OR(D115="",E115=""),"",IF(IFERROR(INDEX(Stats!$D:$D,MATCH($C115,Stats!$A:$A,0)),FALSE),ROUND(D115+(E115-D115)*(1+G115)*((1-1)/(MaxLevel-1))^(2^F115),0),D115+(E115-D115)*(1+G115)*((1-1)/(MaxLevel-1))^(2^F115)))</f>
        <v/>
      </c>
      <c r="I115" s="12" t="str">
        <f>IF(OR(D115="",E115=""),"",IF(IFERROR(INDEX(Stats!$D:$D,MATCH($C115,Stats!$A:$A,0)),FALSE),ROUND(D115+(E115-D115)*(1+G115)*((2-1)/(MaxLevel-1))^(2^F115),0),D115+(E115-D115)*(1+G115)*((2-1)/(MaxLevel-1))^(2^F115)))</f>
        <v/>
      </c>
      <c r="J115" s="12" t="str">
        <f>IF(OR(D115="",E115=""),"",IF(IFERROR(INDEX(Stats!$D:$D,MATCH($C115,Stats!$A:$A,0)),FALSE),ROUND(D115+(E115-D115)*(1+G115)*((3-1)/(MaxLevel-1))^(2^F115),0),D115+(E115-D115)*(1+G115)*((3-1)/(MaxLevel-1))^(2^F115)))</f>
        <v/>
      </c>
      <c r="K115" s="12" t="str">
        <f>IF(OR(D115="",E115=""),"",IF(IFERROR(INDEX(Stats!$D:$D,MATCH($C115,Stats!$A:$A,0)),FALSE),ROUND(D115+(E115-D115)*(1+G115)*((4-1)/(MaxLevel-1))^(2^F115),0),D115+(E115-D115)*(1+G115)*((4-1)/(MaxLevel-1))^(2^F115)))</f>
        <v/>
      </c>
      <c r="L115" s="12" t="str">
        <f>IF(OR(D115="",E115=""),"",IF(IFERROR(INDEX(Stats!$D:$D,MATCH($C115,Stats!$A:$A,0)),FALSE),ROUND(D115+(E115-D115)*(1+G115)*((5-1)/(MaxLevel-1))^(2^F115),0),D115+(E115-D115)*(1+G115)*((5-1)/(MaxLevel-1))^(2^F115)))</f>
        <v/>
      </c>
      <c r="M115" s="12" t="str">
        <f>IF(OR(D115="",E115=""),"",IF(IFERROR(INDEX(Stats!$D:$D,MATCH($C115,Stats!$A:$A,0)),FALSE),ROUND(D115+(E115-D115)*(1+G115)*((6-1)/(MaxLevel-1))^(2^F115),0),D115+(E115-D115)*(1+G115)*((6-1)/(MaxLevel-1))^(2^F115)))</f>
        <v/>
      </c>
      <c r="N115" s="12" t="str">
        <f>IF(OR(D115="",E115=""),"",IF(IFERROR(INDEX(Stats!$D:$D,MATCH($C115,Stats!$A:$A,0)),FALSE),ROUND(D115+(E115-D115)*(1+G115)*((7-1)/(MaxLevel-1))^(2^F115),0),D115+(E115-D115)*(1+G115)*((7-1)/(MaxLevel-1))^(2^F115)))</f>
        <v/>
      </c>
      <c r="O115" s="12" t="str">
        <f>IF(OR(D115="",E115=""),"",IF(IFERROR(INDEX(Stats!$D:$D,MATCH($C115,Stats!$A:$A,0)),FALSE),ROUND(D115+(E115-D115)*(1+G115)*((8-1)/(MaxLevel-1))^(2^F115),0),D115+(E115-D115)*(1+G115)*((8-1)/(MaxLevel-1))^(2^F115)))</f>
        <v/>
      </c>
      <c r="P115" s="12" t="str">
        <f>IF(OR(D115="",E115=""),"",IF(IFERROR(INDEX(Stats!$D:$D,MATCH($C115,Stats!$A:$A,0)),FALSE),ROUND(D115+(E115-D115)*(1+G115)*((9-1)/(MaxLevel-1))^(2^F115),0),D115+(E115-D115)*(1+G115)*((9-1)/(MaxLevel-1))^(2^F115)))</f>
        <v/>
      </c>
      <c r="Q115" s="12" t="str">
        <f>IF(OR(D115="",E115=""),"",IF(IFERROR(INDEX(Stats!$D:$D,MATCH($C115,Stats!$A:$A,0)),FALSE),ROUND(D115+(E115-D115)*(1+G115)*((10-1)/(MaxLevel-1))^(2^F115),0),D115+(E115-D115)*(1+G115)*((10-1)/(MaxLevel-1))^(2^F115)))</f>
        <v/>
      </c>
    </row>
    <row r="116" spans="1:17" x14ac:dyDescent="0.25">
      <c r="A116" s="4" t="s">
        <v>185</v>
      </c>
      <c r="B116" s="19" t="s">
        <v>222</v>
      </c>
      <c r="C116" s="4" t="s">
        <v>24</v>
      </c>
      <c r="D116" s="5">
        <v>0</v>
      </c>
      <c r="E116" s="5">
        <v>10000</v>
      </c>
      <c r="F116" s="5">
        <v>1</v>
      </c>
      <c r="G116" s="5">
        <v>0</v>
      </c>
      <c r="H116" s="12">
        <f>IF(OR(D116="",E116=""),"",IF(IFERROR(INDEX(Stats!$D:$D,MATCH($C116,Stats!$A:$A,0)),FALSE),ROUND(D116+(E116-D116)*(1+G116)*((1-1)/(MaxLevel-1))^(2^F116),0),D116+(E116-D116)*(1+G116)*((1-1)/(MaxLevel-1))^(2^F116)))</f>
        <v>0</v>
      </c>
      <c r="I116" s="12">
        <f>IF(OR(D116="",E116=""),"",IF(IFERROR(INDEX(Stats!$D:$D,MATCH($C116,Stats!$A:$A,0)),FALSE),ROUND(D116+(E116-D116)*(1+G116)*((2-1)/(MaxLevel-1))^(2^F116),0),D116+(E116-D116)*(1+G116)*((2-1)/(MaxLevel-1))^(2^F116)))</f>
        <v>123</v>
      </c>
      <c r="J116" s="12">
        <f>IF(OR(D116="",E116=""),"",IF(IFERROR(INDEX(Stats!$D:$D,MATCH($C116,Stats!$A:$A,0)),FALSE),ROUND(D116+(E116-D116)*(1+G116)*((3-1)/(MaxLevel-1))^(2^F116),0),D116+(E116-D116)*(1+G116)*((3-1)/(MaxLevel-1))^(2^F116)))</f>
        <v>494</v>
      </c>
      <c r="K116" s="12">
        <f>IF(OR(D116="",E116=""),"",IF(IFERROR(INDEX(Stats!$D:$D,MATCH($C116,Stats!$A:$A,0)),FALSE),ROUND(D116+(E116-D116)*(1+G116)*((4-1)/(MaxLevel-1))^(2^F116),0),D116+(E116-D116)*(1+G116)*((4-1)/(MaxLevel-1))^(2^F116)))</f>
        <v>1111</v>
      </c>
      <c r="L116" s="12">
        <f>IF(OR(D116="",E116=""),"",IF(IFERROR(INDEX(Stats!$D:$D,MATCH($C116,Stats!$A:$A,0)),FALSE),ROUND(D116+(E116-D116)*(1+G116)*((5-1)/(MaxLevel-1))^(2^F116),0),D116+(E116-D116)*(1+G116)*((5-1)/(MaxLevel-1))^(2^F116)))</f>
        <v>1975</v>
      </c>
      <c r="M116" s="12">
        <f>IF(OR(D116="",E116=""),"",IF(IFERROR(INDEX(Stats!$D:$D,MATCH($C116,Stats!$A:$A,0)),FALSE),ROUND(D116+(E116-D116)*(1+G116)*((6-1)/(MaxLevel-1))^(2^F116),0),D116+(E116-D116)*(1+G116)*((6-1)/(MaxLevel-1))^(2^F116)))</f>
        <v>3086</v>
      </c>
      <c r="N116" s="12">
        <f>IF(OR(D116="",E116=""),"",IF(IFERROR(INDEX(Stats!$D:$D,MATCH($C116,Stats!$A:$A,0)),FALSE),ROUND(D116+(E116-D116)*(1+G116)*((7-1)/(MaxLevel-1))^(2^F116),0),D116+(E116-D116)*(1+G116)*((7-1)/(MaxLevel-1))^(2^F116)))</f>
        <v>4444</v>
      </c>
      <c r="O116" s="12">
        <f>IF(OR(D116="",E116=""),"",IF(IFERROR(INDEX(Stats!$D:$D,MATCH($C116,Stats!$A:$A,0)),FALSE),ROUND(D116+(E116-D116)*(1+G116)*((8-1)/(MaxLevel-1))^(2^F116),0),D116+(E116-D116)*(1+G116)*((8-1)/(MaxLevel-1))^(2^F116)))</f>
        <v>6049</v>
      </c>
      <c r="P116" s="12">
        <f>IF(OR(D116="",E116=""),"",IF(IFERROR(INDEX(Stats!$D:$D,MATCH($C116,Stats!$A:$A,0)),FALSE),ROUND(D116+(E116-D116)*(1+G116)*((9-1)/(MaxLevel-1))^(2^F116),0),D116+(E116-D116)*(1+G116)*((9-1)/(MaxLevel-1))^(2^F116)))</f>
        <v>7901</v>
      </c>
      <c r="Q116" s="12">
        <f>IF(OR(D116="",E116=""),"",IF(IFERROR(INDEX(Stats!$D:$D,MATCH($C116,Stats!$A:$A,0)),FALSE),ROUND(D116+(E116-D116)*(1+G116)*((10-1)/(MaxLevel-1))^(2^F116),0),D116+(E116-D116)*(1+G116)*((10-1)/(MaxLevel-1))^(2^F116)))</f>
        <v>10000</v>
      </c>
    </row>
    <row r="117" spans="1:17" x14ac:dyDescent="0.25">
      <c r="A117" s="4" t="s">
        <v>185</v>
      </c>
      <c r="B117" s="19" t="s">
        <v>222</v>
      </c>
      <c r="C117" s="4" t="s">
        <v>26</v>
      </c>
      <c r="D117" s="5">
        <v>25</v>
      </c>
      <c r="E117" s="5">
        <v>150</v>
      </c>
      <c r="F117" s="5">
        <v>0</v>
      </c>
      <c r="G117" s="5">
        <v>0</v>
      </c>
      <c r="H117" s="12">
        <f>IF(OR(D117="",E117=""),"",IF(IFERROR(INDEX(Stats!$D:$D,MATCH($C117,Stats!$A:$A,0)),FALSE),ROUND(D117+(E117-D117)*(1+G117)*((1-1)/(MaxLevel-1))^(2^F117),0),D117+(E117-D117)*(1+G117)*((1-1)/(MaxLevel-1))^(2^F117)))</f>
        <v>25</v>
      </c>
      <c r="I117" s="12">
        <f>IF(OR(D117="",E117=""),"",IF(IFERROR(INDEX(Stats!$D:$D,MATCH($C117,Stats!$A:$A,0)),FALSE),ROUND(D117+(E117-D117)*(1+G117)*((2-1)/(MaxLevel-1))^(2^F117),0),D117+(E117-D117)*(1+G117)*((2-1)/(MaxLevel-1))^(2^F117)))</f>
        <v>39</v>
      </c>
      <c r="J117" s="12">
        <f>IF(OR(D117="",E117=""),"",IF(IFERROR(INDEX(Stats!$D:$D,MATCH($C117,Stats!$A:$A,0)),FALSE),ROUND(D117+(E117-D117)*(1+G117)*((3-1)/(MaxLevel-1))^(2^F117),0),D117+(E117-D117)*(1+G117)*((3-1)/(MaxLevel-1))^(2^F117)))</f>
        <v>53</v>
      </c>
      <c r="K117" s="12">
        <f>IF(OR(D117="",E117=""),"",IF(IFERROR(INDEX(Stats!$D:$D,MATCH($C117,Stats!$A:$A,0)),FALSE),ROUND(D117+(E117-D117)*(1+G117)*((4-1)/(MaxLevel-1))^(2^F117),0),D117+(E117-D117)*(1+G117)*((4-1)/(MaxLevel-1))^(2^F117)))</f>
        <v>67</v>
      </c>
      <c r="L117" s="12">
        <f>IF(OR(D117="",E117=""),"",IF(IFERROR(INDEX(Stats!$D:$D,MATCH($C117,Stats!$A:$A,0)),FALSE),ROUND(D117+(E117-D117)*(1+G117)*((5-1)/(MaxLevel-1))^(2^F117),0),D117+(E117-D117)*(1+G117)*((5-1)/(MaxLevel-1))^(2^F117)))</f>
        <v>81</v>
      </c>
      <c r="M117" s="12">
        <f>IF(OR(D117="",E117=""),"",IF(IFERROR(INDEX(Stats!$D:$D,MATCH($C117,Stats!$A:$A,0)),FALSE),ROUND(D117+(E117-D117)*(1+G117)*((6-1)/(MaxLevel-1))^(2^F117),0),D117+(E117-D117)*(1+G117)*((6-1)/(MaxLevel-1))^(2^F117)))</f>
        <v>94</v>
      </c>
      <c r="N117" s="12">
        <f>IF(OR(D117="",E117=""),"",IF(IFERROR(INDEX(Stats!$D:$D,MATCH($C117,Stats!$A:$A,0)),FALSE),ROUND(D117+(E117-D117)*(1+G117)*((7-1)/(MaxLevel-1))^(2^F117),0),D117+(E117-D117)*(1+G117)*((7-1)/(MaxLevel-1))^(2^F117)))</f>
        <v>108</v>
      </c>
      <c r="O117" s="12">
        <f>IF(OR(D117="",E117=""),"",IF(IFERROR(INDEX(Stats!$D:$D,MATCH($C117,Stats!$A:$A,0)),FALSE),ROUND(D117+(E117-D117)*(1+G117)*((8-1)/(MaxLevel-1))^(2^F117),0),D117+(E117-D117)*(1+G117)*((8-1)/(MaxLevel-1))^(2^F117)))</f>
        <v>122</v>
      </c>
      <c r="P117" s="12">
        <f>IF(OR(D117="",E117=""),"",IF(IFERROR(INDEX(Stats!$D:$D,MATCH($C117,Stats!$A:$A,0)),FALSE),ROUND(D117+(E117-D117)*(1+G117)*((9-1)/(MaxLevel-1))^(2^F117),0),D117+(E117-D117)*(1+G117)*((9-1)/(MaxLevel-1))^(2^F117)))</f>
        <v>136</v>
      </c>
      <c r="Q117" s="12">
        <f>IF(OR(D117="",E117=""),"",IF(IFERROR(INDEX(Stats!$D:$D,MATCH($C117,Stats!$A:$A,0)),FALSE),ROUND(D117+(E117-D117)*(1+G117)*((10-1)/(MaxLevel-1))^(2^F117),0),D117+(E117-D117)*(1+G117)*((10-1)/(MaxLevel-1))^(2^F117)))</f>
        <v>150</v>
      </c>
    </row>
    <row r="118" spans="1:17" x14ac:dyDescent="0.25">
      <c r="A118" s="4" t="s">
        <v>185</v>
      </c>
      <c r="B118" s="19" t="s">
        <v>222</v>
      </c>
      <c r="C118" s="4" t="s">
        <v>28</v>
      </c>
      <c r="D118" s="5">
        <v>300</v>
      </c>
      <c r="E118" s="5">
        <v>1200</v>
      </c>
      <c r="F118" s="5">
        <v>0</v>
      </c>
      <c r="G118" s="5">
        <v>-0.1</v>
      </c>
      <c r="H118" s="12">
        <f>IF(OR(D118="",E118=""),"",IF(IFERROR(INDEX(Stats!$D:$D,MATCH($C118,Stats!$A:$A,0)),FALSE),ROUND(D118+(E118-D118)*(1+G118)*((1-1)/(MaxLevel-1))^(2^F118),0),D118+(E118-D118)*(1+G118)*((1-1)/(MaxLevel-1))^(2^F118)))</f>
        <v>300</v>
      </c>
      <c r="I118" s="12">
        <f>IF(OR(D118="",E118=""),"",IF(IFERROR(INDEX(Stats!$D:$D,MATCH($C118,Stats!$A:$A,0)),FALSE),ROUND(D118+(E118-D118)*(1+G118)*((2-1)/(MaxLevel-1))^(2^F118),0),D118+(E118-D118)*(1+G118)*((2-1)/(MaxLevel-1))^(2^F118)))</f>
        <v>390</v>
      </c>
      <c r="J118" s="12">
        <f>IF(OR(D118="",E118=""),"",IF(IFERROR(INDEX(Stats!$D:$D,MATCH($C118,Stats!$A:$A,0)),FALSE),ROUND(D118+(E118-D118)*(1+G118)*((3-1)/(MaxLevel-1))^(2^F118),0),D118+(E118-D118)*(1+G118)*((3-1)/(MaxLevel-1))^(2^F118)))</f>
        <v>480</v>
      </c>
      <c r="K118" s="12">
        <f>IF(OR(D118="",E118=""),"",IF(IFERROR(INDEX(Stats!$D:$D,MATCH($C118,Stats!$A:$A,0)),FALSE),ROUND(D118+(E118-D118)*(1+G118)*((4-1)/(MaxLevel-1))^(2^F118),0),D118+(E118-D118)*(1+G118)*((4-1)/(MaxLevel-1))^(2^F118)))</f>
        <v>570</v>
      </c>
      <c r="L118" s="12">
        <f>IF(OR(D118="",E118=""),"",IF(IFERROR(INDEX(Stats!$D:$D,MATCH($C118,Stats!$A:$A,0)),FALSE),ROUND(D118+(E118-D118)*(1+G118)*((5-1)/(MaxLevel-1))^(2^F118),0),D118+(E118-D118)*(1+G118)*((5-1)/(MaxLevel-1))^(2^F118)))</f>
        <v>660</v>
      </c>
      <c r="M118" s="12">
        <f>IF(OR(D118="",E118=""),"",IF(IFERROR(INDEX(Stats!$D:$D,MATCH($C118,Stats!$A:$A,0)),FALSE),ROUND(D118+(E118-D118)*(1+G118)*((6-1)/(MaxLevel-1))^(2^F118),0),D118+(E118-D118)*(1+G118)*((6-1)/(MaxLevel-1))^(2^F118)))</f>
        <v>750</v>
      </c>
      <c r="N118" s="12">
        <f>IF(OR(D118="",E118=""),"",IF(IFERROR(INDEX(Stats!$D:$D,MATCH($C118,Stats!$A:$A,0)),FALSE),ROUND(D118+(E118-D118)*(1+G118)*((7-1)/(MaxLevel-1))^(2^F118),0),D118+(E118-D118)*(1+G118)*((7-1)/(MaxLevel-1))^(2^F118)))</f>
        <v>840</v>
      </c>
      <c r="O118" s="12">
        <f>IF(OR(D118="",E118=""),"",IF(IFERROR(INDEX(Stats!$D:$D,MATCH($C118,Stats!$A:$A,0)),FALSE),ROUND(D118+(E118-D118)*(1+G118)*((8-1)/(MaxLevel-1))^(2^F118),0),D118+(E118-D118)*(1+G118)*((8-1)/(MaxLevel-1))^(2^F118)))</f>
        <v>930</v>
      </c>
      <c r="P118" s="12">
        <f>IF(OR(D118="",E118=""),"",IF(IFERROR(INDEX(Stats!$D:$D,MATCH($C118,Stats!$A:$A,0)),FALSE),ROUND(D118+(E118-D118)*(1+G118)*((9-1)/(MaxLevel-1))^(2^F118),0),D118+(E118-D118)*(1+G118)*((9-1)/(MaxLevel-1))^(2^F118)))</f>
        <v>1020</v>
      </c>
      <c r="Q118" s="12">
        <f>IF(OR(D118="",E118=""),"",IF(IFERROR(INDEX(Stats!$D:$D,MATCH($C118,Stats!$A:$A,0)),FALSE),ROUND(D118+(E118-D118)*(1+G118)*((10-1)/(MaxLevel-1))^(2^F118),0),D118+(E118-D118)*(1+G118)*((10-1)/(MaxLevel-1))^(2^F118)))</f>
        <v>1110</v>
      </c>
    </row>
    <row r="119" spans="1:17" x14ac:dyDescent="0.25">
      <c r="A119" s="4" t="s">
        <v>185</v>
      </c>
      <c r="B119" s="19" t="s">
        <v>222</v>
      </c>
      <c r="C119" s="4" t="s">
        <v>30</v>
      </c>
      <c r="D119" s="5">
        <v>25</v>
      </c>
      <c r="E119" s="5">
        <v>110</v>
      </c>
      <c r="F119" s="5">
        <v>0.5</v>
      </c>
      <c r="G119" s="5">
        <v>0</v>
      </c>
      <c r="H119" s="12">
        <f>IF(OR(D119="",E119=""),"",IF(IFERROR(INDEX(Stats!$D:$D,MATCH($C119,Stats!$A:$A,0)),FALSE),ROUND(D119+(E119-D119)*(1+G119)*((1-1)/(MaxLevel-1))^(2^F119),0),D119+(E119-D119)*(1+G119)*((1-1)/(MaxLevel-1))^(2^F119)))</f>
        <v>25</v>
      </c>
      <c r="I119" s="12">
        <f>IF(OR(D119="",E119=""),"",IF(IFERROR(INDEX(Stats!$D:$D,MATCH($C119,Stats!$A:$A,0)),FALSE),ROUND(D119+(E119-D119)*(1+G119)*((2-1)/(MaxLevel-1))^(2^F119),0),D119+(E119-D119)*(1+G119)*((2-1)/(MaxLevel-1))^(2^F119)))</f>
        <v>29</v>
      </c>
      <c r="J119" s="12">
        <f>IF(OR(D119="",E119=""),"",IF(IFERROR(INDEX(Stats!$D:$D,MATCH($C119,Stats!$A:$A,0)),FALSE),ROUND(D119+(E119-D119)*(1+G119)*((3-1)/(MaxLevel-1))^(2^F119),0),D119+(E119-D119)*(1+G119)*((3-1)/(MaxLevel-1))^(2^F119)))</f>
        <v>35</v>
      </c>
      <c r="K119" s="12">
        <f>IF(OR(D119="",E119=""),"",IF(IFERROR(INDEX(Stats!$D:$D,MATCH($C119,Stats!$A:$A,0)),FALSE),ROUND(D119+(E119-D119)*(1+G119)*((4-1)/(MaxLevel-1))^(2^F119),0),D119+(E119-D119)*(1+G119)*((4-1)/(MaxLevel-1))^(2^F119)))</f>
        <v>43</v>
      </c>
      <c r="L119" s="12">
        <f>IF(OR(D119="",E119=""),"",IF(IFERROR(INDEX(Stats!$D:$D,MATCH($C119,Stats!$A:$A,0)),FALSE),ROUND(D119+(E119-D119)*(1+G119)*((5-1)/(MaxLevel-1))^(2^F119),0),D119+(E119-D119)*(1+G119)*((5-1)/(MaxLevel-1))^(2^F119)))</f>
        <v>52</v>
      </c>
      <c r="M119" s="12">
        <f>IF(OR(D119="",E119=""),"",IF(IFERROR(INDEX(Stats!$D:$D,MATCH($C119,Stats!$A:$A,0)),FALSE),ROUND(D119+(E119-D119)*(1+G119)*((6-1)/(MaxLevel-1))^(2^F119),0),D119+(E119-D119)*(1+G119)*((6-1)/(MaxLevel-1))^(2^F119)))</f>
        <v>62</v>
      </c>
      <c r="N119" s="12">
        <f>IF(OR(D119="",E119=""),"",IF(IFERROR(INDEX(Stats!$D:$D,MATCH($C119,Stats!$A:$A,0)),FALSE),ROUND(D119+(E119-D119)*(1+G119)*((7-1)/(MaxLevel-1))^(2^F119),0),D119+(E119-D119)*(1+G119)*((7-1)/(MaxLevel-1))^(2^F119)))</f>
        <v>73</v>
      </c>
      <c r="O119" s="12">
        <f>IF(OR(D119="",E119=""),"",IF(IFERROR(INDEX(Stats!$D:$D,MATCH($C119,Stats!$A:$A,0)),FALSE),ROUND(D119+(E119-D119)*(1+G119)*((8-1)/(MaxLevel-1))^(2^F119),0),D119+(E119-D119)*(1+G119)*((8-1)/(MaxLevel-1))^(2^F119)))</f>
        <v>85</v>
      </c>
      <c r="P119" s="12">
        <f>IF(OR(D119="",E119=""),"",IF(IFERROR(INDEX(Stats!$D:$D,MATCH($C119,Stats!$A:$A,0)),FALSE),ROUND(D119+(E119-D119)*(1+G119)*((9-1)/(MaxLevel-1))^(2^F119),0),D119+(E119-D119)*(1+G119)*((9-1)/(MaxLevel-1))^(2^F119)))</f>
        <v>97</v>
      </c>
      <c r="Q119" s="12">
        <f>IF(OR(D119="",E119=""),"",IF(IFERROR(INDEX(Stats!$D:$D,MATCH($C119,Stats!$A:$A,0)),FALSE),ROUND(D119+(E119-D119)*(1+G119)*((10-1)/(MaxLevel-1))^(2^F119),0),D119+(E119-D119)*(1+G119)*((10-1)/(MaxLevel-1))^(2^F119)))</f>
        <v>110</v>
      </c>
    </row>
    <row r="120" spans="1:17" x14ac:dyDescent="0.25">
      <c r="A120" s="4" t="s">
        <v>185</v>
      </c>
      <c r="B120" s="19" t="s">
        <v>222</v>
      </c>
      <c r="C120" s="4" t="s">
        <v>32</v>
      </c>
      <c r="D120" s="5"/>
      <c r="E120" s="5"/>
      <c r="F120" s="5"/>
      <c r="G120" s="5"/>
      <c r="H120" s="12" t="str">
        <f>IF(OR(D120="",E120=""),"",IF(IFERROR(INDEX(Stats!$D:$D,MATCH($C120,Stats!$A:$A,0)),FALSE),ROUND(D120+(E120-D120)*(1+G120)*((1-1)/(MaxLevel-1))^(2^F120),0),D120+(E120-D120)*(1+G120)*((1-1)/(MaxLevel-1))^(2^F120)))</f>
        <v/>
      </c>
      <c r="I120" s="12" t="str">
        <f>IF(OR(D120="",E120=""),"",IF(IFERROR(INDEX(Stats!$D:$D,MATCH($C120,Stats!$A:$A,0)),FALSE),ROUND(D120+(E120-D120)*(1+G120)*((2-1)/(MaxLevel-1))^(2^F120),0),D120+(E120-D120)*(1+G120)*((2-1)/(MaxLevel-1))^(2^F120)))</f>
        <v/>
      </c>
      <c r="J120" s="12" t="str">
        <f>IF(OR(D120="",E120=""),"",IF(IFERROR(INDEX(Stats!$D:$D,MATCH($C120,Stats!$A:$A,0)),FALSE),ROUND(D120+(E120-D120)*(1+G120)*((3-1)/(MaxLevel-1))^(2^F120),0),D120+(E120-D120)*(1+G120)*((3-1)/(MaxLevel-1))^(2^F120)))</f>
        <v/>
      </c>
      <c r="K120" s="12" t="str">
        <f>IF(OR(D120="",E120=""),"",IF(IFERROR(INDEX(Stats!$D:$D,MATCH($C120,Stats!$A:$A,0)),FALSE),ROUND(D120+(E120-D120)*(1+G120)*((4-1)/(MaxLevel-1))^(2^F120),0),D120+(E120-D120)*(1+G120)*((4-1)/(MaxLevel-1))^(2^F120)))</f>
        <v/>
      </c>
      <c r="L120" s="12" t="str">
        <f>IF(OR(D120="",E120=""),"",IF(IFERROR(INDEX(Stats!$D:$D,MATCH($C120,Stats!$A:$A,0)),FALSE),ROUND(D120+(E120-D120)*(1+G120)*((5-1)/(MaxLevel-1))^(2^F120),0),D120+(E120-D120)*(1+G120)*((5-1)/(MaxLevel-1))^(2^F120)))</f>
        <v/>
      </c>
      <c r="M120" s="12" t="str">
        <f>IF(OR(D120="",E120=""),"",IF(IFERROR(INDEX(Stats!$D:$D,MATCH($C120,Stats!$A:$A,0)),FALSE),ROUND(D120+(E120-D120)*(1+G120)*((6-1)/(MaxLevel-1))^(2^F120),0),D120+(E120-D120)*(1+G120)*((6-1)/(MaxLevel-1))^(2^F120)))</f>
        <v/>
      </c>
      <c r="N120" s="12" t="str">
        <f>IF(OR(D120="",E120=""),"",IF(IFERROR(INDEX(Stats!$D:$D,MATCH($C120,Stats!$A:$A,0)),FALSE),ROUND(D120+(E120-D120)*(1+G120)*((7-1)/(MaxLevel-1))^(2^F120),0),D120+(E120-D120)*(1+G120)*((7-1)/(MaxLevel-1))^(2^F120)))</f>
        <v/>
      </c>
      <c r="O120" s="12" t="str">
        <f>IF(OR(D120="",E120=""),"",IF(IFERROR(INDEX(Stats!$D:$D,MATCH($C120,Stats!$A:$A,0)),FALSE),ROUND(D120+(E120-D120)*(1+G120)*((8-1)/(MaxLevel-1))^(2^F120),0),D120+(E120-D120)*(1+G120)*((8-1)/(MaxLevel-1))^(2^F120)))</f>
        <v/>
      </c>
      <c r="P120" s="12" t="str">
        <f>IF(OR(D120="",E120=""),"",IF(IFERROR(INDEX(Stats!$D:$D,MATCH($C120,Stats!$A:$A,0)),FALSE),ROUND(D120+(E120-D120)*(1+G120)*((9-1)/(MaxLevel-1))^(2^F120),0),D120+(E120-D120)*(1+G120)*((9-1)/(MaxLevel-1))^(2^F120)))</f>
        <v/>
      </c>
      <c r="Q120" s="12" t="str">
        <f>IF(OR(D120="",E120=""),"",IF(IFERROR(INDEX(Stats!$D:$D,MATCH($C120,Stats!$A:$A,0)),FALSE),ROUND(D120+(E120-D120)*(1+G120)*((10-1)/(MaxLevel-1))^(2^F120),0),D120+(E120-D120)*(1+G120)*((10-1)/(MaxLevel-1))^(2^F120)))</f>
        <v/>
      </c>
    </row>
    <row r="121" spans="1:17" x14ac:dyDescent="0.25">
      <c r="A121" s="4" t="s">
        <v>185</v>
      </c>
      <c r="B121" s="19" t="s">
        <v>222</v>
      </c>
      <c r="C121" s="4" t="s">
        <v>34</v>
      </c>
      <c r="D121" s="5"/>
      <c r="E121" s="5"/>
      <c r="F121" s="5"/>
      <c r="G121" s="5"/>
      <c r="H121" s="12" t="str">
        <f>IF(OR(D121="",E121=""),"",IF(IFERROR(INDEX(Stats!$D:$D,MATCH($C121,Stats!$A:$A,0)),FALSE),ROUND(D121+(E121-D121)*(1+G121)*((1-1)/(MaxLevel-1))^(2^F121),0),D121+(E121-D121)*(1+G121)*((1-1)/(MaxLevel-1))^(2^F121)))</f>
        <v/>
      </c>
      <c r="I121" s="12" t="str">
        <f>IF(OR(D121="",E121=""),"",IF(IFERROR(INDEX(Stats!$D:$D,MATCH($C121,Stats!$A:$A,0)),FALSE),ROUND(D121+(E121-D121)*(1+G121)*((2-1)/(MaxLevel-1))^(2^F121),0),D121+(E121-D121)*(1+G121)*((2-1)/(MaxLevel-1))^(2^F121)))</f>
        <v/>
      </c>
      <c r="J121" s="12" t="str">
        <f>IF(OR(D121="",E121=""),"",IF(IFERROR(INDEX(Stats!$D:$D,MATCH($C121,Stats!$A:$A,0)),FALSE),ROUND(D121+(E121-D121)*(1+G121)*((3-1)/(MaxLevel-1))^(2^F121),0),D121+(E121-D121)*(1+G121)*((3-1)/(MaxLevel-1))^(2^F121)))</f>
        <v/>
      </c>
      <c r="K121" s="12" t="str">
        <f>IF(OR(D121="",E121=""),"",IF(IFERROR(INDEX(Stats!$D:$D,MATCH($C121,Stats!$A:$A,0)),FALSE),ROUND(D121+(E121-D121)*(1+G121)*((4-1)/(MaxLevel-1))^(2^F121),0),D121+(E121-D121)*(1+G121)*((4-1)/(MaxLevel-1))^(2^F121)))</f>
        <v/>
      </c>
      <c r="L121" s="12" t="str">
        <f>IF(OR(D121="",E121=""),"",IF(IFERROR(INDEX(Stats!$D:$D,MATCH($C121,Stats!$A:$A,0)),FALSE),ROUND(D121+(E121-D121)*(1+G121)*((5-1)/(MaxLevel-1))^(2^F121),0),D121+(E121-D121)*(1+G121)*((5-1)/(MaxLevel-1))^(2^F121)))</f>
        <v/>
      </c>
      <c r="M121" s="12" t="str">
        <f>IF(OR(D121="",E121=""),"",IF(IFERROR(INDEX(Stats!$D:$D,MATCH($C121,Stats!$A:$A,0)),FALSE),ROUND(D121+(E121-D121)*(1+G121)*((6-1)/(MaxLevel-1))^(2^F121),0),D121+(E121-D121)*(1+G121)*((6-1)/(MaxLevel-1))^(2^F121)))</f>
        <v/>
      </c>
      <c r="N121" s="12" t="str">
        <f>IF(OR(D121="",E121=""),"",IF(IFERROR(INDEX(Stats!$D:$D,MATCH($C121,Stats!$A:$A,0)),FALSE),ROUND(D121+(E121-D121)*(1+G121)*((7-1)/(MaxLevel-1))^(2^F121),0),D121+(E121-D121)*(1+G121)*((7-1)/(MaxLevel-1))^(2^F121)))</f>
        <v/>
      </c>
      <c r="O121" s="12" t="str">
        <f>IF(OR(D121="",E121=""),"",IF(IFERROR(INDEX(Stats!$D:$D,MATCH($C121,Stats!$A:$A,0)),FALSE),ROUND(D121+(E121-D121)*(1+G121)*((8-1)/(MaxLevel-1))^(2^F121),0),D121+(E121-D121)*(1+G121)*((8-1)/(MaxLevel-1))^(2^F121)))</f>
        <v/>
      </c>
      <c r="P121" s="12" t="str">
        <f>IF(OR(D121="",E121=""),"",IF(IFERROR(INDEX(Stats!$D:$D,MATCH($C121,Stats!$A:$A,0)),FALSE),ROUND(D121+(E121-D121)*(1+G121)*((9-1)/(MaxLevel-1))^(2^F121),0),D121+(E121-D121)*(1+G121)*((9-1)/(MaxLevel-1))^(2^F121)))</f>
        <v/>
      </c>
      <c r="Q121" s="12" t="str">
        <f>IF(OR(D121="",E121=""),"",IF(IFERROR(INDEX(Stats!$D:$D,MATCH($C121,Stats!$A:$A,0)),FALSE),ROUND(D121+(E121-D121)*(1+G121)*((10-1)/(MaxLevel-1))^(2^F121),0),D121+(E121-D121)*(1+G121)*((10-1)/(MaxLevel-1))^(2^F121)))</f>
        <v/>
      </c>
    </row>
    <row r="122" spans="1:17" x14ac:dyDescent="0.25">
      <c r="A122" s="4" t="s">
        <v>185</v>
      </c>
      <c r="B122" s="19" t="s">
        <v>222</v>
      </c>
      <c r="C122" s="4" t="s">
        <v>36</v>
      </c>
      <c r="D122" s="5"/>
      <c r="E122" s="5"/>
      <c r="F122" s="5"/>
      <c r="G122" s="5"/>
      <c r="H122" s="12" t="str">
        <f>IF(OR(D122="",E122=""),"",IF(IFERROR(INDEX(Stats!$D:$D,MATCH($C122,Stats!$A:$A,0)),FALSE),ROUND(D122+(E122-D122)*(1+G122)*((1-1)/(MaxLevel-1))^(2^F122),0),D122+(E122-D122)*(1+G122)*((1-1)/(MaxLevel-1))^(2^F122)))</f>
        <v/>
      </c>
      <c r="I122" s="12" t="str">
        <f>IF(OR(D122="",E122=""),"",IF(IFERROR(INDEX(Stats!$D:$D,MATCH($C122,Stats!$A:$A,0)),FALSE),ROUND(D122+(E122-D122)*(1+G122)*((2-1)/(MaxLevel-1))^(2^F122),0),D122+(E122-D122)*(1+G122)*((2-1)/(MaxLevel-1))^(2^F122)))</f>
        <v/>
      </c>
      <c r="J122" s="12" t="str">
        <f>IF(OR(D122="",E122=""),"",IF(IFERROR(INDEX(Stats!$D:$D,MATCH($C122,Stats!$A:$A,0)),FALSE),ROUND(D122+(E122-D122)*(1+G122)*((3-1)/(MaxLevel-1))^(2^F122),0),D122+(E122-D122)*(1+G122)*((3-1)/(MaxLevel-1))^(2^F122)))</f>
        <v/>
      </c>
      <c r="K122" s="12" t="str">
        <f>IF(OR(D122="",E122=""),"",IF(IFERROR(INDEX(Stats!$D:$D,MATCH($C122,Stats!$A:$A,0)),FALSE),ROUND(D122+(E122-D122)*(1+G122)*((4-1)/(MaxLevel-1))^(2^F122),0),D122+(E122-D122)*(1+G122)*((4-1)/(MaxLevel-1))^(2^F122)))</f>
        <v/>
      </c>
      <c r="L122" s="12" t="str">
        <f>IF(OR(D122="",E122=""),"",IF(IFERROR(INDEX(Stats!$D:$D,MATCH($C122,Stats!$A:$A,0)),FALSE),ROUND(D122+(E122-D122)*(1+G122)*((5-1)/(MaxLevel-1))^(2^F122),0),D122+(E122-D122)*(1+G122)*((5-1)/(MaxLevel-1))^(2^F122)))</f>
        <v/>
      </c>
      <c r="M122" s="12" t="str">
        <f>IF(OR(D122="",E122=""),"",IF(IFERROR(INDEX(Stats!$D:$D,MATCH($C122,Stats!$A:$A,0)),FALSE),ROUND(D122+(E122-D122)*(1+G122)*((6-1)/(MaxLevel-1))^(2^F122),0),D122+(E122-D122)*(1+G122)*((6-1)/(MaxLevel-1))^(2^F122)))</f>
        <v/>
      </c>
      <c r="N122" s="12" t="str">
        <f>IF(OR(D122="",E122=""),"",IF(IFERROR(INDEX(Stats!$D:$D,MATCH($C122,Stats!$A:$A,0)),FALSE),ROUND(D122+(E122-D122)*(1+G122)*((7-1)/(MaxLevel-1))^(2^F122),0),D122+(E122-D122)*(1+G122)*((7-1)/(MaxLevel-1))^(2^F122)))</f>
        <v/>
      </c>
      <c r="O122" s="12" t="str">
        <f>IF(OR(D122="",E122=""),"",IF(IFERROR(INDEX(Stats!$D:$D,MATCH($C122,Stats!$A:$A,0)),FALSE),ROUND(D122+(E122-D122)*(1+G122)*((8-1)/(MaxLevel-1))^(2^F122),0),D122+(E122-D122)*(1+G122)*((8-1)/(MaxLevel-1))^(2^F122)))</f>
        <v/>
      </c>
      <c r="P122" s="12" t="str">
        <f>IF(OR(D122="",E122=""),"",IF(IFERROR(INDEX(Stats!$D:$D,MATCH($C122,Stats!$A:$A,0)),FALSE),ROUND(D122+(E122-D122)*(1+G122)*((9-1)/(MaxLevel-1))^(2^F122),0),D122+(E122-D122)*(1+G122)*((9-1)/(MaxLevel-1))^(2^F122)))</f>
        <v/>
      </c>
      <c r="Q122" s="12" t="str">
        <f>IF(OR(D122="",E122=""),"",IF(IFERROR(INDEX(Stats!$D:$D,MATCH($C122,Stats!$A:$A,0)),FALSE),ROUND(D122+(E122-D122)*(1+G122)*((10-1)/(MaxLevel-1))^(2^F122),0),D122+(E122-D122)*(1+G122)*((10-1)/(MaxLevel-1))^(2^F122)))</f>
        <v/>
      </c>
    </row>
    <row r="123" spans="1:17" x14ac:dyDescent="0.25">
      <c r="A123" s="4" t="s">
        <v>185</v>
      </c>
      <c r="B123" s="19" t="s">
        <v>222</v>
      </c>
      <c r="C123" s="4" t="s">
        <v>38</v>
      </c>
      <c r="D123" s="5"/>
      <c r="E123" s="5"/>
      <c r="F123" s="5"/>
      <c r="G123" s="5"/>
      <c r="H123" s="12" t="str">
        <f>IF(OR(D123="",E123=""),"",IF(IFERROR(INDEX(Stats!$D:$D,MATCH($C123,Stats!$A:$A,0)),FALSE),ROUND(D123+(E123-D123)*(1+G123)*((1-1)/(MaxLevel-1))^(2^F123),0),D123+(E123-D123)*(1+G123)*((1-1)/(MaxLevel-1))^(2^F123)))</f>
        <v/>
      </c>
      <c r="I123" s="12" t="str">
        <f>IF(OR(D123="",E123=""),"",IF(IFERROR(INDEX(Stats!$D:$D,MATCH($C123,Stats!$A:$A,0)),FALSE),ROUND(D123+(E123-D123)*(1+G123)*((2-1)/(MaxLevel-1))^(2^F123),0),D123+(E123-D123)*(1+G123)*((2-1)/(MaxLevel-1))^(2^F123)))</f>
        <v/>
      </c>
      <c r="J123" s="12" t="str">
        <f>IF(OR(D123="",E123=""),"",IF(IFERROR(INDEX(Stats!$D:$D,MATCH($C123,Stats!$A:$A,0)),FALSE),ROUND(D123+(E123-D123)*(1+G123)*((3-1)/(MaxLevel-1))^(2^F123),0),D123+(E123-D123)*(1+G123)*((3-1)/(MaxLevel-1))^(2^F123)))</f>
        <v/>
      </c>
      <c r="K123" s="12" t="str">
        <f>IF(OR(D123="",E123=""),"",IF(IFERROR(INDEX(Stats!$D:$D,MATCH($C123,Stats!$A:$A,0)),FALSE),ROUND(D123+(E123-D123)*(1+G123)*((4-1)/(MaxLevel-1))^(2^F123),0),D123+(E123-D123)*(1+G123)*((4-1)/(MaxLevel-1))^(2^F123)))</f>
        <v/>
      </c>
      <c r="L123" s="12" t="str">
        <f>IF(OR(D123="",E123=""),"",IF(IFERROR(INDEX(Stats!$D:$D,MATCH($C123,Stats!$A:$A,0)),FALSE),ROUND(D123+(E123-D123)*(1+G123)*((5-1)/(MaxLevel-1))^(2^F123),0),D123+(E123-D123)*(1+G123)*((5-1)/(MaxLevel-1))^(2^F123)))</f>
        <v/>
      </c>
      <c r="M123" s="12" t="str">
        <f>IF(OR(D123="",E123=""),"",IF(IFERROR(INDEX(Stats!$D:$D,MATCH($C123,Stats!$A:$A,0)),FALSE),ROUND(D123+(E123-D123)*(1+G123)*((6-1)/(MaxLevel-1))^(2^F123),0),D123+(E123-D123)*(1+G123)*((6-1)/(MaxLevel-1))^(2^F123)))</f>
        <v/>
      </c>
      <c r="N123" s="12" t="str">
        <f>IF(OR(D123="",E123=""),"",IF(IFERROR(INDEX(Stats!$D:$D,MATCH($C123,Stats!$A:$A,0)),FALSE),ROUND(D123+(E123-D123)*(1+G123)*((7-1)/(MaxLevel-1))^(2^F123),0),D123+(E123-D123)*(1+G123)*((7-1)/(MaxLevel-1))^(2^F123)))</f>
        <v/>
      </c>
      <c r="O123" s="12" t="str">
        <f>IF(OR(D123="",E123=""),"",IF(IFERROR(INDEX(Stats!$D:$D,MATCH($C123,Stats!$A:$A,0)),FALSE),ROUND(D123+(E123-D123)*(1+G123)*((8-1)/(MaxLevel-1))^(2^F123),0),D123+(E123-D123)*(1+G123)*((8-1)/(MaxLevel-1))^(2^F123)))</f>
        <v/>
      </c>
      <c r="P123" s="12" t="str">
        <f>IF(OR(D123="",E123=""),"",IF(IFERROR(INDEX(Stats!$D:$D,MATCH($C123,Stats!$A:$A,0)),FALSE),ROUND(D123+(E123-D123)*(1+G123)*((9-1)/(MaxLevel-1))^(2^F123),0),D123+(E123-D123)*(1+G123)*((9-1)/(MaxLevel-1))^(2^F123)))</f>
        <v/>
      </c>
      <c r="Q123" s="12" t="str">
        <f>IF(OR(D123="",E123=""),"",IF(IFERROR(INDEX(Stats!$D:$D,MATCH($C123,Stats!$A:$A,0)),FALSE),ROUND(D123+(E123-D123)*(1+G123)*((10-1)/(MaxLevel-1))^(2^F123),0),D123+(E123-D123)*(1+G123)*((10-1)/(MaxLevel-1))^(2^F123)))</f>
        <v/>
      </c>
    </row>
    <row r="124" spans="1:17" x14ac:dyDescent="0.25">
      <c r="A124" s="4" t="s">
        <v>185</v>
      </c>
      <c r="B124" s="19" t="s">
        <v>222</v>
      </c>
      <c r="C124" s="4" t="s">
        <v>40</v>
      </c>
      <c r="D124" s="5"/>
      <c r="E124" s="5"/>
      <c r="F124" s="5"/>
      <c r="G124" s="5"/>
      <c r="H124" s="12" t="str">
        <f>IF(OR(D124="",E124=""),"",IF(IFERROR(INDEX(Stats!$D:$D,MATCH($C124,Stats!$A:$A,0)),FALSE),ROUND(D124+(E124-D124)*(1+G124)*((1-1)/(MaxLevel-1))^(2^F124),0),D124+(E124-D124)*(1+G124)*((1-1)/(MaxLevel-1))^(2^F124)))</f>
        <v/>
      </c>
      <c r="I124" s="12" t="str">
        <f>IF(OR(D124="",E124=""),"",IF(IFERROR(INDEX(Stats!$D:$D,MATCH($C124,Stats!$A:$A,0)),FALSE),ROUND(D124+(E124-D124)*(1+G124)*((2-1)/(MaxLevel-1))^(2^F124),0),D124+(E124-D124)*(1+G124)*((2-1)/(MaxLevel-1))^(2^F124)))</f>
        <v/>
      </c>
      <c r="J124" s="12" t="str">
        <f>IF(OR(D124="",E124=""),"",IF(IFERROR(INDEX(Stats!$D:$D,MATCH($C124,Stats!$A:$A,0)),FALSE),ROUND(D124+(E124-D124)*(1+G124)*((3-1)/(MaxLevel-1))^(2^F124),0),D124+(E124-D124)*(1+G124)*((3-1)/(MaxLevel-1))^(2^F124)))</f>
        <v/>
      </c>
      <c r="K124" s="12" t="str">
        <f>IF(OR(D124="",E124=""),"",IF(IFERROR(INDEX(Stats!$D:$D,MATCH($C124,Stats!$A:$A,0)),FALSE),ROUND(D124+(E124-D124)*(1+G124)*((4-1)/(MaxLevel-1))^(2^F124),0),D124+(E124-D124)*(1+G124)*((4-1)/(MaxLevel-1))^(2^F124)))</f>
        <v/>
      </c>
      <c r="L124" s="12" t="str">
        <f>IF(OR(D124="",E124=""),"",IF(IFERROR(INDEX(Stats!$D:$D,MATCH($C124,Stats!$A:$A,0)),FALSE),ROUND(D124+(E124-D124)*(1+G124)*((5-1)/(MaxLevel-1))^(2^F124),0),D124+(E124-D124)*(1+G124)*((5-1)/(MaxLevel-1))^(2^F124)))</f>
        <v/>
      </c>
      <c r="M124" s="12" t="str">
        <f>IF(OR(D124="",E124=""),"",IF(IFERROR(INDEX(Stats!$D:$D,MATCH($C124,Stats!$A:$A,0)),FALSE),ROUND(D124+(E124-D124)*(1+G124)*((6-1)/(MaxLevel-1))^(2^F124),0),D124+(E124-D124)*(1+G124)*((6-1)/(MaxLevel-1))^(2^F124)))</f>
        <v/>
      </c>
      <c r="N124" s="12" t="str">
        <f>IF(OR(D124="",E124=""),"",IF(IFERROR(INDEX(Stats!$D:$D,MATCH($C124,Stats!$A:$A,0)),FALSE),ROUND(D124+(E124-D124)*(1+G124)*((7-1)/(MaxLevel-1))^(2^F124),0),D124+(E124-D124)*(1+G124)*((7-1)/(MaxLevel-1))^(2^F124)))</f>
        <v/>
      </c>
      <c r="O124" s="12" t="str">
        <f>IF(OR(D124="",E124=""),"",IF(IFERROR(INDEX(Stats!$D:$D,MATCH($C124,Stats!$A:$A,0)),FALSE),ROUND(D124+(E124-D124)*(1+G124)*((8-1)/(MaxLevel-1))^(2^F124),0),D124+(E124-D124)*(1+G124)*((8-1)/(MaxLevel-1))^(2^F124)))</f>
        <v/>
      </c>
      <c r="P124" s="12" t="str">
        <f>IF(OR(D124="",E124=""),"",IF(IFERROR(INDEX(Stats!$D:$D,MATCH($C124,Stats!$A:$A,0)),FALSE),ROUND(D124+(E124-D124)*(1+G124)*((9-1)/(MaxLevel-1))^(2^F124),0),D124+(E124-D124)*(1+G124)*((9-1)/(MaxLevel-1))^(2^F124)))</f>
        <v/>
      </c>
      <c r="Q124" s="12" t="str">
        <f>IF(OR(D124="",E124=""),"",IF(IFERROR(INDEX(Stats!$D:$D,MATCH($C124,Stats!$A:$A,0)),FALSE),ROUND(D124+(E124-D124)*(1+G124)*((10-1)/(MaxLevel-1))^(2^F124),0),D124+(E124-D124)*(1+G124)*((10-1)/(MaxLevel-1))^(2^F124)))</f>
        <v/>
      </c>
    </row>
    <row r="125" spans="1:17" x14ac:dyDescent="0.25">
      <c r="A125" s="4" t="s">
        <v>185</v>
      </c>
      <c r="B125" s="19" t="s">
        <v>222</v>
      </c>
      <c r="C125" s="4" t="s">
        <v>42</v>
      </c>
      <c r="D125" s="5"/>
      <c r="E125" s="5"/>
      <c r="F125" s="5"/>
      <c r="G125" s="5"/>
      <c r="H125" s="12" t="str">
        <f>IF(OR(D125="",E125=""),"",IF(IFERROR(INDEX(Stats!$D:$D,MATCH($C125,Stats!$A:$A,0)),FALSE),ROUND(D125+(E125-D125)*(1+G125)*((1-1)/(MaxLevel-1))^(2^F125),0),D125+(E125-D125)*(1+G125)*((1-1)/(MaxLevel-1))^(2^F125)))</f>
        <v/>
      </c>
      <c r="I125" s="12" t="str">
        <f>IF(OR(D125="",E125=""),"",IF(IFERROR(INDEX(Stats!$D:$D,MATCH($C125,Stats!$A:$A,0)),FALSE),ROUND(D125+(E125-D125)*(1+G125)*((2-1)/(MaxLevel-1))^(2^F125),0),D125+(E125-D125)*(1+G125)*((2-1)/(MaxLevel-1))^(2^F125)))</f>
        <v/>
      </c>
      <c r="J125" s="12" t="str">
        <f>IF(OR(D125="",E125=""),"",IF(IFERROR(INDEX(Stats!$D:$D,MATCH($C125,Stats!$A:$A,0)),FALSE),ROUND(D125+(E125-D125)*(1+G125)*((3-1)/(MaxLevel-1))^(2^F125),0),D125+(E125-D125)*(1+G125)*((3-1)/(MaxLevel-1))^(2^F125)))</f>
        <v/>
      </c>
      <c r="K125" s="12" t="str">
        <f>IF(OR(D125="",E125=""),"",IF(IFERROR(INDEX(Stats!$D:$D,MATCH($C125,Stats!$A:$A,0)),FALSE),ROUND(D125+(E125-D125)*(1+G125)*((4-1)/(MaxLevel-1))^(2^F125),0),D125+(E125-D125)*(1+G125)*((4-1)/(MaxLevel-1))^(2^F125)))</f>
        <v/>
      </c>
      <c r="L125" s="12" t="str">
        <f>IF(OR(D125="",E125=""),"",IF(IFERROR(INDEX(Stats!$D:$D,MATCH($C125,Stats!$A:$A,0)),FALSE),ROUND(D125+(E125-D125)*(1+G125)*((5-1)/(MaxLevel-1))^(2^F125),0),D125+(E125-D125)*(1+G125)*((5-1)/(MaxLevel-1))^(2^F125)))</f>
        <v/>
      </c>
      <c r="M125" s="12" t="str">
        <f>IF(OR(D125="",E125=""),"",IF(IFERROR(INDEX(Stats!$D:$D,MATCH($C125,Stats!$A:$A,0)),FALSE),ROUND(D125+(E125-D125)*(1+G125)*((6-1)/(MaxLevel-1))^(2^F125),0),D125+(E125-D125)*(1+G125)*((6-1)/(MaxLevel-1))^(2^F125)))</f>
        <v/>
      </c>
      <c r="N125" s="12" t="str">
        <f>IF(OR(D125="",E125=""),"",IF(IFERROR(INDEX(Stats!$D:$D,MATCH($C125,Stats!$A:$A,0)),FALSE),ROUND(D125+(E125-D125)*(1+G125)*((7-1)/(MaxLevel-1))^(2^F125),0),D125+(E125-D125)*(1+G125)*((7-1)/(MaxLevel-1))^(2^F125)))</f>
        <v/>
      </c>
      <c r="O125" s="12" t="str">
        <f>IF(OR(D125="",E125=""),"",IF(IFERROR(INDEX(Stats!$D:$D,MATCH($C125,Stats!$A:$A,0)),FALSE),ROUND(D125+(E125-D125)*(1+G125)*((8-1)/(MaxLevel-1))^(2^F125),0),D125+(E125-D125)*(1+G125)*((8-1)/(MaxLevel-1))^(2^F125)))</f>
        <v/>
      </c>
      <c r="P125" s="12" t="str">
        <f>IF(OR(D125="",E125=""),"",IF(IFERROR(INDEX(Stats!$D:$D,MATCH($C125,Stats!$A:$A,0)),FALSE),ROUND(D125+(E125-D125)*(1+G125)*((9-1)/(MaxLevel-1))^(2^F125),0),D125+(E125-D125)*(1+G125)*((9-1)/(MaxLevel-1))^(2^F125)))</f>
        <v/>
      </c>
      <c r="Q125" s="12" t="str">
        <f>IF(OR(D125="",E125=""),"",IF(IFERROR(INDEX(Stats!$D:$D,MATCH($C125,Stats!$A:$A,0)),FALSE),ROUND(D125+(E125-D125)*(1+G125)*((10-1)/(MaxLevel-1))^(2^F125),0),D125+(E125-D125)*(1+G125)*((10-1)/(MaxLevel-1))^(2^F125)))</f>
        <v/>
      </c>
    </row>
    <row r="126" spans="1:17" x14ac:dyDescent="0.25">
      <c r="A126" s="4" t="s">
        <v>185</v>
      </c>
      <c r="B126" s="19" t="s">
        <v>222</v>
      </c>
      <c r="C126" s="4" t="s">
        <v>44</v>
      </c>
      <c r="D126" s="5"/>
      <c r="E126" s="5"/>
      <c r="F126" s="5"/>
      <c r="G126" s="5"/>
      <c r="H126" s="12" t="str">
        <f>IF(OR(D126="",E126=""),"",IF(IFERROR(INDEX(Stats!$D:$D,MATCH($C126,Stats!$A:$A,0)),FALSE),ROUND(D126+(E126-D126)*(1+G126)*((1-1)/(MaxLevel-1))^(2^F126),0),D126+(E126-D126)*(1+G126)*((1-1)/(MaxLevel-1))^(2^F126)))</f>
        <v/>
      </c>
      <c r="I126" s="12" t="str">
        <f>IF(OR(D126="",E126=""),"",IF(IFERROR(INDEX(Stats!$D:$D,MATCH($C126,Stats!$A:$A,0)),FALSE),ROUND(D126+(E126-D126)*(1+G126)*((2-1)/(MaxLevel-1))^(2^F126),0),D126+(E126-D126)*(1+G126)*((2-1)/(MaxLevel-1))^(2^F126)))</f>
        <v/>
      </c>
      <c r="J126" s="12" t="str">
        <f>IF(OR(D126="",E126=""),"",IF(IFERROR(INDEX(Stats!$D:$D,MATCH($C126,Stats!$A:$A,0)),FALSE),ROUND(D126+(E126-D126)*(1+G126)*((3-1)/(MaxLevel-1))^(2^F126),0),D126+(E126-D126)*(1+G126)*((3-1)/(MaxLevel-1))^(2^F126)))</f>
        <v/>
      </c>
      <c r="K126" s="12" t="str">
        <f>IF(OR(D126="",E126=""),"",IF(IFERROR(INDEX(Stats!$D:$D,MATCH($C126,Stats!$A:$A,0)),FALSE),ROUND(D126+(E126-D126)*(1+G126)*((4-1)/(MaxLevel-1))^(2^F126),0),D126+(E126-D126)*(1+G126)*((4-1)/(MaxLevel-1))^(2^F126)))</f>
        <v/>
      </c>
      <c r="L126" s="12" t="str">
        <f>IF(OR(D126="",E126=""),"",IF(IFERROR(INDEX(Stats!$D:$D,MATCH($C126,Stats!$A:$A,0)),FALSE),ROUND(D126+(E126-D126)*(1+G126)*((5-1)/(MaxLevel-1))^(2^F126),0),D126+(E126-D126)*(1+G126)*((5-1)/(MaxLevel-1))^(2^F126)))</f>
        <v/>
      </c>
      <c r="M126" s="12" t="str">
        <f>IF(OR(D126="",E126=""),"",IF(IFERROR(INDEX(Stats!$D:$D,MATCH($C126,Stats!$A:$A,0)),FALSE),ROUND(D126+(E126-D126)*(1+G126)*((6-1)/(MaxLevel-1))^(2^F126),0),D126+(E126-D126)*(1+G126)*((6-1)/(MaxLevel-1))^(2^F126)))</f>
        <v/>
      </c>
      <c r="N126" s="12" t="str">
        <f>IF(OR(D126="",E126=""),"",IF(IFERROR(INDEX(Stats!$D:$D,MATCH($C126,Stats!$A:$A,0)),FALSE),ROUND(D126+(E126-D126)*(1+G126)*((7-1)/(MaxLevel-1))^(2^F126),0),D126+(E126-D126)*(1+G126)*((7-1)/(MaxLevel-1))^(2^F126)))</f>
        <v/>
      </c>
      <c r="O126" s="12" t="str">
        <f>IF(OR(D126="",E126=""),"",IF(IFERROR(INDEX(Stats!$D:$D,MATCH($C126,Stats!$A:$A,0)),FALSE),ROUND(D126+(E126-D126)*(1+G126)*((8-1)/(MaxLevel-1))^(2^F126),0),D126+(E126-D126)*(1+G126)*((8-1)/(MaxLevel-1))^(2^F126)))</f>
        <v/>
      </c>
      <c r="P126" s="12" t="str">
        <f>IF(OR(D126="",E126=""),"",IF(IFERROR(INDEX(Stats!$D:$D,MATCH($C126,Stats!$A:$A,0)),FALSE),ROUND(D126+(E126-D126)*(1+G126)*((9-1)/(MaxLevel-1))^(2^F126),0),D126+(E126-D126)*(1+G126)*((9-1)/(MaxLevel-1))^(2^F126)))</f>
        <v/>
      </c>
      <c r="Q126" s="12" t="str">
        <f>IF(OR(D126="",E126=""),"",IF(IFERROR(INDEX(Stats!$D:$D,MATCH($C126,Stats!$A:$A,0)),FALSE),ROUND(D126+(E126-D126)*(1+G126)*((10-1)/(MaxLevel-1))^(2^F126),0),D126+(E126-D126)*(1+G126)*((10-1)/(MaxLevel-1))^(2^F126)))</f>
        <v/>
      </c>
    </row>
    <row r="127" spans="1:17" x14ac:dyDescent="0.25">
      <c r="A127" s="4" t="s">
        <v>185</v>
      </c>
      <c r="B127" s="19" t="s">
        <v>222</v>
      </c>
      <c r="C127" s="4" t="s">
        <v>46</v>
      </c>
      <c r="D127" s="5">
        <v>300</v>
      </c>
      <c r="E127" s="5">
        <v>320</v>
      </c>
      <c r="F127" s="5">
        <v>0</v>
      </c>
      <c r="G127" s="5">
        <v>0</v>
      </c>
      <c r="H127" s="12">
        <f>IF(OR(D127="",E127=""),"",IF(IFERROR(INDEX(Stats!$D:$D,MATCH($C127,Stats!$A:$A,0)),FALSE),ROUND(D127+(E127-D127)*(1+G127)*((1-1)/(MaxLevel-1))^(2^F127),0),D127+(E127-D127)*(1+G127)*((1-1)/(MaxLevel-1))^(2^F127)))</f>
        <v>300</v>
      </c>
      <c r="I127" s="12">
        <f>IF(OR(D127="",E127=""),"",IF(IFERROR(INDEX(Stats!$D:$D,MATCH($C127,Stats!$A:$A,0)),FALSE),ROUND(D127+(E127-D127)*(1+G127)*((2-1)/(MaxLevel-1))^(2^F127),0),D127+(E127-D127)*(1+G127)*((2-1)/(MaxLevel-1))^(2^F127)))</f>
        <v>302.22222222222223</v>
      </c>
      <c r="J127" s="12">
        <f>IF(OR(D127="",E127=""),"",IF(IFERROR(INDEX(Stats!$D:$D,MATCH($C127,Stats!$A:$A,0)),FALSE),ROUND(D127+(E127-D127)*(1+G127)*((3-1)/(MaxLevel-1))^(2^F127),0),D127+(E127-D127)*(1+G127)*((3-1)/(MaxLevel-1))^(2^F127)))</f>
        <v>304.44444444444446</v>
      </c>
      <c r="K127" s="12">
        <f>IF(OR(D127="",E127=""),"",IF(IFERROR(INDEX(Stats!$D:$D,MATCH($C127,Stats!$A:$A,0)),FALSE),ROUND(D127+(E127-D127)*(1+G127)*((4-1)/(MaxLevel-1))^(2^F127),0),D127+(E127-D127)*(1+G127)*((4-1)/(MaxLevel-1))^(2^F127)))</f>
        <v>306.66666666666669</v>
      </c>
      <c r="L127" s="12">
        <f>IF(OR(D127="",E127=""),"",IF(IFERROR(INDEX(Stats!$D:$D,MATCH($C127,Stats!$A:$A,0)),FALSE),ROUND(D127+(E127-D127)*(1+G127)*((5-1)/(MaxLevel-1))^(2^F127),0),D127+(E127-D127)*(1+G127)*((5-1)/(MaxLevel-1))^(2^F127)))</f>
        <v>308.88888888888891</v>
      </c>
      <c r="M127" s="12">
        <f>IF(OR(D127="",E127=""),"",IF(IFERROR(INDEX(Stats!$D:$D,MATCH($C127,Stats!$A:$A,0)),FALSE),ROUND(D127+(E127-D127)*(1+G127)*((6-1)/(MaxLevel-1))^(2^F127),0),D127+(E127-D127)*(1+G127)*((6-1)/(MaxLevel-1))^(2^F127)))</f>
        <v>311.11111111111109</v>
      </c>
      <c r="N127" s="12">
        <f>IF(OR(D127="",E127=""),"",IF(IFERROR(INDEX(Stats!$D:$D,MATCH($C127,Stats!$A:$A,0)),FALSE),ROUND(D127+(E127-D127)*(1+G127)*((7-1)/(MaxLevel-1))^(2^F127),0),D127+(E127-D127)*(1+G127)*((7-1)/(MaxLevel-1))^(2^F127)))</f>
        <v>313.33333333333331</v>
      </c>
      <c r="O127" s="12">
        <f>IF(OR(D127="",E127=""),"",IF(IFERROR(INDEX(Stats!$D:$D,MATCH($C127,Stats!$A:$A,0)),FALSE),ROUND(D127+(E127-D127)*(1+G127)*((8-1)/(MaxLevel-1))^(2^F127),0),D127+(E127-D127)*(1+G127)*((8-1)/(MaxLevel-1))^(2^F127)))</f>
        <v>315.55555555555554</v>
      </c>
      <c r="P127" s="12">
        <f>IF(OR(D127="",E127=""),"",IF(IFERROR(INDEX(Stats!$D:$D,MATCH($C127,Stats!$A:$A,0)),FALSE),ROUND(D127+(E127-D127)*(1+G127)*((9-1)/(MaxLevel-1))^(2^F127),0),D127+(E127-D127)*(1+G127)*((9-1)/(MaxLevel-1))^(2^F127)))</f>
        <v>317.77777777777777</v>
      </c>
      <c r="Q127" s="12">
        <f>IF(OR(D127="",E127=""),"",IF(IFERROR(INDEX(Stats!$D:$D,MATCH($C127,Stats!$A:$A,0)),FALSE),ROUND(D127+(E127-D127)*(1+G127)*((10-1)/(MaxLevel-1))^(2^F127),0),D127+(E127-D127)*(1+G127)*((10-1)/(MaxLevel-1))^(2^F127)))</f>
        <v>320</v>
      </c>
    </row>
    <row r="128" spans="1:17" x14ac:dyDescent="0.25">
      <c r="A128" s="4" t="s">
        <v>185</v>
      </c>
      <c r="B128" s="19" t="s">
        <v>222</v>
      </c>
      <c r="C128" s="4" t="s">
        <v>48</v>
      </c>
      <c r="D128" s="5"/>
      <c r="E128" s="5"/>
      <c r="F128" s="5"/>
      <c r="G128" s="5"/>
      <c r="H128" s="12" t="str">
        <f>IF(OR(D128="",E128=""),"",IF(IFERROR(INDEX(Stats!$D:$D,MATCH($C128,Stats!$A:$A,0)),FALSE),ROUND(D128+(E128-D128)*(1+G128)*((1-1)/(MaxLevel-1))^(2^F128),0),D128+(E128-D128)*(1+G128)*((1-1)/(MaxLevel-1))^(2^F128)))</f>
        <v/>
      </c>
      <c r="I128" s="12" t="str">
        <f>IF(OR(D128="",E128=""),"",IF(IFERROR(INDEX(Stats!$D:$D,MATCH($C128,Stats!$A:$A,0)),FALSE),ROUND(D128+(E128-D128)*(1+G128)*((2-1)/(MaxLevel-1))^(2^F128),0),D128+(E128-D128)*(1+G128)*((2-1)/(MaxLevel-1))^(2^F128)))</f>
        <v/>
      </c>
      <c r="J128" s="12" t="str">
        <f>IF(OR(D128="",E128=""),"",IF(IFERROR(INDEX(Stats!$D:$D,MATCH($C128,Stats!$A:$A,0)),FALSE),ROUND(D128+(E128-D128)*(1+G128)*((3-1)/(MaxLevel-1))^(2^F128),0),D128+(E128-D128)*(1+G128)*((3-1)/(MaxLevel-1))^(2^F128)))</f>
        <v/>
      </c>
      <c r="K128" s="12" t="str">
        <f>IF(OR(D128="",E128=""),"",IF(IFERROR(INDEX(Stats!$D:$D,MATCH($C128,Stats!$A:$A,0)),FALSE),ROUND(D128+(E128-D128)*(1+G128)*((4-1)/(MaxLevel-1))^(2^F128),0),D128+(E128-D128)*(1+G128)*((4-1)/(MaxLevel-1))^(2^F128)))</f>
        <v/>
      </c>
      <c r="L128" s="12" t="str">
        <f>IF(OR(D128="",E128=""),"",IF(IFERROR(INDEX(Stats!$D:$D,MATCH($C128,Stats!$A:$A,0)),FALSE),ROUND(D128+(E128-D128)*(1+G128)*((5-1)/(MaxLevel-1))^(2^F128),0),D128+(E128-D128)*(1+G128)*((5-1)/(MaxLevel-1))^(2^F128)))</f>
        <v/>
      </c>
      <c r="M128" s="12" t="str">
        <f>IF(OR(D128="",E128=""),"",IF(IFERROR(INDEX(Stats!$D:$D,MATCH($C128,Stats!$A:$A,0)),FALSE),ROUND(D128+(E128-D128)*(1+G128)*((6-1)/(MaxLevel-1))^(2^F128),0),D128+(E128-D128)*(1+G128)*((6-1)/(MaxLevel-1))^(2^F128)))</f>
        <v/>
      </c>
      <c r="N128" s="12" t="str">
        <f>IF(OR(D128="",E128=""),"",IF(IFERROR(INDEX(Stats!$D:$D,MATCH($C128,Stats!$A:$A,0)),FALSE),ROUND(D128+(E128-D128)*(1+G128)*((7-1)/(MaxLevel-1))^(2^F128),0),D128+(E128-D128)*(1+G128)*((7-1)/(MaxLevel-1))^(2^F128)))</f>
        <v/>
      </c>
      <c r="O128" s="12" t="str">
        <f>IF(OR(D128="",E128=""),"",IF(IFERROR(INDEX(Stats!$D:$D,MATCH($C128,Stats!$A:$A,0)),FALSE),ROUND(D128+(E128-D128)*(1+G128)*((8-1)/(MaxLevel-1))^(2^F128),0),D128+(E128-D128)*(1+G128)*((8-1)/(MaxLevel-1))^(2^F128)))</f>
        <v/>
      </c>
      <c r="P128" s="12" t="str">
        <f>IF(OR(D128="",E128=""),"",IF(IFERROR(INDEX(Stats!$D:$D,MATCH($C128,Stats!$A:$A,0)),FALSE),ROUND(D128+(E128-D128)*(1+G128)*((9-1)/(MaxLevel-1))^(2^F128),0),D128+(E128-D128)*(1+G128)*((9-1)/(MaxLevel-1))^(2^F128)))</f>
        <v/>
      </c>
      <c r="Q128" s="12" t="str">
        <f>IF(OR(D128="",E128=""),"",IF(IFERROR(INDEX(Stats!$D:$D,MATCH($C128,Stats!$A:$A,0)),FALSE),ROUND(D128+(E128-D128)*(1+G128)*((10-1)/(MaxLevel-1))^(2^F128),0),D128+(E128-D128)*(1+G128)*((10-1)/(MaxLevel-1))^(2^F128)))</f>
        <v/>
      </c>
    </row>
    <row r="129" spans="1:17" x14ac:dyDescent="0.25">
      <c r="A129" s="4" t="s">
        <v>185</v>
      </c>
      <c r="B129" s="19" t="s">
        <v>222</v>
      </c>
      <c r="C129" s="4" t="s">
        <v>50</v>
      </c>
      <c r="D129" s="5"/>
      <c r="E129" s="5"/>
      <c r="F129" s="5"/>
      <c r="G129" s="5"/>
      <c r="H129" s="12" t="str">
        <f>IF(OR(D129="",E129=""),"",IF(IFERROR(INDEX(Stats!$D:$D,MATCH($C129,Stats!$A:$A,0)),FALSE),ROUND(D129+(E129-D129)*(1+G129)*((1-1)/(MaxLevel-1))^(2^F129),0),D129+(E129-D129)*(1+G129)*((1-1)/(MaxLevel-1))^(2^F129)))</f>
        <v/>
      </c>
      <c r="I129" s="12" t="str">
        <f>IF(OR(D129="",E129=""),"",IF(IFERROR(INDEX(Stats!$D:$D,MATCH($C129,Stats!$A:$A,0)),FALSE),ROUND(D129+(E129-D129)*(1+G129)*((2-1)/(MaxLevel-1))^(2^F129),0),D129+(E129-D129)*(1+G129)*((2-1)/(MaxLevel-1))^(2^F129)))</f>
        <v/>
      </c>
      <c r="J129" s="12" t="str">
        <f>IF(OR(D129="",E129=""),"",IF(IFERROR(INDEX(Stats!$D:$D,MATCH($C129,Stats!$A:$A,0)),FALSE),ROUND(D129+(E129-D129)*(1+G129)*((3-1)/(MaxLevel-1))^(2^F129),0),D129+(E129-D129)*(1+G129)*((3-1)/(MaxLevel-1))^(2^F129)))</f>
        <v/>
      </c>
      <c r="K129" s="12" t="str">
        <f>IF(OR(D129="",E129=""),"",IF(IFERROR(INDEX(Stats!$D:$D,MATCH($C129,Stats!$A:$A,0)),FALSE),ROUND(D129+(E129-D129)*(1+G129)*((4-1)/(MaxLevel-1))^(2^F129),0),D129+(E129-D129)*(1+G129)*((4-1)/(MaxLevel-1))^(2^F129)))</f>
        <v/>
      </c>
      <c r="L129" s="12" t="str">
        <f>IF(OR(D129="",E129=""),"",IF(IFERROR(INDEX(Stats!$D:$D,MATCH($C129,Stats!$A:$A,0)),FALSE),ROUND(D129+(E129-D129)*(1+G129)*((5-1)/(MaxLevel-1))^(2^F129),0),D129+(E129-D129)*(1+G129)*((5-1)/(MaxLevel-1))^(2^F129)))</f>
        <v/>
      </c>
      <c r="M129" s="12" t="str">
        <f>IF(OR(D129="",E129=""),"",IF(IFERROR(INDEX(Stats!$D:$D,MATCH($C129,Stats!$A:$A,0)),FALSE),ROUND(D129+(E129-D129)*(1+G129)*((6-1)/(MaxLevel-1))^(2^F129),0),D129+(E129-D129)*(1+G129)*((6-1)/(MaxLevel-1))^(2^F129)))</f>
        <v/>
      </c>
      <c r="N129" s="12" t="str">
        <f>IF(OR(D129="",E129=""),"",IF(IFERROR(INDEX(Stats!$D:$D,MATCH($C129,Stats!$A:$A,0)),FALSE),ROUND(D129+(E129-D129)*(1+G129)*((7-1)/(MaxLevel-1))^(2^F129),0),D129+(E129-D129)*(1+G129)*((7-1)/(MaxLevel-1))^(2^F129)))</f>
        <v/>
      </c>
      <c r="O129" s="12" t="str">
        <f>IF(OR(D129="",E129=""),"",IF(IFERROR(INDEX(Stats!$D:$D,MATCH($C129,Stats!$A:$A,0)),FALSE),ROUND(D129+(E129-D129)*(1+G129)*((8-1)/(MaxLevel-1))^(2^F129),0),D129+(E129-D129)*(1+G129)*((8-1)/(MaxLevel-1))^(2^F129)))</f>
        <v/>
      </c>
      <c r="P129" s="12" t="str">
        <f>IF(OR(D129="",E129=""),"",IF(IFERROR(INDEX(Stats!$D:$D,MATCH($C129,Stats!$A:$A,0)),FALSE),ROUND(D129+(E129-D129)*(1+G129)*((9-1)/(MaxLevel-1))^(2^F129),0),D129+(E129-D129)*(1+G129)*((9-1)/(MaxLevel-1))^(2^F129)))</f>
        <v/>
      </c>
      <c r="Q129" s="12" t="str">
        <f>IF(OR(D129="",E129=""),"",IF(IFERROR(INDEX(Stats!$D:$D,MATCH($C129,Stats!$A:$A,0)),FALSE),ROUND(D129+(E129-D129)*(1+G129)*((10-1)/(MaxLevel-1))^(2^F129),0),D129+(E129-D129)*(1+G129)*((10-1)/(MaxLevel-1))^(2^F129)))</f>
        <v/>
      </c>
    </row>
    <row r="130" spans="1:17" x14ac:dyDescent="0.25">
      <c r="A130" s="4" t="s">
        <v>185</v>
      </c>
      <c r="B130" s="19" t="s">
        <v>222</v>
      </c>
      <c r="C130" s="4" t="s">
        <v>52</v>
      </c>
      <c r="D130" s="5"/>
      <c r="E130" s="5"/>
      <c r="F130" s="5"/>
      <c r="G130" s="5"/>
      <c r="H130" s="12" t="str">
        <f>IF(OR(D130="",E130=""),"",IF(IFERROR(INDEX(Stats!$D:$D,MATCH($C130,Stats!$A:$A,0)),FALSE),ROUND(D130+(E130-D130)*(1+G130)*((1-1)/(MaxLevel-1))^(2^F130),0),D130+(E130-D130)*(1+G130)*((1-1)/(MaxLevel-1))^(2^F130)))</f>
        <v/>
      </c>
      <c r="I130" s="12" t="str">
        <f>IF(OR(D130="",E130=""),"",IF(IFERROR(INDEX(Stats!$D:$D,MATCH($C130,Stats!$A:$A,0)),FALSE),ROUND(D130+(E130-D130)*(1+G130)*((2-1)/(MaxLevel-1))^(2^F130),0),D130+(E130-D130)*(1+G130)*((2-1)/(MaxLevel-1))^(2^F130)))</f>
        <v/>
      </c>
      <c r="J130" s="12" t="str">
        <f>IF(OR(D130="",E130=""),"",IF(IFERROR(INDEX(Stats!$D:$D,MATCH($C130,Stats!$A:$A,0)),FALSE),ROUND(D130+(E130-D130)*(1+G130)*((3-1)/(MaxLevel-1))^(2^F130),0),D130+(E130-D130)*(1+G130)*((3-1)/(MaxLevel-1))^(2^F130)))</f>
        <v/>
      </c>
      <c r="K130" s="12" t="str">
        <f>IF(OR(D130="",E130=""),"",IF(IFERROR(INDEX(Stats!$D:$D,MATCH($C130,Stats!$A:$A,0)),FALSE),ROUND(D130+(E130-D130)*(1+G130)*((4-1)/(MaxLevel-1))^(2^F130),0),D130+(E130-D130)*(1+G130)*((4-1)/(MaxLevel-1))^(2^F130)))</f>
        <v/>
      </c>
      <c r="L130" s="12" t="str">
        <f>IF(OR(D130="",E130=""),"",IF(IFERROR(INDEX(Stats!$D:$D,MATCH($C130,Stats!$A:$A,0)),FALSE),ROUND(D130+(E130-D130)*(1+G130)*((5-1)/(MaxLevel-1))^(2^F130),0),D130+(E130-D130)*(1+G130)*((5-1)/(MaxLevel-1))^(2^F130)))</f>
        <v/>
      </c>
      <c r="M130" s="12" t="str">
        <f>IF(OR(D130="",E130=""),"",IF(IFERROR(INDEX(Stats!$D:$D,MATCH($C130,Stats!$A:$A,0)),FALSE),ROUND(D130+(E130-D130)*(1+G130)*((6-1)/(MaxLevel-1))^(2^F130),0),D130+(E130-D130)*(1+G130)*((6-1)/(MaxLevel-1))^(2^F130)))</f>
        <v/>
      </c>
      <c r="N130" s="12" t="str">
        <f>IF(OR(D130="",E130=""),"",IF(IFERROR(INDEX(Stats!$D:$D,MATCH($C130,Stats!$A:$A,0)),FALSE),ROUND(D130+(E130-D130)*(1+G130)*((7-1)/(MaxLevel-1))^(2^F130),0),D130+(E130-D130)*(1+G130)*((7-1)/(MaxLevel-1))^(2^F130)))</f>
        <v/>
      </c>
      <c r="O130" s="12" t="str">
        <f>IF(OR(D130="",E130=""),"",IF(IFERROR(INDEX(Stats!$D:$D,MATCH($C130,Stats!$A:$A,0)),FALSE),ROUND(D130+(E130-D130)*(1+G130)*((8-1)/(MaxLevel-1))^(2^F130),0),D130+(E130-D130)*(1+G130)*((8-1)/(MaxLevel-1))^(2^F130)))</f>
        <v/>
      </c>
      <c r="P130" s="12" t="str">
        <f>IF(OR(D130="",E130=""),"",IF(IFERROR(INDEX(Stats!$D:$D,MATCH($C130,Stats!$A:$A,0)),FALSE),ROUND(D130+(E130-D130)*(1+G130)*((9-1)/(MaxLevel-1))^(2^F130),0),D130+(E130-D130)*(1+G130)*((9-1)/(MaxLevel-1))^(2^F130)))</f>
        <v/>
      </c>
      <c r="Q130" s="12" t="str">
        <f>IF(OR(D130="",E130=""),"",IF(IFERROR(INDEX(Stats!$D:$D,MATCH($C130,Stats!$A:$A,0)),FALSE),ROUND(D130+(E130-D130)*(1+G130)*((10-1)/(MaxLevel-1))^(2^F130),0),D130+(E130-D130)*(1+G130)*((10-1)/(MaxLevel-1))^(2^F130)))</f>
        <v/>
      </c>
    </row>
    <row r="131" spans="1:17" x14ac:dyDescent="0.25">
      <c r="A131" s="4" t="s">
        <v>185</v>
      </c>
      <c r="B131" s="19" t="s">
        <v>222</v>
      </c>
      <c r="C131" s="4" t="s">
        <v>54</v>
      </c>
      <c r="D131" s="5"/>
      <c r="E131" s="5"/>
      <c r="F131" s="5"/>
      <c r="G131" s="5"/>
      <c r="H131" s="12" t="str">
        <f>IF(OR(D131="",E131=""),"",IF(IFERROR(INDEX(Stats!$D:$D,MATCH($C131,Stats!$A:$A,0)),FALSE),ROUND(D131+(E131-D131)*(1+G131)*((1-1)/(MaxLevel-1))^(2^F131),0),D131+(E131-D131)*(1+G131)*((1-1)/(MaxLevel-1))^(2^F131)))</f>
        <v/>
      </c>
      <c r="I131" s="12" t="str">
        <f>IF(OR(D131="",E131=""),"",IF(IFERROR(INDEX(Stats!$D:$D,MATCH($C131,Stats!$A:$A,0)),FALSE),ROUND(D131+(E131-D131)*(1+G131)*((2-1)/(MaxLevel-1))^(2^F131),0),D131+(E131-D131)*(1+G131)*((2-1)/(MaxLevel-1))^(2^F131)))</f>
        <v/>
      </c>
      <c r="J131" s="12" t="str">
        <f>IF(OR(D131="",E131=""),"",IF(IFERROR(INDEX(Stats!$D:$D,MATCH($C131,Stats!$A:$A,0)),FALSE),ROUND(D131+(E131-D131)*(1+G131)*((3-1)/(MaxLevel-1))^(2^F131),0),D131+(E131-D131)*(1+G131)*((3-1)/(MaxLevel-1))^(2^F131)))</f>
        <v/>
      </c>
      <c r="K131" s="12" t="str">
        <f>IF(OR(D131="",E131=""),"",IF(IFERROR(INDEX(Stats!$D:$D,MATCH($C131,Stats!$A:$A,0)),FALSE),ROUND(D131+(E131-D131)*(1+G131)*((4-1)/(MaxLevel-1))^(2^F131),0),D131+(E131-D131)*(1+G131)*((4-1)/(MaxLevel-1))^(2^F131)))</f>
        <v/>
      </c>
      <c r="L131" s="12" t="str">
        <f>IF(OR(D131="",E131=""),"",IF(IFERROR(INDEX(Stats!$D:$D,MATCH($C131,Stats!$A:$A,0)),FALSE),ROUND(D131+(E131-D131)*(1+G131)*((5-1)/(MaxLevel-1))^(2^F131),0),D131+(E131-D131)*(1+G131)*((5-1)/(MaxLevel-1))^(2^F131)))</f>
        <v/>
      </c>
      <c r="M131" s="12" t="str">
        <f>IF(OR(D131="",E131=""),"",IF(IFERROR(INDEX(Stats!$D:$D,MATCH($C131,Stats!$A:$A,0)),FALSE),ROUND(D131+(E131-D131)*(1+G131)*((6-1)/(MaxLevel-1))^(2^F131),0),D131+(E131-D131)*(1+G131)*((6-1)/(MaxLevel-1))^(2^F131)))</f>
        <v/>
      </c>
      <c r="N131" s="12" t="str">
        <f>IF(OR(D131="",E131=""),"",IF(IFERROR(INDEX(Stats!$D:$D,MATCH($C131,Stats!$A:$A,0)),FALSE),ROUND(D131+(E131-D131)*(1+G131)*((7-1)/(MaxLevel-1))^(2^F131),0),D131+(E131-D131)*(1+G131)*((7-1)/(MaxLevel-1))^(2^F131)))</f>
        <v/>
      </c>
      <c r="O131" s="12" t="str">
        <f>IF(OR(D131="",E131=""),"",IF(IFERROR(INDEX(Stats!$D:$D,MATCH($C131,Stats!$A:$A,0)),FALSE),ROUND(D131+(E131-D131)*(1+G131)*((8-1)/(MaxLevel-1))^(2^F131),0),D131+(E131-D131)*(1+G131)*((8-1)/(MaxLevel-1))^(2^F131)))</f>
        <v/>
      </c>
      <c r="P131" s="12" t="str">
        <f>IF(OR(D131="",E131=""),"",IF(IFERROR(INDEX(Stats!$D:$D,MATCH($C131,Stats!$A:$A,0)),FALSE),ROUND(D131+(E131-D131)*(1+G131)*((9-1)/(MaxLevel-1))^(2^F131),0),D131+(E131-D131)*(1+G131)*((9-1)/(MaxLevel-1))^(2^F131)))</f>
        <v/>
      </c>
      <c r="Q131" s="12" t="str">
        <f>IF(OR(D131="",E131=""),"",IF(IFERROR(INDEX(Stats!$D:$D,MATCH($C131,Stats!$A:$A,0)),FALSE),ROUND(D131+(E131-D131)*(1+G131)*((10-1)/(MaxLevel-1))^(2^F131),0),D131+(E131-D131)*(1+G131)*((10-1)/(MaxLevel-1))^(2^F131)))</f>
        <v/>
      </c>
    </row>
    <row r="132" spans="1:17" x14ac:dyDescent="0.25">
      <c r="A132" s="4" t="s">
        <v>185</v>
      </c>
      <c r="B132" s="19" t="s">
        <v>222</v>
      </c>
      <c r="C132" s="4" t="s">
        <v>56</v>
      </c>
      <c r="D132" s="5"/>
      <c r="E132" s="5"/>
      <c r="F132" s="5"/>
      <c r="G132" s="5"/>
      <c r="H132" s="12" t="str">
        <f>IF(OR(D132="",E132=""),"",IF(IFERROR(INDEX(Stats!$D:$D,MATCH($C132,Stats!$A:$A,0)),FALSE),ROUND(D132+(E132-D132)*(1+G132)*((1-1)/(MaxLevel-1))^(2^F132),0),D132+(E132-D132)*(1+G132)*((1-1)/(MaxLevel-1))^(2^F132)))</f>
        <v/>
      </c>
      <c r="I132" s="12" t="str">
        <f>IF(OR(D132="",E132=""),"",IF(IFERROR(INDEX(Stats!$D:$D,MATCH($C132,Stats!$A:$A,0)),FALSE),ROUND(D132+(E132-D132)*(1+G132)*((2-1)/(MaxLevel-1))^(2^F132),0),D132+(E132-D132)*(1+G132)*((2-1)/(MaxLevel-1))^(2^F132)))</f>
        <v/>
      </c>
      <c r="J132" s="12" t="str">
        <f>IF(OR(D132="",E132=""),"",IF(IFERROR(INDEX(Stats!$D:$D,MATCH($C132,Stats!$A:$A,0)),FALSE),ROUND(D132+(E132-D132)*(1+G132)*((3-1)/(MaxLevel-1))^(2^F132),0),D132+(E132-D132)*(1+G132)*((3-1)/(MaxLevel-1))^(2^F132)))</f>
        <v/>
      </c>
      <c r="K132" s="12" t="str">
        <f>IF(OR(D132="",E132=""),"",IF(IFERROR(INDEX(Stats!$D:$D,MATCH($C132,Stats!$A:$A,0)),FALSE),ROUND(D132+(E132-D132)*(1+G132)*((4-1)/(MaxLevel-1))^(2^F132),0),D132+(E132-D132)*(1+G132)*((4-1)/(MaxLevel-1))^(2^F132)))</f>
        <v/>
      </c>
      <c r="L132" s="12" t="str">
        <f>IF(OR(D132="",E132=""),"",IF(IFERROR(INDEX(Stats!$D:$D,MATCH($C132,Stats!$A:$A,0)),FALSE),ROUND(D132+(E132-D132)*(1+G132)*((5-1)/(MaxLevel-1))^(2^F132),0),D132+(E132-D132)*(1+G132)*((5-1)/(MaxLevel-1))^(2^F132)))</f>
        <v/>
      </c>
      <c r="M132" s="12" t="str">
        <f>IF(OR(D132="",E132=""),"",IF(IFERROR(INDEX(Stats!$D:$D,MATCH($C132,Stats!$A:$A,0)),FALSE),ROUND(D132+(E132-D132)*(1+G132)*((6-1)/(MaxLevel-1))^(2^F132),0),D132+(E132-D132)*(1+G132)*((6-1)/(MaxLevel-1))^(2^F132)))</f>
        <v/>
      </c>
      <c r="N132" s="12" t="str">
        <f>IF(OR(D132="",E132=""),"",IF(IFERROR(INDEX(Stats!$D:$D,MATCH($C132,Stats!$A:$A,0)),FALSE),ROUND(D132+(E132-D132)*(1+G132)*((7-1)/(MaxLevel-1))^(2^F132),0),D132+(E132-D132)*(1+G132)*((7-1)/(MaxLevel-1))^(2^F132)))</f>
        <v/>
      </c>
      <c r="O132" s="12" t="str">
        <f>IF(OR(D132="",E132=""),"",IF(IFERROR(INDEX(Stats!$D:$D,MATCH($C132,Stats!$A:$A,0)),FALSE),ROUND(D132+(E132-D132)*(1+G132)*((8-1)/(MaxLevel-1))^(2^F132),0),D132+(E132-D132)*(1+G132)*((8-1)/(MaxLevel-1))^(2^F132)))</f>
        <v/>
      </c>
      <c r="P132" s="12" t="str">
        <f>IF(OR(D132="",E132=""),"",IF(IFERROR(INDEX(Stats!$D:$D,MATCH($C132,Stats!$A:$A,0)),FALSE),ROUND(D132+(E132-D132)*(1+G132)*((9-1)/(MaxLevel-1))^(2^F132),0),D132+(E132-D132)*(1+G132)*((9-1)/(MaxLevel-1))^(2^F132)))</f>
        <v/>
      </c>
      <c r="Q132" s="12" t="str">
        <f>IF(OR(D132="",E132=""),"",IF(IFERROR(INDEX(Stats!$D:$D,MATCH($C132,Stats!$A:$A,0)),FALSE),ROUND(D132+(E132-D132)*(1+G132)*((10-1)/(MaxLevel-1))^(2^F132),0),D132+(E132-D132)*(1+G132)*((10-1)/(MaxLevel-1))^(2^F132)))</f>
        <v/>
      </c>
    </row>
    <row r="133" spans="1:17" x14ac:dyDescent="0.25">
      <c r="A133" s="4" t="s">
        <v>185</v>
      </c>
      <c r="B133" s="19" t="s">
        <v>222</v>
      </c>
      <c r="C133" s="4" t="s">
        <v>58</v>
      </c>
      <c r="D133" s="5"/>
      <c r="E133" s="5"/>
      <c r="F133" s="5"/>
      <c r="G133" s="5"/>
      <c r="H133" s="12" t="str">
        <f>IF(OR(D133="",E133=""),"",IF(IFERROR(INDEX(Stats!$D:$D,MATCH($C133,Stats!$A:$A,0)),FALSE),ROUND(D133+(E133-D133)*(1+G133)*((1-1)/(MaxLevel-1))^(2^F133),0),D133+(E133-D133)*(1+G133)*((1-1)/(MaxLevel-1))^(2^F133)))</f>
        <v/>
      </c>
      <c r="I133" s="12" t="str">
        <f>IF(OR(D133="",E133=""),"",IF(IFERROR(INDEX(Stats!$D:$D,MATCH($C133,Stats!$A:$A,0)),FALSE),ROUND(D133+(E133-D133)*(1+G133)*((2-1)/(MaxLevel-1))^(2^F133),0),D133+(E133-D133)*(1+G133)*((2-1)/(MaxLevel-1))^(2^F133)))</f>
        <v/>
      </c>
      <c r="J133" s="12" t="str">
        <f>IF(OR(D133="",E133=""),"",IF(IFERROR(INDEX(Stats!$D:$D,MATCH($C133,Stats!$A:$A,0)),FALSE),ROUND(D133+(E133-D133)*(1+G133)*((3-1)/(MaxLevel-1))^(2^F133),0),D133+(E133-D133)*(1+G133)*((3-1)/(MaxLevel-1))^(2^F133)))</f>
        <v/>
      </c>
      <c r="K133" s="12" t="str">
        <f>IF(OR(D133="",E133=""),"",IF(IFERROR(INDEX(Stats!$D:$D,MATCH($C133,Stats!$A:$A,0)),FALSE),ROUND(D133+(E133-D133)*(1+G133)*((4-1)/(MaxLevel-1))^(2^F133),0),D133+(E133-D133)*(1+G133)*((4-1)/(MaxLevel-1))^(2^F133)))</f>
        <v/>
      </c>
      <c r="L133" s="12" t="str">
        <f>IF(OR(D133="",E133=""),"",IF(IFERROR(INDEX(Stats!$D:$D,MATCH($C133,Stats!$A:$A,0)),FALSE),ROUND(D133+(E133-D133)*(1+G133)*((5-1)/(MaxLevel-1))^(2^F133),0),D133+(E133-D133)*(1+G133)*((5-1)/(MaxLevel-1))^(2^F133)))</f>
        <v/>
      </c>
      <c r="M133" s="12" t="str">
        <f>IF(OR(D133="",E133=""),"",IF(IFERROR(INDEX(Stats!$D:$D,MATCH($C133,Stats!$A:$A,0)),FALSE),ROUND(D133+(E133-D133)*(1+G133)*((6-1)/(MaxLevel-1))^(2^F133),0),D133+(E133-D133)*(1+G133)*((6-1)/(MaxLevel-1))^(2^F133)))</f>
        <v/>
      </c>
      <c r="N133" s="12" t="str">
        <f>IF(OR(D133="",E133=""),"",IF(IFERROR(INDEX(Stats!$D:$D,MATCH($C133,Stats!$A:$A,0)),FALSE),ROUND(D133+(E133-D133)*(1+G133)*((7-1)/(MaxLevel-1))^(2^F133),0),D133+(E133-D133)*(1+G133)*((7-1)/(MaxLevel-1))^(2^F133)))</f>
        <v/>
      </c>
      <c r="O133" s="12" t="str">
        <f>IF(OR(D133="",E133=""),"",IF(IFERROR(INDEX(Stats!$D:$D,MATCH($C133,Stats!$A:$A,0)),FALSE),ROUND(D133+(E133-D133)*(1+G133)*((8-1)/(MaxLevel-1))^(2^F133),0),D133+(E133-D133)*(1+G133)*((8-1)/(MaxLevel-1))^(2^F133)))</f>
        <v/>
      </c>
      <c r="P133" s="12" t="str">
        <f>IF(OR(D133="",E133=""),"",IF(IFERROR(INDEX(Stats!$D:$D,MATCH($C133,Stats!$A:$A,0)),FALSE),ROUND(D133+(E133-D133)*(1+G133)*((9-1)/(MaxLevel-1))^(2^F133),0),D133+(E133-D133)*(1+G133)*((9-1)/(MaxLevel-1))^(2^F133)))</f>
        <v/>
      </c>
      <c r="Q133" s="12" t="str">
        <f>IF(OR(D133="",E133=""),"",IF(IFERROR(INDEX(Stats!$D:$D,MATCH($C133,Stats!$A:$A,0)),FALSE),ROUND(D133+(E133-D133)*(1+G133)*((10-1)/(MaxLevel-1))^(2^F133),0),D133+(E133-D133)*(1+G133)*((10-1)/(MaxLevel-1))^(2^F133)))</f>
        <v/>
      </c>
    </row>
    <row r="134" spans="1:17" x14ac:dyDescent="0.25">
      <c r="A134" s="4" t="s">
        <v>185</v>
      </c>
      <c r="B134" s="19" t="s">
        <v>222</v>
      </c>
      <c r="C134" s="4" t="s">
        <v>60</v>
      </c>
      <c r="D134" s="5"/>
      <c r="E134" s="5"/>
      <c r="F134" s="5"/>
      <c r="G134" s="5"/>
      <c r="H134" s="12" t="str">
        <f>IF(OR(D134="",E134=""),"",IF(IFERROR(INDEX(Stats!$D:$D,MATCH($C134,Stats!$A:$A,0)),FALSE),ROUND(D134+(E134-D134)*(1+G134)*((1-1)/(MaxLevel-1))^(2^F134),0),D134+(E134-D134)*(1+G134)*((1-1)/(MaxLevel-1))^(2^F134)))</f>
        <v/>
      </c>
      <c r="I134" s="12" t="str">
        <f>IF(OR(D134="",E134=""),"",IF(IFERROR(INDEX(Stats!$D:$D,MATCH($C134,Stats!$A:$A,0)),FALSE),ROUND(D134+(E134-D134)*(1+G134)*((2-1)/(MaxLevel-1))^(2^F134),0),D134+(E134-D134)*(1+G134)*((2-1)/(MaxLevel-1))^(2^F134)))</f>
        <v/>
      </c>
      <c r="J134" s="12" t="str">
        <f>IF(OR(D134="",E134=""),"",IF(IFERROR(INDEX(Stats!$D:$D,MATCH($C134,Stats!$A:$A,0)),FALSE),ROUND(D134+(E134-D134)*(1+G134)*((3-1)/(MaxLevel-1))^(2^F134),0),D134+(E134-D134)*(1+G134)*((3-1)/(MaxLevel-1))^(2^F134)))</f>
        <v/>
      </c>
      <c r="K134" s="12" t="str">
        <f>IF(OR(D134="",E134=""),"",IF(IFERROR(INDEX(Stats!$D:$D,MATCH($C134,Stats!$A:$A,0)),FALSE),ROUND(D134+(E134-D134)*(1+G134)*((4-1)/(MaxLevel-1))^(2^F134),0),D134+(E134-D134)*(1+G134)*((4-1)/(MaxLevel-1))^(2^F134)))</f>
        <v/>
      </c>
      <c r="L134" s="12" t="str">
        <f>IF(OR(D134="",E134=""),"",IF(IFERROR(INDEX(Stats!$D:$D,MATCH($C134,Stats!$A:$A,0)),FALSE),ROUND(D134+(E134-D134)*(1+G134)*((5-1)/(MaxLevel-1))^(2^F134),0),D134+(E134-D134)*(1+G134)*((5-1)/(MaxLevel-1))^(2^F134)))</f>
        <v/>
      </c>
      <c r="M134" s="12" t="str">
        <f>IF(OR(D134="",E134=""),"",IF(IFERROR(INDEX(Stats!$D:$D,MATCH($C134,Stats!$A:$A,0)),FALSE),ROUND(D134+(E134-D134)*(1+G134)*((6-1)/(MaxLevel-1))^(2^F134),0),D134+(E134-D134)*(1+G134)*((6-1)/(MaxLevel-1))^(2^F134)))</f>
        <v/>
      </c>
      <c r="N134" s="12" t="str">
        <f>IF(OR(D134="",E134=""),"",IF(IFERROR(INDEX(Stats!$D:$D,MATCH($C134,Stats!$A:$A,0)),FALSE),ROUND(D134+(E134-D134)*(1+G134)*((7-1)/(MaxLevel-1))^(2^F134),0),D134+(E134-D134)*(1+G134)*((7-1)/(MaxLevel-1))^(2^F134)))</f>
        <v/>
      </c>
      <c r="O134" s="12" t="str">
        <f>IF(OR(D134="",E134=""),"",IF(IFERROR(INDEX(Stats!$D:$D,MATCH($C134,Stats!$A:$A,0)),FALSE),ROUND(D134+(E134-D134)*(1+G134)*((8-1)/(MaxLevel-1))^(2^F134),0),D134+(E134-D134)*(1+G134)*((8-1)/(MaxLevel-1))^(2^F134)))</f>
        <v/>
      </c>
      <c r="P134" s="12" t="str">
        <f>IF(OR(D134="",E134=""),"",IF(IFERROR(INDEX(Stats!$D:$D,MATCH($C134,Stats!$A:$A,0)),FALSE),ROUND(D134+(E134-D134)*(1+G134)*((9-1)/(MaxLevel-1))^(2^F134),0),D134+(E134-D134)*(1+G134)*((9-1)/(MaxLevel-1))^(2^F134)))</f>
        <v/>
      </c>
      <c r="Q134" s="12" t="str">
        <f>IF(OR(D134="",E134=""),"",IF(IFERROR(INDEX(Stats!$D:$D,MATCH($C134,Stats!$A:$A,0)),FALSE),ROUND(D134+(E134-D134)*(1+G134)*((10-1)/(MaxLevel-1))^(2^F134),0),D134+(E134-D134)*(1+G134)*((10-1)/(MaxLevel-1))^(2^F134)))</f>
        <v/>
      </c>
    </row>
    <row r="135" spans="1:17" x14ac:dyDescent="0.25">
      <c r="A135" s="4" t="s">
        <v>185</v>
      </c>
      <c r="B135" s="19" t="s">
        <v>223</v>
      </c>
      <c r="C135" s="4" t="s">
        <v>24</v>
      </c>
      <c r="D135" s="5">
        <v>0</v>
      </c>
      <c r="E135" s="5">
        <v>10000</v>
      </c>
      <c r="F135" s="5">
        <v>1</v>
      </c>
      <c r="G135" s="5">
        <v>0</v>
      </c>
      <c r="H135" s="12">
        <f>IF(OR(D135="",E135=""),"",IF(IFERROR(INDEX(Stats!$D:$D,MATCH($C135,Stats!$A:$A,0)),FALSE),ROUND(D135+(E135-D135)*(1+G135)*((1-1)/(MaxLevel-1))^(2^F135),0),D135+(E135-D135)*(1+G135)*((1-1)/(MaxLevel-1))^(2^F135)))</f>
        <v>0</v>
      </c>
      <c r="I135" s="12">
        <f>IF(OR(D135="",E135=""),"",IF(IFERROR(INDEX(Stats!$D:$D,MATCH($C135,Stats!$A:$A,0)),FALSE),ROUND(D135+(E135-D135)*(1+G135)*((2-1)/(MaxLevel-1))^(2^F135),0),D135+(E135-D135)*(1+G135)*((2-1)/(MaxLevel-1))^(2^F135)))</f>
        <v>123</v>
      </c>
      <c r="J135" s="12">
        <f>IF(OR(D135="",E135=""),"",IF(IFERROR(INDEX(Stats!$D:$D,MATCH($C135,Stats!$A:$A,0)),FALSE),ROUND(D135+(E135-D135)*(1+G135)*((3-1)/(MaxLevel-1))^(2^F135),0),D135+(E135-D135)*(1+G135)*((3-1)/(MaxLevel-1))^(2^F135)))</f>
        <v>494</v>
      </c>
      <c r="K135" s="12">
        <f>IF(OR(D135="",E135=""),"",IF(IFERROR(INDEX(Stats!$D:$D,MATCH($C135,Stats!$A:$A,0)),FALSE),ROUND(D135+(E135-D135)*(1+G135)*((4-1)/(MaxLevel-1))^(2^F135),0),D135+(E135-D135)*(1+G135)*((4-1)/(MaxLevel-1))^(2^F135)))</f>
        <v>1111</v>
      </c>
      <c r="L135" s="12">
        <f>IF(OR(D135="",E135=""),"",IF(IFERROR(INDEX(Stats!$D:$D,MATCH($C135,Stats!$A:$A,0)),FALSE),ROUND(D135+(E135-D135)*(1+G135)*((5-1)/(MaxLevel-1))^(2^F135),0),D135+(E135-D135)*(1+G135)*((5-1)/(MaxLevel-1))^(2^F135)))</f>
        <v>1975</v>
      </c>
      <c r="M135" s="12">
        <f>IF(OR(D135="",E135=""),"",IF(IFERROR(INDEX(Stats!$D:$D,MATCH($C135,Stats!$A:$A,0)),FALSE),ROUND(D135+(E135-D135)*(1+G135)*((6-1)/(MaxLevel-1))^(2^F135),0),D135+(E135-D135)*(1+G135)*((6-1)/(MaxLevel-1))^(2^F135)))</f>
        <v>3086</v>
      </c>
      <c r="N135" s="12">
        <f>IF(OR(D135="",E135=""),"",IF(IFERROR(INDEX(Stats!$D:$D,MATCH($C135,Stats!$A:$A,0)),FALSE),ROUND(D135+(E135-D135)*(1+G135)*((7-1)/(MaxLevel-1))^(2^F135),0),D135+(E135-D135)*(1+G135)*((7-1)/(MaxLevel-1))^(2^F135)))</f>
        <v>4444</v>
      </c>
      <c r="O135" s="12">
        <f>IF(OR(D135="",E135=""),"",IF(IFERROR(INDEX(Stats!$D:$D,MATCH($C135,Stats!$A:$A,0)),FALSE),ROUND(D135+(E135-D135)*(1+G135)*((8-1)/(MaxLevel-1))^(2^F135),0),D135+(E135-D135)*(1+G135)*((8-1)/(MaxLevel-1))^(2^F135)))</f>
        <v>6049</v>
      </c>
      <c r="P135" s="12">
        <f>IF(OR(D135="",E135=""),"",IF(IFERROR(INDEX(Stats!$D:$D,MATCH($C135,Stats!$A:$A,0)),FALSE),ROUND(D135+(E135-D135)*(1+G135)*((9-1)/(MaxLevel-1))^(2^F135),0),D135+(E135-D135)*(1+G135)*((9-1)/(MaxLevel-1))^(2^F135)))</f>
        <v>7901</v>
      </c>
      <c r="Q135" s="12">
        <f>IF(OR(D135="",E135=""),"",IF(IFERROR(INDEX(Stats!$D:$D,MATCH($C135,Stats!$A:$A,0)),FALSE),ROUND(D135+(E135-D135)*(1+G135)*((10-1)/(MaxLevel-1))^(2^F135),0),D135+(E135-D135)*(1+G135)*((10-1)/(MaxLevel-1))^(2^F135)))</f>
        <v>10000</v>
      </c>
    </row>
    <row r="136" spans="1:17" x14ac:dyDescent="0.25">
      <c r="A136" s="4" t="s">
        <v>185</v>
      </c>
      <c r="B136" s="19" t="s">
        <v>223</v>
      </c>
      <c r="C136" s="4" t="s">
        <v>26</v>
      </c>
      <c r="D136" s="5">
        <v>25</v>
      </c>
      <c r="E136" s="5">
        <v>150</v>
      </c>
      <c r="F136" s="5">
        <v>0</v>
      </c>
      <c r="G136" s="5">
        <v>0</v>
      </c>
      <c r="H136" s="12">
        <f>IF(OR(D136="",E136=""),"",IF(IFERROR(INDEX(Stats!$D:$D,MATCH($C136,Stats!$A:$A,0)),FALSE),ROUND(D136+(E136-D136)*(1+G136)*((1-1)/(MaxLevel-1))^(2^F136),0),D136+(E136-D136)*(1+G136)*((1-1)/(MaxLevel-1))^(2^F136)))</f>
        <v>25</v>
      </c>
      <c r="I136" s="12">
        <f>IF(OR(D136="",E136=""),"",IF(IFERROR(INDEX(Stats!$D:$D,MATCH($C136,Stats!$A:$A,0)),FALSE),ROUND(D136+(E136-D136)*(1+G136)*((2-1)/(MaxLevel-1))^(2^F136),0),D136+(E136-D136)*(1+G136)*((2-1)/(MaxLevel-1))^(2^F136)))</f>
        <v>39</v>
      </c>
      <c r="J136" s="12">
        <f>IF(OR(D136="",E136=""),"",IF(IFERROR(INDEX(Stats!$D:$D,MATCH($C136,Stats!$A:$A,0)),FALSE),ROUND(D136+(E136-D136)*(1+G136)*((3-1)/(MaxLevel-1))^(2^F136),0),D136+(E136-D136)*(1+G136)*((3-1)/(MaxLevel-1))^(2^F136)))</f>
        <v>53</v>
      </c>
      <c r="K136" s="12">
        <f>IF(OR(D136="",E136=""),"",IF(IFERROR(INDEX(Stats!$D:$D,MATCH($C136,Stats!$A:$A,0)),FALSE),ROUND(D136+(E136-D136)*(1+G136)*((4-1)/(MaxLevel-1))^(2^F136),0),D136+(E136-D136)*(1+G136)*((4-1)/(MaxLevel-1))^(2^F136)))</f>
        <v>67</v>
      </c>
      <c r="L136" s="12">
        <f>IF(OR(D136="",E136=""),"",IF(IFERROR(INDEX(Stats!$D:$D,MATCH($C136,Stats!$A:$A,0)),FALSE),ROUND(D136+(E136-D136)*(1+G136)*((5-1)/(MaxLevel-1))^(2^F136),0),D136+(E136-D136)*(1+G136)*((5-1)/(MaxLevel-1))^(2^F136)))</f>
        <v>81</v>
      </c>
      <c r="M136" s="12">
        <f>IF(OR(D136="",E136=""),"",IF(IFERROR(INDEX(Stats!$D:$D,MATCH($C136,Stats!$A:$A,0)),FALSE),ROUND(D136+(E136-D136)*(1+G136)*((6-1)/(MaxLevel-1))^(2^F136),0),D136+(E136-D136)*(1+G136)*((6-1)/(MaxLevel-1))^(2^F136)))</f>
        <v>94</v>
      </c>
      <c r="N136" s="12">
        <f>IF(OR(D136="",E136=""),"",IF(IFERROR(INDEX(Stats!$D:$D,MATCH($C136,Stats!$A:$A,0)),FALSE),ROUND(D136+(E136-D136)*(1+G136)*((7-1)/(MaxLevel-1))^(2^F136),0),D136+(E136-D136)*(1+G136)*((7-1)/(MaxLevel-1))^(2^F136)))</f>
        <v>108</v>
      </c>
      <c r="O136" s="12">
        <f>IF(OR(D136="",E136=""),"",IF(IFERROR(INDEX(Stats!$D:$D,MATCH($C136,Stats!$A:$A,0)),FALSE),ROUND(D136+(E136-D136)*(1+G136)*((8-1)/(MaxLevel-1))^(2^F136),0),D136+(E136-D136)*(1+G136)*((8-1)/(MaxLevel-1))^(2^F136)))</f>
        <v>122</v>
      </c>
      <c r="P136" s="12">
        <f>IF(OR(D136="",E136=""),"",IF(IFERROR(INDEX(Stats!$D:$D,MATCH($C136,Stats!$A:$A,0)),FALSE),ROUND(D136+(E136-D136)*(1+G136)*((9-1)/(MaxLevel-1))^(2^F136),0),D136+(E136-D136)*(1+G136)*((9-1)/(MaxLevel-1))^(2^F136)))</f>
        <v>136</v>
      </c>
      <c r="Q136" s="12">
        <f>IF(OR(D136="",E136=""),"",IF(IFERROR(INDEX(Stats!$D:$D,MATCH($C136,Stats!$A:$A,0)),FALSE),ROUND(D136+(E136-D136)*(1+G136)*((10-1)/(MaxLevel-1))^(2^F136),0),D136+(E136-D136)*(1+G136)*((10-1)/(MaxLevel-1))^(2^F136)))</f>
        <v>150</v>
      </c>
    </row>
    <row r="137" spans="1:17" x14ac:dyDescent="0.25">
      <c r="A137" s="4" t="s">
        <v>185</v>
      </c>
      <c r="B137" s="19" t="s">
        <v>223</v>
      </c>
      <c r="C137" s="4" t="s">
        <v>28</v>
      </c>
      <c r="D137" s="5">
        <v>300</v>
      </c>
      <c r="E137" s="5">
        <v>1200</v>
      </c>
      <c r="F137" s="5">
        <v>0</v>
      </c>
      <c r="G137" s="5">
        <v>-0.1</v>
      </c>
      <c r="H137" s="12">
        <f>IF(OR(D137="",E137=""),"",IF(IFERROR(INDEX(Stats!$D:$D,MATCH($C137,Stats!$A:$A,0)),FALSE),ROUND(D137+(E137-D137)*(1+G137)*((1-1)/(MaxLevel-1))^(2^F137),0),D137+(E137-D137)*(1+G137)*((1-1)/(MaxLevel-1))^(2^F137)))</f>
        <v>300</v>
      </c>
      <c r="I137" s="12">
        <f>IF(OR(D137="",E137=""),"",IF(IFERROR(INDEX(Stats!$D:$D,MATCH($C137,Stats!$A:$A,0)),FALSE),ROUND(D137+(E137-D137)*(1+G137)*((2-1)/(MaxLevel-1))^(2^F137),0),D137+(E137-D137)*(1+G137)*((2-1)/(MaxLevel-1))^(2^F137)))</f>
        <v>390</v>
      </c>
      <c r="J137" s="12">
        <f>IF(OR(D137="",E137=""),"",IF(IFERROR(INDEX(Stats!$D:$D,MATCH($C137,Stats!$A:$A,0)),FALSE),ROUND(D137+(E137-D137)*(1+G137)*((3-1)/(MaxLevel-1))^(2^F137),0),D137+(E137-D137)*(1+G137)*((3-1)/(MaxLevel-1))^(2^F137)))</f>
        <v>480</v>
      </c>
      <c r="K137" s="12">
        <f>IF(OR(D137="",E137=""),"",IF(IFERROR(INDEX(Stats!$D:$D,MATCH($C137,Stats!$A:$A,0)),FALSE),ROUND(D137+(E137-D137)*(1+G137)*((4-1)/(MaxLevel-1))^(2^F137),0),D137+(E137-D137)*(1+G137)*((4-1)/(MaxLevel-1))^(2^F137)))</f>
        <v>570</v>
      </c>
      <c r="L137" s="12">
        <f>IF(OR(D137="",E137=""),"",IF(IFERROR(INDEX(Stats!$D:$D,MATCH($C137,Stats!$A:$A,0)),FALSE),ROUND(D137+(E137-D137)*(1+G137)*((5-1)/(MaxLevel-1))^(2^F137),0),D137+(E137-D137)*(1+G137)*((5-1)/(MaxLevel-1))^(2^F137)))</f>
        <v>660</v>
      </c>
      <c r="M137" s="12">
        <f>IF(OR(D137="",E137=""),"",IF(IFERROR(INDEX(Stats!$D:$D,MATCH($C137,Stats!$A:$A,0)),FALSE),ROUND(D137+(E137-D137)*(1+G137)*((6-1)/(MaxLevel-1))^(2^F137),0),D137+(E137-D137)*(1+G137)*((6-1)/(MaxLevel-1))^(2^F137)))</f>
        <v>750</v>
      </c>
      <c r="N137" s="12">
        <f>IF(OR(D137="",E137=""),"",IF(IFERROR(INDEX(Stats!$D:$D,MATCH($C137,Stats!$A:$A,0)),FALSE),ROUND(D137+(E137-D137)*(1+G137)*((7-1)/(MaxLevel-1))^(2^F137),0),D137+(E137-D137)*(1+G137)*((7-1)/(MaxLevel-1))^(2^F137)))</f>
        <v>840</v>
      </c>
      <c r="O137" s="12">
        <f>IF(OR(D137="",E137=""),"",IF(IFERROR(INDEX(Stats!$D:$D,MATCH($C137,Stats!$A:$A,0)),FALSE),ROUND(D137+(E137-D137)*(1+G137)*((8-1)/(MaxLevel-1))^(2^F137),0),D137+(E137-D137)*(1+G137)*((8-1)/(MaxLevel-1))^(2^F137)))</f>
        <v>930</v>
      </c>
      <c r="P137" s="12">
        <f>IF(OR(D137="",E137=""),"",IF(IFERROR(INDEX(Stats!$D:$D,MATCH($C137,Stats!$A:$A,0)),FALSE),ROUND(D137+(E137-D137)*(1+G137)*((9-1)/(MaxLevel-1))^(2^F137),0),D137+(E137-D137)*(1+G137)*((9-1)/(MaxLevel-1))^(2^F137)))</f>
        <v>1020</v>
      </c>
      <c r="Q137" s="12">
        <f>IF(OR(D137="",E137=""),"",IF(IFERROR(INDEX(Stats!$D:$D,MATCH($C137,Stats!$A:$A,0)),FALSE),ROUND(D137+(E137-D137)*(1+G137)*((10-1)/(MaxLevel-1))^(2^F137),0),D137+(E137-D137)*(1+G137)*((10-1)/(MaxLevel-1))^(2^F137)))</f>
        <v>1110</v>
      </c>
    </row>
    <row r="138" spans="1:17" x14ac:dyDescent="0.25">
      <c r="A138" s="4" t="s">
        <v>185</v>
      </c>
      <c r="B138" s="19" t="s">
        <v>223</v>
      </c>
      <c r="C138" s="4" t="s">
        <v>30</v>
      </c>
      <c r="D138" s="5">
        <v>25</v>
      </c>
      <c r="E138" s="5">
        <v>110</v>
      </c>
      <c r="F138" s="5">
        <v>0.5</v>
      </c>
      <c r="G138" s="5">
        <v>0</v>
      </c>
      <c r="H138" s="12">
        <f>IF(OR(D138="",E138=""),"",IF(IFERROR(INDEX(Stats!$D:$D,MATCH($C138,Stats!$A:$A,0)),FALSE),ROUND(D138+(E138-D138)*(1+G138)*((1-1)/(MaxLevel-1))^(2^F138),0),D138+(E138-D138)*(1+G138)*((1-1)/(MaxLevel-1))^(2^F138)))</f>
        <v>25</v>
      </c>
      <c r="I138" s="12">
        <f>IF(OR(D138="",E138=""),"",IF(IFERROR(INDEX(Stats!$D:$D,MATCH($C138,Stats!$A:$A,0)),FALSE),ROUND(D138+(E138-D138)*(1+G138)*((2-1)/(MaxLevel-1))^(2^F138),0),D138+(E138-D138)*(1+G138)*((2-1)/(MaxLevel-1))^(2^F138)))</f>
        <v>29</v>
      </c>
      <c r="J138" s="12">
        <f>IF(OR(D138="",E138=""),"",IF(IFERROR(INDEX(Stats!$D:$D,MATCH($C138,Stats!$A:$A,0)),FALSE),ROUND(D138+(E138-D138)*(1+G138)*((3-1)/(MaxLevel-1))^(2^F138),0),D138+(E138-D138)*(1+G138)*((3-1)/(MaxLevel-1))^(2^F138)))</f>
        <v>35</v>
      </c>
      <c r="K138" s="12">
        <f>IF(OR(D138="",E138=""),"",IF(IFERROR(INDEX(Stats!$D:$D,MATCH($C138,Stats!$A:$A,0)),FALSE),ROUND(D138+(E138-D138)*(1+G138)*((4-1)/(MaxLevel-1))^(2^F138),0),D138+(E138-D138)*(1+G138)*((4-1)/(MaxLevel-1))^(2^F138)))</f>
        <v>43</v>
      </c>
      <c r="L138" s="12">
        <f>IF(OR(D138="",E138=""),"",IF(IFERROR(INDEX(Stats!$D:$D,MATCH($C138,Stats!$A:$A,0)),FALSE),ROUND(D138+(E138-D138)*(1+G138)*((5-1)/(MaxLevel-1))^(2^F138),0),D138+(E138-D138)*(1+G138)*((5-1)/(MaxLevel-1))^(2^F138)))</f>
        <v>52</v>
      </c>
      <c r="M138" s="12">
        <f>IF(OR(D138="",E138=""),"",IF(IFERROR(INDEX(Stats!$D:$D,MATCH($C138,Stats!$A:$A,0)),FALSE),ROUND(D138+(E138-D138)*(1+G138)*((6-1)/(MaxLevel-1))^(2^F138),0),D138+(E138-D138)*(1+G138)*((6-1)/(MaxLevel-1))^(2^F138)))</f>
        <v>62</v>
      </c>
      <c r="N138" s="12">
        <f>IF(OR(D138="",E138=""),"",IF(IFERROR(INDEX(Stats!$D:$D,MATCH($C138,Stats!$A:$A,0)),FALSE),ROUND(D138+(E138-D138)*(1+G138)*((7-1)/(MaxLevel-1))^(2^F138),0),D138+(E138-D138)*(1+G138)*((7-1)/(MaxLevel-1))^(2^F138)))</f>
        <v>73</v>
      </c>
      <c r="O138" s="12">
        <f>IF(OR(D138="",E138=""),"",IF(IFERROR(INDEX(Stats!$D:$D,MATCH($C138,Stats!$A:$A,0)),FALSE),ROUND(D138+(E138-D138)*(1+G138)*((8-1)/(MaxLevel-1))^(2^F138),0),D138+(E138-D138)*(1+G138)*((8-1)/(MaxLevel-1))^(2^F138)))</f>
        <v>85</v>
      </c>
      <c r="P138" s="12">
        <f>IF(OR(D138="",E138=""),"",IF(IFERROR(INDEX(Stats!$D:$D,MATCH($C138,Stats!$A:$A,0)),FALSE),ROUND(D138+(E138-D138)*(1+G138)*((9-1)/(MaxLevel-1))^(2^F138),0),D138+(E138-D138)*(1+G138)*((9-1)/(MaxLevel-1))^(2^F138)))</f>
        <v>97</v>
      </c>
      <c r="Q138" s="12">
        <f>IF(OR(D138="",E138=""),"",IF(IFERROR(INDEX(Stats!$D:$D,MATCH($C138,Stats!$A:$A,0)),FALSE),ROUND(D138+(E138-D138)*(1+G138)*((10-1)/(MaxLevel-1))^(2^F138),0),D138+(E138-D138)*(1+G138)*((10-1)/(MaxLevel-1))^(2^F138)))</f>
        <v>110</v>
      </c>
    </row>
    <row r="139" spans="1:17" x14ac:dyDescent="0.25">
      <c r="A139" s="4" t="s">
        <v>185</v>
      </c>
      <c r="B139" s="19" t="s">
        <v>223</v>
      </c>
      <c r="C139" s="4" t="s">
        <v>32</v>
      </c>
      <c r="D139" s="5"/>
      <c r="E139" s="5"/>
      <c r="F139" s="5"/>
      <c r="G139" s="5"/>
      <c r="H139" s="12" t="str">
        <f>IF(OR(D139="",E139=""),"",IF(IFERROR(INDEX(Stats!$D:$D,MATCH($C139,Stats!$A:$A,0)),FALSE),ROUND(D139+(E139-D139)*(1+G139)*((1-1)/(MaxLevel-1))^(2^F139),0),D139+(E139-D139)*(1+G139)*((1-1)/(MaxLevel-1))^(2^F139)))</f>
        <v/>
      </c>
      <c r="I139" s="12" t="str">
        <f>IF(OR(D139="",E139=""),"",IF(IFERROR(INDEX(Stats!$D:$D,MATCH($C139,Stats!$A:$A,0)),FALSE),ROUND(D139+(E139-D139)*(1+G139)*((2-1)/(MaxLevel-1))^(2^F139),0),D139+(E139-D139)*(1+G139)*((2-1)/(MaxLevel-1))^(2^F139)))</f>
        <v/>
      </c>
      <c r="J139" s="12" t="str">
        <f>IF(OR(D139="",E139=""),"",IF(IFERROR(INDEX(Stats!$D:$D,MATCH($C139,Stats!$A:$A,0)),FALSE),ROUND(D139+(E139-D139)*(1+G139)*((3-1)/(MaxLevel-1))^(2^F139),0),D139+(E139-D139)*(1+G139)*((3-1)/(MaxLevel-1))^(2^F139)))</f>
        <v/>
      </c>
      <c r="K139" s="12" t="str">
        <f>IF(OR(D139="",E139=""),"",IF(IFERROR(INDEX(Stats!$D:$D,MATCH($C139,Stats!$A:$A,0)),FALSE),ROUND(D139+(E139-D139)*(1+G139)*((4-1)/(MaxLevel-1))^(2^F139),0),D139+(E139-D139)*(1+G139)*((4-1)/(MaxLevel-1))^(2^F139)))</f>
        <v/>
      </c>
      <c r="L139" s="12" t="str">
        <f>IF(OR(D139="",E139=""),"",IF(IFERROR(INDEX(Stats!$D:$D,MATCH($C139,Stats!$A:$A,0)),FALSE),ROUND(D139+(E139-D139)*(1+G139)*((5-1)/(MaxLevel-1))^(2^F139),0),D139+(E139-D139)*(1+G139)*((5-1)/(MaxLevel-1))^(2^F139)))</f>
        <v/>
      </c>
      <c r="M139" s="12" t="str">
        <f>IF(OR(D139="",E139=""),"",IF(IFERROR(INDEX(Stats!$D:$D,MATCH($C139,Stats!$A:$A,0)),FALSE),ROUND(D139+(E139-D139)*(1+G139)*((6-1)/(MaxLevel-1))^(2^F139),0),D139+(E139-D139)*(1+G139)*((6-1)/(MaxLevel-1))^(2^F139)))</f>
        <v/>
      </c>
      <c r="N139" s="12" t="str">
        <f>IF(OR(D139="",E139=""),"",IF(IFERROR(INDEX(Stats!$D:$D,MATCH($C139,Stats!$A:$A,0)),FALSE),ROUND(D139+(E139-D139)*(1+G139)*((7-1)/(MaxLevel-1))^(2^F139),0),D139+(E139-D139)*(1+G139)*((7-1)/(MaxLevel-1))^(2^F139)))</f>
        <v/>
      </c>
      <c r="O139" s="12" t="str">
        <f>IF(OR(D139="",E139=""),"",IF(IFERROR(INDEX(Stats!$D:$D,MATCH($C139,Stats!$A:$A,0)),FALSE),ROUND(D139+(E139-D139)*(1+G139)*((8-1)/(MaxLevel-1))^(2^F139),0),D139+(E139-D139)*(1+G139)*((8-1)/(MaxLevel-1))^(2^F139)))</f>
        <v/>
      </c>
      <c r="P139" s="12" t="str">
        <f>IF(OR(D139="",E139=""),"",IF(IFERROR(INDEX(Stats!$D:$D,MATCH($C139,Stats!$A:$A,0)),FALSE),ROUND(D139+(E139-D139)*(1+G139)*((9-1)/(MaxLevel-1))^(2^F139),0),D139+(E139-D139)*(1+G139)*((9-1)/(MaxLevel-1))^(2^F139)))</f>
        <v/>
      </c>
      <c r="Q139" s="12" t="str">
        <f>IF(OR(D139="",E139=""),"",IF(IFERROR(INDEX(Stats!$D:$D,MATCH($C139,Stats!$A:$A,0)),FALSE),ROUND(D139+(E139-D139)*(1+G139)*((10-1)/(MaxLevel-1))^(2^F139),0),D139+(E139-D139)*(1+G139)*((10-1)/(MaxLevel-1))^(2^F139)))</f>
        <v/>
      </c>
    </row>
    <row r="140" spans="1:17" x14ac:dyDescent="0.25">
      <c r="A140" s="4" t="s">
        <v>185</v>
      </c>
      <c r="B140" s="19" t="s">
        <v>223</v>
      </c>
      <c r="C140" s="4" t="s">
        <v>34</v>
      </c>
      <c r="D140" s="5"/>
      <c r="E140" s="5"/>
      <c r="F140" s="5"/>
      <c r="G140" s="5"/>
      <c r="H140" s="12" t="str">
        <f>IF(OR(D140="",E140=""),"",IF(IFERROR(INDEX(Stats!$D:$D,MATCH($C140,Stats!$A:$A,0)),FALSE),ROUND(D140+(E140-D140)*(1+G140)*((1-1)/(MaxLevel-1))^(2^F140),0),D140+(E140-D140)*(1+G140)*((1-1)/(MaxLevel-1))^(2^F140)))</f>
        <v/>
      </c>
      <c r="I140" s="12" t="str">
        <f>IF(OR(D140="",E140=""),"",IF(IFERROR(INDEX(Stats!$D:$D,MATCH($C140,Stats!$A:$A,0)),FALSE),ROUND(D140+(E140-D140)*(1+G140)*((2-1)/(MaxLevel-1))^(2^F140),0),D140+(E140-D140)*(1+G140)*((2-1)/(MaxLevel-1))^(2^F140)))</f>
        <v/>
      </c>
      <c r="J140" s="12" t="str">
        <f>IF(OR(D140="",E140=""),"",IF(IFERROR(INDEX(Stats!$D:$D,MATCH($C140,Stats!$A:$A,0)),FALSE),ROUND(D140+(E140-D140)*(1+G140)*((3-1)/(MaxLevel-1))^(2^F140),0),D140+(E140-D140)*(1+G140)*((3-1)/(MaxLevel-1))^(2^F140)))</f>
        <v/>
      </c>
      <c r="K140" s="12" t="str">
        <f>IF(OR(D140="",E140=""),"",IF(IFERROR(INDEX(Stats!$D:$D,MATCH($C140,Stats!$A:$A,0)),FALSE),ROUND(D140+(E140-D140)*(1+G140)*((4-1)/(MaxLevel-1))^(2^F140),0),D140+(E140-D140)*(1+G140)*((4-1)/(MaxLevel-1))^(2^F140)))</f>
        <v/>
      </c>
      <c r="L140" s="12" t="str">
        <f>IF(OR(D140="",E140=""),"",IF(IFERROR(INDEX(Stats!$D:$D,MATCH($C140,Stats!$A:$A,0)),FALSE),ROUND(D140+(E140-D140)*(1+G140)*((5-1)/(MaxLevel-1))^(2^F140),0),D140+(E140-D140)*(1+G140)*((5-1)/(MaxLevel-1))^(2^F140)))</f>
        <v/>
      </c>
      <c r="M140" s="12" t="str">
        <f>IF(OR(D140="",E140=""),"",IF(IFERROR(INDEX(Stats!$D:$D,MATCH($C140,Stats!$A:$A,0)),FALSE),ROUND(D140+(E140-D140)*(1+G140)*((6-1)/(MaxLevel-1))^(2^F140),0),D140+(E140-D140)*(1+G140)*((6-1)/(MaxLevel-1))^(2^F140)))</f>
        <v/>
      </c>
      <c r="N140" s="12" t="str">
        <f>IF(OR(D140="",E140=""),"",IF(IFERROR(INDEX(Stats!$D:$D,MATCH($C140,Stats!$A:$A,0)),FALSE),ROUND(D140+(E140-D140)*(1+G140)*((7-1)/(MaxLevel-1))^(2^F140),0),D140+(E140-D140)*(1+G140)*((7-1)/(MaxLevel-1))^(2^F140)))</f>
        <v/>
      </c>
      <c r="O140" s="12" t="str">
        <f>IF(OR(D140="",E140=""),"",IF(IFERROR(INDEX(Stats!$D:$D,MATCH($C140,Stats!$A:$A,0)),FALSE),ROUND(D140+(E140-D140)*(1+G140)*((8-1)/(MaxLevel-1))^(2^F140),0),D140+(E140-D140)*(1+G140)*((8-1)/(MaxLevel-1))^(2^F140)))</f>
        <v/>
      </c>
      <c r="P140" s="12" t="str">
        <f>IF(OR(D140="",E140=""),"",IF(IFERROR(INDEX(Stats!$D:$D,MATCH($C140,Stats!$A:$A,0)),FALSE),ROUND(D140+(E140-D140)*(1+G140)*((9-1)/(MaxLevel-1))^(2^F140),0),D140+(E140-D140)*(1+G140)*((9-1)/(MaxLevel-1))^(2^F140)))</f>
        <v/>
      </c>
      <c r="Q140" s="12" t="str">
        <f>IF(OR(D140="",E140=""),"",IF(IFERROR(INDEX(Stats!$D:$D,MATCH($C140,Stats!$A:$A,0)),FALSE),ROUND(D140+(E140-D140)*(1+G140)*((10-1)/(MaxLevel-1))^(2^F140),0),D140+(E140-D140)*(1+G140)*((10-1)/(MaxLevel-1))^(2^F140)))</f>
        <v/>
      </c>
    </row>
    <row r="141" spans="1:17" x14ac:dyDescent="0.25">
      <c r="A141" s="4" t="s">
        <v>185</v>
      </c>
      <c r="B141" s="19" t="s">
        <v>223</v>
      </c>
      <c r="C141" s="4" t="s">
        <v>36</v>
      </c>
      <c r="D141" s="5"/>
      <c r="E141" s="5"/>
      <c r="F141" s="5"/>
      <c r="G141" s="5"/>
      <c r="H141" s="12" t="str">
        <f>IF(OR(D141="",E141=""),"",IF(IFERROR(INDEX(Stats!$D:$D,MATCH($C141,Stats!$A:$A,0)),FALSE),ROUND(D141+(E141-D141)*(1+G141)*((1-1)/(MaxLevel-1))^(2^F141),0),D141+(E141-D141)*(1+G141)*((1-1)/(MaxLevel-1))^(2^F141)))</f>
        <v/>
      </c>
      <c r="I141" s="12" t="str">
        <f>IF(OR(D141="",E141=""),"",IF(IFERROR(INDEX(Stats!$D:$D,MATCH($C141,Stats!$A:$A,0)),FALSE),ROUND(D141+(E141-D141)*(1+G141)*((2-1)/(MaxLevel-1))^(2^F141),0),D141+(E141-D141)*(1+G141)*((2-1)/(MaxLevel-1))^(2^F141)))</f>
        <v/>
      </c>
      <c r="J141" s="12" t="str">
        <f>IF(OR(D141="",E141=""),"",IF(IFERROR(INDEX(Stats!$D:$D,MATCH($C141,Stats!$A:$A,0)),FALSE),ROUND(D141+(E141-D141)*(1+G141)*((3-1)/(MaxLevel-1))^(2^F141),0),D141+(E141-D141)*(1+G141)*((3-1)/(MaxLevel-1))^(2^F141)))</f>
        <v/>
      </c>
      <c r="K141" s="12" t="str">
        <f>IF(OR(D141="",E141=""),"",IF(IFERROR(INDEX(Stats!$D:$D,MATCH($C141,Stats!$A:$A,0)),FALSE),ROUND(D141+(E141-D141)*(1+G141)*((4-1)/(MaxLevel-1))^(2^F141),0),D141+(E141-D141)*(1+G141)*((4-1)/(MaxLevel-1))^(2^F141)))</f>
        <v/>
      </c>
      <c r="L141" s="12" t="str">
        <f>IF(OR(D141="",E141=""),"",IF(IFERROR(INDEX(Stats!$D:$D,MATCH($C141,Stats!$A:$A,0)),FALSE),ROUND(D141+(E141-D141)*(1+G141)*((5-1)/(MaxLevel-1))^(2^F141),0),D141+(E141-D141)*(1+G141)*((5-1)/(MaxLevel-1))^(2^F141)))</f>
        <v/>
      </c>
      <c r="M141" s="12" t="str">
        <f>IF(OR(D141="",E141=""),"",IF(IFERROR(INDEX(Stats!$D:$D,MATCH($C141,Stats!$A:$A,0)),FALSE),ROUND(D141+(E141-D141)*(1+G141)*((6-1)/(MaxLevel-1))^(2^F141),0),D141+(E141-D141)*(1+G141)*((6-1)/(MaxLevel-1))^(2^F141)))</f>
        <v/>
      </c>
      <c r="N141" s="12" t="str">
        <f>IF(OR(D141="",E141=""),"",IF(IFERROR(INDEX(Stats!$D:$D,MATCH($C141,Stats!$A:$A,0)),FALSE),ROUND(D141+(E141-D141)*(1+G141)*((7-1)/(MaxLevel-1))^(2^F141),0),D141+(E141-D141)*(1+G141)*((7-1)/(MaxLevel-1))^(2^F141)))</f>
        <v/>
      </c>
      <c r="O141" s="12" t="str">
        <f>IF(OR(D141="",E141=""),"",IF(IFERROR(INDEX(Stats!$D:$D,MATCH($C141,Stats!$A:$A,0)),FALSE),ROUND(D141+(E141-D141)*(1+G141)*((8-1)/(MaxLevel-1))^(2^F141),0),D141+(E141-D141)*(1+G141)*((8-1)/(MaxLevel-1))^(2^F141)))</f>
        <v/>
      </c>
      <c r="P141" s="12" t="str">
        <f>IF(OR(D141="",E141=""),"",IF(IFERROR(INDEX(Stats!$D:$D,MATCH($C141,Stats!$A:$A,0)),FALSE),ROUND(D141+(E141-D141)*(1+G141)*((9-1)/(MaxLevel-1))^(2^F141),0),D141+(E141-D141)*(1+G141)*((9-1)/(MaxLevel-1))^(2^F141)))</f>
        <v/>
      </c>
      <c r="Q141" s="12" t="str">
        <f>IF(OR(D141="",E141=""),"",IF(IFERROR(INDEX(Stats!$D:$D,MATCH($C141,Stats!$A:$A,0)),FALSE),ROUND(D141+(E141-D141)*(1+G141)*((10-1)/(MaxLevel-1))^(2^F141),0),D141+(E141-D141)*(1+G141)*((10-1)/(MaxLevel-1))^(2^F141)))</f>
        <v/>
      </c>
    </row>
    <row r="142" spans="1:17" x14ac:dyDescent="0.25">
      <c r="A142" s="4" t="s">
        <v>185</v>
      </c>
      <c r="B142" s="19" t="s">
        <v>223</v>
      </c>
      <c r="C142" s="4" t="s">
        <v>38</v>
      </c>
      <c r="D142" s="5"/>
      <c r="E142" s="5"/>
      <c r="F142" s="5"/>
      <c r="G142" s="5"/>
      <c r="H142" s="12" t="str">
        <f>IF(OR(D142="",E142=""),"",IF(IFERROR(INDEX(Stats!$D:$D,MATCH($C142,Stats!$A:$A,0)),FALSE),ROUND(D142+(E142-D142)*(1+G142)*((1-1)/(MaxLevel-1))^(2^F142),0),D142+(E142-D142)*(1+G142)*((1-1)/(MaxLevel-1))^(2^F142)))</f>
        <v/>
      </c>
      <c r="I142" s="12" t="str">
        <f>IF(OR(D142="",E142=""),"",IF(IFERROR(INDEX(Stats!$D:$D,MATCH($C142,Stats!$A:$A,0)),FALSE),ROUND(D142+(E142-D142)*(1+G142)*((2-1)/(MaxLevel-1))^(2^F142),0),D142+(E142-D142)*(1+G142)*((2-1)/(MaxLevel-1))^(2^F142)))</f>
        <v/>
      </c>
      <c r="J142" s="12" t="str">
        <f>IF(OR(D142="",E142=""),"",IF(IFERROR(INDEX(Stats!$D:$D,MATCH($C142,Stats!$A:$A,0)),FALSE),ROUND(D142+(E142-D142)*(1+G142)*((3-1)/(MaxLevel-1))^(2^F142),0),D142+(E142-D142)*(1+G142)*((3-1)/(MaxLevel-1))^(2^F142)))</f>
        <v/>
      </c>
      <c r="K142" s="12" t="str">
        <f>IF(OR(D142="",E142=""),"",IF(IFERROR(INDEX(Stats!$D:$D,MATCH($C142,Stats!$A:$A,0)),FALSE),ROUND(D142+(E142-D142)*(1+G142)*((4-1)/(MaxLevel-1))^(2^F142),0),D142+(E142-D142)*(1+G142)*((4-1)/(MaxLevel-1))^(2^F142)))</f>
        <v/>
      </c>
      <c r="L142" s="12" t="str">
        <f>IF(OR(D142="",E142=""),"",IF(IFERROR(INDEX(Stats!$D:$D,MATCH($C142,Stats!$A:$A,0)),FALSE),ROUND(D142+(E142-D142)*(1+G142)*((5-1)/(MaxLevel-1))^(2^F142),0),D142+(E142-D142)*(1+G142)*((5-1)/(MaxLevel-1))^(2^F142)))</f>
        <v/>
      </c>
      <c r="M142" s="12" t="str">
        <f>IF(OR(D142="",E142=""),"",IF(IFERROR(INDEX(Stats!$D:$D,MATCH($C142,Stats!$A:$A,0)),FALSE),ROUND(D142+(E142-D142)*(1+G142)*((6-1)/(MaxLevel-1))^(2^F142),0),D142+(E142-D142)*(1+G142)*((6-1)/(MaxLevel-1))^(2^F142)))</f>
        <v/>
      </c>
      <c r="N142" s="12" t="str">
        <f>IF(OR(D142="",E142=""),"",IF(IFERROR(INDEX(Stats!$D:$D,MATCH($C142,Stats!$A:$A,0)),FALSE),ROUND(D142+(E142-D142)*(1+G142)*((7-1)/(MaxLevel-1))^(2^F142),0),D142+(E142-D142)*(1+G142)*((7-1)/(MaxLevel-1))^(2^F142)))</f>
        <v/>
      </c>
      <c r="O142" s="12" t="str">
        <f>IF(OR(D142="",E142=""),"",IF(IFERROR(INDEX(Stats!$D:$D,MATCH($C142,Stats!$A:$A,0)),FALSE),ROUND(D142+(E142-D142)*(1+G142)*((8-1)/(MaxLevel-1))^(2^F142),0),D142+(E142-D142)*(1+G142)*((8-1)/(MaxLevel-1))^(2^F142)))</f>
        <v/>
      </c>
      <c r="P142" s="12" t="str">
        <f>IF(OR(D142="",E142=""),"",IF(IFERROR(INDEX(Stats!$D:$D,MATCH($C142,Stats!$A:$A,0)),FALSE),ROUND(D142+(E142-D142)*(1+G142)*((9-1)/(MaxLevel-1))^(2^F142),0),D142+(E142-D142)*(1+G142)*((9-1)/(MaxLevel-1))^(2^F142)))</f>
        <v/>
      </c>
      <c r="Q142" s="12" t="str">
        <f>IF(OR(D142="",E142=""),"",IF(IFERROR(INDEX(Stats!$D:$D,MATCH($C142,Stats!$A:$A,0)),FALSE),ROUND(D142+(E142-D142)*(1+G142)*((10-1)/(MaxLevel-1))^(2^F142),0),D142+(E142-D142)*(1+G142)*((10-1)/(MaxLevel-1))^(2^F142)))</f>
        <v/>
      </c>
    </row>
    <row r="143" spans="1:17" x14ac:dyDescent="0.25">
      <c r="A143" s="4" t="s">
        <v>185</v>
      </c>
      <c r="B143" s="19" t="s">
        <v>223</v>
      </c>
      <c r="C143" s="4" t="s">
        <v>40</v>
      </c>
      <c r="D143" s="5"/>
      <c r="E143" s="5"/>
      <c r="F143" s="5"/>
      <c r="G143" s="5"/>
      <c r="H143" s="12" t="str">
        <f>IF(OR(D143="",E143=""),"",IF(IFERROR(INDEX(Stats!$D:$D,MATCH($C143,Stats!$A:$A,0)),FALSE),ROUND(D143+(E143-D143)*(1+G143)*((1-1)/(MaxLevel-1))^(2^F143),0),D143+(E143-D143)*(1+G143)*((1-1)/(MaxLevel-1))^(2^F143)))</f>
        <v/>
      </c>
      <c r="I143" s="12" t="str">
        <f>IF(OR(D143="",E143=""),"",IF(IFERROR(INDEX(Stats!$D:$D,MATCH($C143,Stats!$A:$A,0)),FALSE),ROUND(D143+(E143-D143)*(1+G143)*((2-1)/(MaxLevel-1))^(2^F143),0),D143+(E143-D143)*(1+G143)*((2-1)/(MaxLevel-1))^(2^F143)))</f>
        <v/>
      </c>
      <c r="J143" s="12" t="str">
        <f>IF(OR(D143="",E143=""),"",IF(IFERROR(INDEX(Stats!$D:$D,MATCH($C143,Stats!$A:$A,0)),FALSE),ROUND(D143+(E143-D143)*(1+G143)*((3-1)/(MaxLevel-1))^(2^F143),0),D143+(E143-D143)*(1+G143)*((3-1)/(MaxLevel-1))^(2^F143)))</f>
        <v/>
      </c>
      <c r="K143" s="12" t="str">
        <f>IF(OR(D143="",E143=""),"",IF(IFERROR(INDEX(Stats!$D:$D,MATCH($C143,Stats!$A:$A,0)),FALSE),ROUND(D143+(E143-D143)*(1+G143)*((4-1)/(MaxLevel-1))^(2^F143),0),D143+(E143-D143)*(1+G143)*((4-1)/(MaxLevel-1))^(2^F143)))</f>
        <v/>
      </c>
      <c r="L143" s="12" t="str">
        <f>IF(OR(D143="",E143=""),"",IF(IFERROR(INDEX(Stats!$D:$D,MATCH($C143,Stats!$A:$A,0)),FALSE),ROUND(D143+(E143-D143)*(1+G143)*((5-1)/(MaxLevel-1))^(2^F143),0),D143+(E143-D143)*(1+G143)*((5-1)/(MaxLevel-1))^(2^F143)))</f>
        <v/>
      </c>
      <c r="M143" s="12" t="str">
        <f>IF(OR(D143="",E143=""),"",IF(IFERROR(INDEX(Stats!$D:$D,MATCH($C143,Stats!$A:$A,0)),FALSE),ROUND(D143+(E143-D143)*(1+G143)*((6-1)/(MaxLevel-1))^(2^F143),0),D143+(E143-D143)*(1+G143)*((6-1)/(MaxLevel-1))^(2^F143)))</f>
        <v/>
      </c>
      <c r="N143" s="12" t="str">
        <f>IF(OR(D143="",E143=""),"",IF(IFERROR(INDEX(Stats!$D:$D,MATCH($C143,Stats!$A:$A,0)),FALSE),ROUND(D143+(E143-D143)*(1+G143)*((7-1)/(MaxLevel-1))^(2^F143),0),D143+(E143-D143)*(1+G143)*((7-1)/(MaxLevel-1))^(2^F143)))</f>
        <v/>
      </c>
      <c r="O143" s="12" t="str">
        <f>IF(OR(D143="",E143=""),"",IF(IFERROR(INDEX(Stats!$D:$D,MATCH($C143,Stats!$A:$A,0)),FALSE),ROUND(D143+(E143-D143)*(1+G143)*((8-1)/(MaxLevel-1))^(2^F143),0),D143+(E143-D143)*(1+G143)*((8-1)/(MaxLevel-1))^(2^F143)))</f>
        <v/>
      </c>
      <c r="P143" s="12" t="str">
        <f>IF(OR(D143="",E143=""),"",IF(IFERROR(INDEX(Stats!$D:$D,MATCH($C143,Stats!$A:$A,0)),FALSE),ROUND(D143+(E143-D143)*(1+G143)*((9-1)/(MaxLevel-1))^(2^F143),0),D143+(E143-D143)*(1+G143)*((9-1)/(MaxLevel-1))^(2^F143)))</f>
        <v/>
      </c>
      <c r="Q143" s="12" t="str">
        <f>IF(OR(D143="",E143=""),"",IF(IFERROR(INDEX(Stats!$D:$D,MATCH($C143,Stats!$A:$A,0)),FALSE),ROUND(D143+(E143-D143)*(1+G143)*((10-1)/(MaxLevel-1))^(2^F143),0),D143+(E143-D143)*(1+G143)*((10-1)/(MaxLevel-1))^(2^F143)))</f>
        <v/>
      </c>
    </row>
    <row r="144" spans="1:17" x14ac:dyDescent="0.25">
      <c r="A144" s="4" t="s">
        <v>185</v>
      </c>
      <c r="B144" s="19" t="s">
        <v>223</v>
      </c>
      <c r="C144" s="4" t="s">
        <v>42</v>
      </c>
      <c r="D144" s="5"/>
      <c r="E144" s="5"/>
      <c r="F144" s="5"/>
      <c r="G144" s="5"/>
      <c r="H144" s="12" t="str">
        <f>IF(OR(D144="",E144=""),"",IF(IFERROR(INDEX(Stats!$D:$D,MATCH($C144,Stats!$A:$A,0)),FALSE),ROUND(D144+(E144-D144)*(1+G144)*((1-1)/(MaxLevel-1))^(2^F144),0),D144+(E144-D144)*(1+G144)*((1-1)/(MaxLevel-1))^(2^F144)))</f>
        <v/>
      </c>
      <c r="I144" s="12" t="str">
        <f>IF(OR(D144="",E144=""),"",IF(IFERROR(INDEX(Stats!$D:$D,MATCH($C144,Stats!$A:$A,0)),FALSE),ROUND(D144+(E144-D144)*(1+G144)*((2-1)/(MaxLevel-1))^(2^F144),0),D144+(E144-D144)*(1+G144)*((2-1)/(MaxLevel-1))^(2^F144)))</f>
        <v/>
      </c>
      <c r="J144" s="12" t="str">
        <f>IF(OR(D144="",E144=""),"",IF(IFERROR(INDEX(Stats!$D:$D,MATCH($C144,Stats!$A:$A,0)),FALSE),ROUND(D144+(E144-D144)*(1+G144)*((3-1)/(MaxLevel-1))^(2^F144),0),D144+(E144-D144)*(1+G144)*((3-1)/(MaxLevel-1))^(2^F144)))</f>
        <v/>
      </c>
      <c r="K144" s="12" t="str">
        <f>IF(OR(D144="",E144=""),"",IF(IFERROR(INDEX(Stats!$D:$D,MATCH($C144,Stats!$A:$A,0)),FALSE),ROUND(D144+(E144-D144)*(1+G144)*((4-1)/(MaxLevel-1))^(2^F144),0),D144+(E144-D144)*(1+G144)*((4-1)/(MaxLevel-1))^(2^F144)))</f>
        <v/>
      </c>
      <c r="L144" s="12" t="str">
        <f>IF(OR(D144="",E144=""),"",IF(IFERROR(INDEX(Stats!$D:$D,MATCH($C144,Stats!$A:$A,0)),FALSE),ROUND(D144+(E144-D144)*(1+G144)*((5-1)/(MaxLevel-1))^(2^F144),0),D144+(E144-D144)*(1+G144)*((5-1)/(MaxLevel-1))^(2^F144)))</f>
        <v/>
      </c>
      <c r="M144" s="12" t="str">
        <f>IF(OR(D144="",E144=""),"",IF(IFERROR(INDEX(Stats!$D:$D,MATCH($C144,Stats!$A:$A,0)),FALSE),ROUND(D144+(E144-D144)*(1+G144)*((6-1)/(MaxLevel-1))^(2^F144),0),D144+(E144-D144)*(1+G144)*((6-1)/(MaxLevel-1))^(2^F144)))</f>
        <v/>
      </c>
      <c r="N144" s="12" t="str">
        <f>IF(OR(D144="",E144=""),"",IF(IFERROR(INDEX(Stats!$D:$D,MATCH($C144,Stats!$A:$A,0)),FALSE),ROUND(D144+(E144-D144)*(1+G144)*((7-1)/(MaxLevel-1))^(2^F144),0),D144+(E144-D144)*(1+G144)*((7-1)/(MaxLevel-1))^(2^F144)))</f>
        <v/>
      </c>
      <c r="O144" s="12" t="str">
        <f>IF(OR(D144="",E144=""),"",IF(IFERROR(INDEX(Stats!$D:$D,MATCH($C144,Stats!$A:$A,0)),FALSE),ROUND(D144+(E144-D144)*(1+G144)*((8-1)/(MaxLevel-1))^(2^F144),0),D144+(E144-D144)*(1+G144)*((8-1)/(MaxLevel-1))^(2^F144)))</f>
        <v/>
      </c>
      <c r="P144" s="12" t="str">
        <f>IF(OR(D144="",E144=""),"",IF(IFERROR(INDEX(Stats!$D:$D,MATCH($C144,Stats!$A:$A,0)),FALSE),ROUND(D144+(E144-D144)*(1+G144)*((9-1)/(MaxLevel-1))^(2^F144),0),D144+(E144-D144)*(1+G144)*((9-1)/(MaxLevel-1))^(2^F144)))</f>
        <v/>
      </c>
      <c r="Q144" s="12" t="str">
        <f>IF(OR(D144="",E144=""),"",IF(IFERROR(INDEX(Stats!$D:$D,MATCH($C144,Stats!$A:$A,0)),FALSE),ROUND(D144+(E144-D144)*(1+G144)*((10-1)/(MaxLevel-1))^(2^F144),0),D144+(E144-D144)*(1+G144)*((10-1)/(MaxLevel-1))^(2^F144)))</f>
        <v/>
      </c>
    </row>
    <row r="145" spans="1:17" x14ac:dyDescent="0.25">
      <c r="A145" s="4" t="s">
        <v>185</v>
      </c>
      <c r="B145" s="19" t="s">
        <v>223</v>
      </c>
      <c r="C145" s="4" t="s">
        <v>44</v>
      </c>
      <c r="D145" s="5"/>
      <c r="E145" s="5"/>
      <c r="F145" s="5"/>
      <c r="G145" s="5"/>
      <c r="H145" s="12" t="str">
        <f>IF(OR(D145="",E145=""),"",IF(IFERROR(INDEX(Stats!$D:$D,MATCH($C145,Stats!$A:$A,0)),FALSE),ROUND(D145+(E145-D145)*(1+G145)*((1-1)/(MaxLevel-1))^(2^F145),0),D145+(E145-D145)*(1+G145)*((1-1)/(MaxLevel-1))^(2^F145)))</f>
        <v/>
      </c>
      <c r="I145" s="12" t="str">
        <f>IF(OR(D145="",E145=""),"",IF(IFERROR(INDEX(Stats!$D:$D,MATCH($C145,Stats!$A:$A,0)),FALSE),ROUND(D145+(E145-D145)*(1+G145)*((2-1)/(MaxLevel-1))^(2^F145),0),D145+(E145-D145)*(1+G145)*((2-1)/(MaxLevel-1))^(2^F145)))</f>
        <v/>
      </c>
      <c r="J145" s="12" t="str">
        <f>IF(OR(D145="",E145=""),"",IF(IFERROR(INDEX(Stats!$D:$D,MATCH($C145,Stats!$A:$A,0)),FALSE),ROUND(D145+(E145-D145)*(1+G145)*((3-1)/(MaxLevel-1))^(2^F145),0),D145+(E145-D145)*(1+G145)*((3-1)/(MaxLevel-1))^(2^F145)))</f>
        <v/>
      </c>
      <c r="K145" s="12" t="str">
        <f>IF(OR(D145="",E145=""),"",IF(IFERROR(INDEX(Stats!$D:$D,MATCH($C145,Stats!$A:$A,0)),FALSE),ROUND(D145+(E145-D145)*(1+G145)*((4-1)/(MaxLevel-1))^(2^F145),0),D145+(E145-D145)*(1+G145)*((4-1)/(MaxLevel-1))^(2^F145)))</f>
        <v/>
      </c>
      <c r="L145" s="12" t="str">
        <f>IF(OR(D145="",E145=""),"",IF(IFERROR(INDEX(Stats!$D:$D,MATCH($C145,Stats!$A:$A,0)),FALSE),ROUND(D145+(E145-D145)*(1+G145)*((5-1)/(MaxLevel-1))^(2^F145),0),D145+(E145-D145)*(1+G145)*((5-1)/(MaxLevel-1))^(2^F145)))</f>
        <v/>
      </c>
      <c r="M145" s="12" t="str">
        <f>IF(OR(D145="",E145=""),"",IF(IFERROR(INDEX(Stats!$D:$D,MATCH($C145,Stats!$A:$A,0)),FALSE),ROUND(D145+(E145-D145)*(1+G145)*((6-1)/(MaxLevel-1))^(2^F145),0),D145+(E145-D145)*(1+G145)*((6-1)/(MaxLevel-1))^(2^F145)))</f>
        <v/>
      </c>
      <c r="N145" s="12" t="str">
        <f>IF(OR(D145="",E145=""),"",IF(IFERROR(INDEX(Stats!$D:$D,MATCH($C145,Stats!$A:$A,0)),FALSE),ROUND(D145+(E145-D145)*(1+G145)*((7-1)/(MaxLevel-1))^(2^F145),0),D145+(E145-D145)*(1+G145)*((7-1)/(MaxLevel-1))^(2^F145)))</f>
        <v/>
      </c>
      <c r="O145" s="12" t="str">
        <f>IF(OR(D145="",E145=""),"",IF(IFERROR(INDEX(Stats!$D:$D,MATCH($C145,Stats!$A:$A,0)),FALSE),ROUND(D145+(E145-D145)*(1+G145)*((8-1)/(MaxLevel-1))^(2^F145),0),D145+(E145-D145)*(1+G145)*((8-1)/(MaxLevel-1))^(2^F145)))</f>
        <v/>
      </c>
      <c r="P145" s="12" t="str">
        <f>IF(OR(D145="",E145=""),"",IF(IFERROR(INDEX(Stats!$D:$D,MATCH($C145,Stats!$A:$A,0)),FALSE),ROUND(D145+(E145-D145)*(1+G145)*((9-1)/(MaxLevel-1))^(2^F145),0),D145+(E145-D145)*(1+G145)*((9-1)/(MaxLevel-1))^(2^F145)))</f>
        <v/>
      </c>
      <c r="Q145" s="12" t="str">
        <f>IF(OR(D145="",E145=""),"",IF(IFERROR(INDEX(Stats!$D:$D,MATCH($C145,Stats!$A:$A,0)),FALSE),ROUND(D145+(E145-D145)*(1+G145)*((10-1)/(MaxLevel-1))^(2^F145),0),D145+(E145-D145)*(1+G145)*((10-1)/(MaxLevel-1))^(2^F145)))</f>
        <v/>
      </c>
    </row>
    <row r="146" spans="1:17" x14ac:dyDescent="0.25">
      <c r="A146" s="4" t="s">
        <v>185</v>
      </c>
      <c r="B146" s="19" t="s">
        <v>223</v>
      </c>
      <c r="C146" s="4" t="s">
        <v>46</v>
      </c>
      <c r="D146" s="5">
        <v>300</v>
      </c>
      <c r="E146" s="5">
        <v>320</v>
      </c>
      <c r="F146" s="5">
        <v>0</v>
      </c>
      <c r="G146" s="5">
        <v>0</v>
      </c>
      <c r="H146" s="12">
        <f>IF(OR(D146="",E146=""),"",IF(IFERROR(INDEX(Stats!$D:$D,MATCH($C146,Stats!$A:$A,0)),FALSE),ROUND(D146+(E146-D146)*(1+G146)*((1-1)/(MaxLevel-1))^(2^F146),0),D146+(E146-D146)*(1+G146)*((1-1)/(MaxLevel-1))^(2^F146)))</f>
        <v>300</v>
      </c>
      <c r="I146" s="12">
        <f>IF(OR(D146="",E146=""),"",IF(IFERROR(INDEX(Stats!$D:$D,MATCH($C146,Stats!$A:$A,0)),FALSE),ROUND(D146+(E146-D146)*(1+G146)*((2-1)/(MaxLevel-1))^(2^F146),0),D146+(E146-D146)*(1+G146)*((2-1)/(MaxLevel-1))^(2^F146)))</f>
        <v>302.22222222222223</v>
      </c>
      <c r="J146" s="12">
        <f>IF(OR(D146="",E146=""),"",IF(IFERROR(INDEX(Stats!$D:$D,MATCH($C146,Stats!$A:$A,0)),FALSE),ROUND(D146+(E146-D146)*(1+G146)*((3-1)/(MaxLevel-1))^(2^F146),0),D146+(E146-D146)*(1+G146)*((3-1)/(MaxLevel-1))^(2^F146)))</f>
        <v>304.44444444444446</v>
      </c>
      <c r="K146" s="12">
        <f>IF(OR(D146="",E146=""),"",IF(IFERROR(INDEX(Stats!$D:$D,MATCH($C146,Stats!$A:$A,0)),FALSE),ROUND(D146+(E146-D146)*(1+G146)*((4-1)/(MaxLevel-1))^(2^F146),0),D146+(E146-D146)*(1+G146)*((4-1)/(MaxLevel-1))^(2^F146)))</f>
        <v>306.66666666666669</v>
      </c>
      <c r="L146" s="12">
        <f>IF(OR(D146="",E146=""),"",IF(IFERROR(INDEX(Stats!$D:$D,MATCH($C146,Stats!$A:$A,0)),FALSE),ROUND(D146+(E146-D146)*(1+G146)*((5-1)/(MaxLevel-1))^(2^F146),0),D146+(E146-D146)*(1+G146)*((5-1)/(MaxLevel-1))^(2^F146)))</f>
        <v>308.88888888888891</v>
      </c>
      <c r="M146" s="12">
        <f>IF(OR(D146="",E146=""),"",IF(IFERROR(INDEX(Stats!$D:$D,MATCH($C146,Stats!$A:$A,0)),FALSE),ROUND(D146+(E146-D146)*(1+G146)*((6-1)/(MaxLevel-1))^(2^F146),0),D146+(E146-D146)*(1+G146)*((6-1)/(MaxLevel-1))^(2^F146)))</f>
        <v>311.11111111111109</v>
      </c>
      <c r="N146" s="12">
        <f>IF(OR(D146="",E146=""),"",IF(IFERROR(INDEX(Stats!$D:$D,MATCH($C146,Stats!$A:$A,0)),FALSE),ROUND(D146+(E146-D146)*(1+G146)*((7-1)/(MaxLevel-1))^(2^F146),0),D146+(E146-D146)*(1+G146)*((7-1)/(MaxLevel-1))^(2^F146)))</f>
        <v>313.33333333333331</v>
      </c>
      <c r="O146" s="12">
        <f>IF(OR(D146="",E146=""),"",IF(IFERROR(INDEX(Stats!$D:$D,MATCH($C146,Stats!$A:$A,0)),FALSE),ROUND(D146+(E146-D146)*(1+G146)*((8-1)/(MaxLevel-1))^(2^F146),0),D146+(E146-D146)*(1+G146)*((8-1)/(MaxLevel-1))^(2^F146)))</f>
        <v>315.55555555555554</v>
      </c>
      <c r="P146" s="12">
        <f>IF(OR(D146="",E146=""),"",IF(IFERROR(INDEX(Stats!$D:$D,MATCH($C146,Stats!$A:$A,0)),FALSE),ROUND(D146+(E146-D146)*(1+G146)*((9-1)/(MaxLevel-1))^(2^F146),0),D146+(E146-D146)*(1+G146)*((9-1)/(MaxLevel-1))^(2^F146)))</f>
        <v>317.77777777777777</v>
      </c>
      <c r="Q146" s="12">
        <f>IF(OR(D146="",E146=""),"",IF(IFERROR(INDEX(Stats!$D:$D,MATCH($C146,Stats!$A:$A,0)),FALSE),ROUND(D146+(E146-D146)*(1+G146)*((10-1)/(MaxLevel-1))^(2^F146),0),D146+(E146-D146)*(1+G146)*((10-1)/(MaxLevel-1))^(2^F146)))</f>
        <v>320</v>
      </c>
    </row>
    <row r="147" spans="1:17" x14ac:dyDescent="0.25">
      <c r="A147" s="4" t="s">
        <v>185</v>
      </c>
      <c r="B147" s="19" t="s">
        <v>223</v>
      </c>
      <c r="C147" s="4" t="s">
        <v>48</v>
      </c>
      <c r="D147" s="5"/>
      <c r="E147" s="5"/>
      <c r="F147" s="5"/>
      <c r="G147" s="5"/>
      <c r="H147" s="12" t="str">
        <f>IF(OR(D147="",E147=""),"",IF(IFERROR(INDEX(Stats!$D:$D,MATCH($C147,Stats!$A:$A,0)),FALSE),ROUND(D147+(E147-D147)*(1+G147)*((1-1)/(MaxLevel-1))^(2^F147),0),D147+(E147-D147)*(1+G147)*((1-1)/(MaxLevel-1))^(2^F147)))</f>
        <v/>
      </c>
      <c r="I147" s="12" t="str">
        <f>IF(OR(D147="",E147=""),"",IF(IFERROR(INDEX(Stats!$D:$D,MATCH($C147,Stats!$A:$A,0)),FALSE),ROUND(D147+(E147-D147)*(1+G147)*((2-1)/(MaxLevel-1))^(2^F147),0),D147+(E147-D147)*(1+G147)*((2-1)/(MaxLevel-1))^(2^F147)))</f>
        <v/>
      </c>
      <c r="J147" s="12" t="str">
        <f>IF(OR(D147="",E147=""),"",IF(IFERROR(INDEX(Stats!$D:$D,MATCH($C147,Stats!$A:$A,0)),FALSE),ROUND(D147+(E147-D147)*(1+G147)*((3-1)/(MaxLevel-1))^(2^F147),0),D147+(E147-D147)*(1+G147)*((3-1)/(MaxLevel-1))^(2^F147)))</f>
        <v/>
      </c>
      <c r="K147" s="12" t="str">
        <f>IF(OR(D147="",E147=""),"",IF(IFERROR(INDEX(Stats!$D:$D,MATCH($C147,Stats!$A:$A,0)),FALSE),ROUND(D147+(E147-D147)*(1+G147)*((4-1)/(MaxLevel-1))^(2^F147),0),D147+(E147-D147)*(1+G147)*((4-1)/(MaxLevel-1))^(2^F147)))</f>
        <v/>
      </c>
      <c r="L147" s="12" t="str">
        <f>IF(OR(D147="",E147=""),"",IF(IFERROR(INDEX(Stats!$D:$D,MATCH($C147,Stats!$A:$A,0)),FALSE),ROUND(D147+(E147-D147)*(1+G147)*((5-1)/(MaxLevel-1))^(2^F147),0),D147+(E147-D147)*(1+G147)*((5-1)/(MaxLevel-1))^(2^F147)))</f>
        <v/>
      </c>
      <c r="M147" s="12" t="str">
        <f>IF(OR(D147="",E147=""),"",IF(IFERROR(INDEX(Stats!$D:$D,MATCH($C147,Stats!$A:$A,0)),FALSE),ROUND(D147+(E147-D147)*(1+G147)*((6-1)/(MaxLevel-1))^(2^F147),0),D147+(E147-D147)*(1+G147)*((6-1)/(MaxLevel-1))^(2^F147)))</f>
        <v/>
      </c>
      <c r="N147" s="12" t="str">
        <f>IF(OR(D147="",E147=""),"",IF(IFERROR(INDEX(Stats!$D:$D,MATCH($C147,Stats!$A:$A,0)),FALSE),ROUND(D147+(E147-D147)*(1+G147)*((7-1)/(MaxLevel-1))^(2^F147),0),D147+(E147-D147)*(1+G147)*((7-1)/(MaxLevel-1))^(2^F147)))</f>
        <v/>
      </c>
      <c r="O147" s="12" t="str">
        <f>IF(OR(D147="",E147=""),"",IF(IFERROR(INDEX(Stats!$D:$D,MATCH($C147,Stats!$A:$A,0)),FALSE),ROUND(D147+(E147-D147)*(1+G147)*((8-1)/(MaxLevel-1))^(2^F147),0),D147+(E147-D147)*(1+G147)*((8-1)/(MaxLevel-1))^(2^F147)))</f>
        <v/>
      </c>
      <c r="P147" s="12" t="str">
        <f>IF(OR(D147="",E147=""),"",IF(IFERROR(INDEX(Stats!$D:$D,MATCH($C147,Stats!$A:$A,0)),FALSE),ROUND(D147+(E147-D147)*(1+G147)*((9-1)/(MaxLevel-1))^(2^F147),0),D147+(E147-D147)*(1+G147)*((9-1)/(MaxLevel-1))^(2^F147)))</f>
        <v/>
      </c>
      <c r="Q147" s="12" t="str">
        <f>IF(OR(D147="",E147=""),"",IF(IFERROR(INDEX(Stats!$D:$D,MATCH($C147,Stats!$A:$A,0)),FALSE),ROUND(D147+(E147-D147)*(1+G147)*((10-1)/(MaxLevel-1))^(2^F147),0),D147+(E147-D147)*(1+G147)*((10-1)/(MaxLevel-1))^(2^F147)))</f>
        <v/>
      </c>
    </row>
    <row r="148" spans="1:17" x14ac:dyDescent="0.25">
      <c r="A148" s="4" t="s">
        <v>185</v>
      </c>
      <c r="B148" s="19" t="s">
        <v>223</v>
      </c>
      <c r="C148" s="4" t="s">
        <v>50</v>
      </c>
      <c r="D148" s="5"/>
      <c r="E148" s="5"/>
      <c r="F148" s="5"/>
      <c r="G148" s="5"/>
      <c r="H148" s="12" t="str">
        <f>IF(OR(D148="",E148=""),"",IF(IFERROR(INDEX(Stats!$D:$D,MATCH($C148,Stats!$A:$A,0)),FALSE),ROUND(D148+(E148-D148)*(1+G148)*((1-1)/(MaxLevel-1))^(2^F148),0),D148+(E148-D148)*(1+G148)*((1-1)/(MaxLevel-1))^(2^F148)))</f>
        <v/>
      </c>
      <c r="I148" s="12" t="str">
        <f>IF(OR(D148="",E148=""),"",IF(IFERROR(INDEX(Stats!$D:$D,MATCH($C148,Stats!$A:$A,0)),FALSE),ROUND(D148+(E148-D148)*(1+G148)*((2-1)/(MaxLevel-1))^(2^F148),0),D148+(E148-D148)*(1+G148)*((2-1)/(MaxLevel-1))^(2^F148)))</f>
        <v/>
      </c>
      <c r="J148" s="12" t="str">
        <f>IF(OR(D148="",E148=""),"",IF(IFERROR(INDEX(Stats!$D:$D,MATCH($C148,Stats!$A:$A,0)),FALSE),ROUND(D148+(E148-D148)*(1+G148)*((3-1)/(MaxLevel-1))^(2^F148),0),D148+(E148-D148)*(1+G148)*((3-1)/(MaxLevel-1))^(2^F148)))</f>
        <v/>
      </c>
      <c r="K148" s="12" t="str">
        <f>IF(OR(D148="",E148=""),"",IF(IFERROR(INDEX(Stats!$D:$D,MATCH($C148,Stats!$A:$A,0)),FALSE),ROUND(D148+(E148-D148)*(1+G148)*((4-1)/(MaxLevel-1))^(2^F148),0),D148+(E148-D148)*(1+G148)*((4-1)/(MaxLevel-1))^(2^F148)))</f>
        <v/>
      </c>
      <c r="L148" s="12" t="str">
        <f>IF(OR(D148="",E148=""),"",IF(IFERROR(INDEX(Stats!$D:$D,MATCH($C148,Stats!$A:$A,0)),FALSE),ROUND(D148+(E148-D148)*(1+G148)*((5-1)/(MaxLevel-1))^(2^F148),0),D148+(E148-D148)*(1+G148)*((5-1)/(MaxLevel-1))^(2^F148)))</f>
        <v/>
      </c>
      <c r="M148" s="12" t="str">
        <f>IF(OR(D148="",E148=""),"",IF(IFERROR(INDEX(Stats!$D:$D,MATCH($C148,Stats!$A:$A,0)),FALSE),ROUND(D148+(E148-D148)*(1+G148)*((6-1)/(MaxLevel-1))^(2^F148),0),D148+(E148-D148)*(1+G148)*((6-1)/(MaxLevel-1))^(2^F148)))</f>
        <v/>
      </c>
      <c r="N148" s="12" t="str">
        <f>IF(OR(D148="",E148=""),"",IF(IFERROR(INDEX(Stats!$D:$D,MATCH($C148,Stats!$A:$A,0)),FALSE),ROUND(D148+(E148-D148)*(1+G148)*((7-1)/(MaxLevel-1))^(2^F148),0),D148+(E148-D148)*(1+G148)*((7-1)/(MaxLevel-1))^(2^F148)))</f>
        <v/>
      </c>
      <c r="O148" s="12" t="str">
        <f>IF(OR(D148="",E148=""),"",IF(IFERROR(INDEX(Stats!$D:$D,MATCH($C148,Stats!$A:$A,0)),FALSE),ROUND(D148+(E148-D148)*(1+G148)*((8-1)/(MaxLevel-1))^(2^F148),0),D148+(E148-D148)*(1+G148)*((8-1)/(MaxLevel-1))^(2^F148)))</f>
        <v/>
      </c>
      <c r="P148" s="12" t="str">
        <f>IF(OR(D148="",E148=""),"",IF(IFERROR(INDEX(Stats!$D:$D,MATCH($C148,Stats!$A:$A,0)),FALSE),ROUND(D148+(E148-D148)*(1+G148)*((9-1)/(MaxLevel-1))^(2^F148),0),D148+(E148-D148)*(1+G148)*((9-1)/(MaxLevel-1))^(2^F148)))</f>
        <v/>
      </c>
      <c r="Q148" s="12" t="str">
        <f>IF(OR(D148="",E148=""),"",IF(IFERROR(INDEX(Stats!$D:$D,MATCH($C148,Stats!$A:$A,0)),FALSE),ROUND(D148+(E148-D148)*(1+G148)*((10-1)/(MaxLevel-1))^(2^F148),0),D148+(E148-D148)*(1+G148)*((10-1)/(MaxLevel-1))^(2^F148)))</f>
        <v/>
      </c>
    </row>
    <row r="149" spans="1:17" x14ac:dyDescent="0.25">
      <c r="A149" s="4" t="s">
        <v>185</v>
      </c>
      <c r="B149" s="19" t="s">
        <v>223</v>
      </c>
      <c r="C149" s="4" t="s">
        <v>52</v>
      </c>
      <c r="D149" s="5"/>
      <c r="E149" s="5"/>
      <c r="F149" s="5"/>
      <c r="G149" s="5"/>
      <c r="H149" s="12" t="str">
        <f>IF(OR(D149="",E149=""),"",IF(IFERROR(INDEX(Stats!$D:$D,MATCH($C149,Stats!$A:$A,0)),FALSE),ROUND(D149+(E149-D149)*(1+G149)*((1-1)/(MaxLevel-1))^(2^F149),0),D149+(E149-D149)*(1+G149)*((1-1)/(MaxLevel-1))^(2^F149)))</f>
        <v/>
      </c>
      <c r="I149" s="12" t="str">
        <f>IF(OR(D149="",E149=""),"",IF(IFERROR(INDEX(Stats!$D:$D,MATCH($C149,Stats!$A:$A,0)),FALSE),ROUND(D149+(E149-D149)*(1+G149)*((2-1)/(MaxLevel-1))^(2^F149),0),D149+(E149-D149)*(1+G149)*((2-1)/(MaxLevel-1))^(2^F149)))</f>
        <v/>
      </c>
      <c r="J149" s="12" t="str">
        <f>IF(OR(D149="",E149=""),"",IF(IFERROR(INDEX(Stats!$D:$D,MATCH($C149,Stats!$A:$A,0)),FALSE),ROUND(D149+(E149-D149)*(1+G149)*((3-1)/(MaxLevel-1))^(2^F149),0),D149+(E149-D149)*(1+G149)*((3-1)/(MaxLevel-1))^(2^F149)))</f>
        <v/>
      </c>
      <c r="K149" s="12" t="str">
        <f>IF(OR(D149="",E149=""),"",IF(IFERROR(INDEX(Stats!$D:$D,MATCH($C149,Stats!$A:$A,0)),FALSE),ROUND(D149+(E149-D149)*(1+G149)*((4-1)/(MaxLevel-1))^(2^F149),0),D149+(E149-D149)*(1+G149)*((4-1)/(MaxLevel-1))^(2^F149)))</f>
        <v/>
      </c>
      <c r="L149" s="12" t="str">
        <f>IF(OR(D149="",E149=""),"",IF(IFERROR(INDEX(Stats!$D:$D,MATCH($C149,Stats!$A:$A,0)),FALSE),ROUND(D149+(E149-D149)*(1+G149)*((5-1)/(MaxLevel-1))^(2^F149),0),D149+(E149-D149)*(1+G149)*((5-1)/(MaxLevel-1))^(2^F149)))</f>
        <v/>
      </c>
      <c r="M149" s="12" t="str">
        <f>IF(OR(D149="",E149=""),"",IF(IFERROR(INDEX(Stats!$D:$D,MATCH($C149,Stats!$A:$A,0)),FALSE),ROUND(D149+(E149-D149)*(1+G149)*((6-1)/(MaxLevel-1))^(2^F149),0),D149+(E149-D149)*(1+G149)*((6-1)/(MaxLevel-1))^(2^F149)))</f>
        <v/>
      </c>
      <c r="N149" s="12" t="str">
        <f>IF(OR(D149="",E149=""),"",IF(IFERROR(INDEX(Stats!$D:$D,MATCH($C149,Stats!$A:$A,0)),FALSE),ROUND(D149+(E149-D149)*(1+G149)*((7-1)/(MaxLevel-1))^(2^F149),0),D149+(E149-D149)*(1+G149)*((7-1)/(MaxLevel-1))^(2^F149)))</f>
        <v/>
      </c>
      <c r="O149" s="12" t="str">
        <f>IF(OR(D149="",E149=""),"",IF(IFERROR(INDEX(Stats!$D:$D,MATCH($C149,Stats!$A:$A,0)),FALSE),ROUND(D149+(E149-D149)*(1+G149)*((8-1)/(MaxLevel-1))^(2^F149),0),D149+(E149-D149)*(1+G149)*((8-1)/(MaxLevel-1))^(2^F149)))</f>
        <v/>
      </c>
      <c r="P149" s="12" t="str">
        <f>IF(OR(D149="",E149=""),"",IF(IFERROR(INDEX(Stats!$D:$D,MATCH($C149,Stats!$A:$A,0)),FALSE),ROUND(D149+(E149-D149)*(1+G149)*((9-1)/(MaxLevel-1))^(2^F149),0),D149+(E149-D149)*(1+G149)*((9-1)/(MaxLevel-1))^(2^F149)))</f>
        <v/>
      </c>
      <c r="Q149" s="12" t="str">
        <f>IF(OR(D149="",E149=""),"",IF(IFERROR(INDEX(Stats!$D:$D,MATCH($C149,Stats!$A:$A,0)),FALSE),ROUND(D149+(E149-D149)*(1+G149)*((10-1)/(MaxLevel-1))^(2^F149),0),D149+(E149-D149)*(1+G149)*((10-1)/(MaxLevel-1))^(2^F149)))</f>
        <v/>
      </c>
    </row>
    <row r="150" spans="1:17" x14ac:dyDescent="0.25">
      <c r="A150" s="4" t="s">
        <v>185</v>
      </c>
      <c r="B150" s="19" t="s">
        <v>223</v>
      </c>
      <c r="C150" s="4" t="s">
        <v>54</v>
      </c>
      <c r="D150" s="5"/>
      <c r="E150" s="5"/>
      <c r="F150" s="5"/>
      <c r="G150" s="5"/>
      <c r="H150" s="12" t="str">
        <f>IF(OR(D150="",E150=""),"",IF(IFERROR(INDEX(Stats!$D:$D,MATCH($C150,Stats!$A:$A,0)),FALSE),ROUND(D150+(E150-D150)*(1+G150)*((1-1)/(MaxLevel-1))^(2^F150),0),D150+(E150-D150)*(1+G150)*((1-1)/(MaxLevel-1))^(2^F150)))</f>
        <v/>
      </c>
      <c r="I150" s="12" t="str">
        <f>IF(OR(D150="",E150=""),"",IF(IFERROR(INDEX(Stats!$D:$D,MATCH($C150,Stats!$A:$A,0)),FALSE),ROUND(D150+(E150-D150)*(1+G150)*((2-1)/(MaxLevel-1))^(2^F150),0),D150+(E150-D150)*(1+G150)*((2-1)/(MaxLevel-1))^(2^F150)))</f>
        <v/>
      </c>
      <c r="J150" s="12" t="str">
        <f>IF(OR(D150="",E150=""),"",IF(IFERROR(INDEX(Stats!$D:$D,MATCH($C150,Stats!$A:$A,0)),FALSE),ROUND(D150+(E150-D150)*(1+G150)*((3-1)/(MaxLevel-1))^(2^F150),0),D150+(E150-D150)*(1+G150)*((3-1)/(MaxLevel-1))^(2^F150)))</f>
        <v/>
      </c>
      <c r="K150" s="12" t="str">
        <f>IF(OR(D150="",E150=""),"",IF(IFERROR(INDEX(Stats!$D:$D,MATCH($C150,Stats!$A:$A,0)),FALSE),ROUND(D150+(E150-D150)*(1+G150)*((4-1)/(MaxLevel-1))^(2^F150),0),D150+(E150-D150)*(1+G150)*((4-1)/(MaxLevel-1))^(2^F150)))</f>
        <v/>
      </c>
      <c r="L150" s="12" t="str">
        <f>IF(OR(D150="",E150=""),"",IF(IFERROR(INDEX(Stats!$D:$D,MATCH($C150,Stats!$A:$A,0)),FALSE),ROUND(D150+(E150-D150)*(1+G150)*((5-1)/(MaxLevel-1))^(2^F150),0),D150+(E150-D150)*(1+G150)*((5-1)/(MaxLevel-1))^(2^F150)))</f>
        <v/>
      </c>
      <c r="M150" s="12" t="str">
        <f>IF(OR(D150="",E150=""),"",IF(IFERROR(INDEX(Stats!$D:$D,MATCH($C150,Stats!$A:$A,0)),FALSE),ROUND(D150+(E150-D150)*(1+G150)*((6-1)/(MaxLevel-1))^(2^F150),0),D150+(E150-D150)*(1+G150)*((6-1)/(MaxLevel-1))^(2^F150)))</f>
        <v/>
      </c>
      <c r="N150" s="12" t="str">
        <f>IF(OR(D150="",E150=""),"",IF(IFERROR(INDEX(Stats!$D:$D,MATCH($C150,Stats!$A:$A,0)),FALSE),ROUND(D150+(E150-D150)*(1+G150)*((7-1)/(MaxLevel-1))^(2^F150),0),D150+(E150-D150)*(1+G150)*((7-1)/(MaxLevel-1))^(2^F150)))</f>
        <v/>
      </c>
      <c r="O150" s="12" t="str">
        <f>IF(OR(D150="",E150=""),"",IF(IFERROR(INDEX(Stats!$D:$D,MATCH($C150,Stats!$A:$A,0)),FALSE),ROUND(D150+(E150-D150)*(1+G150)*((8-1)/(MaxLevel-1))^(2^F150),0),D150+(E150-D150)*(1+G150)*((8-1)/(MaxLevel-1))^(2^F150)))</f>
        <v/>
      </c>
      <c r="P150" s="12" t="str">
        <f>IF(OR(D150="",E150=""),"",IF(IFERROR(INDEX(Stats!$D:$D,MATCH($C150,Stats!$A:$A,0)),FALSE),ROUND(D150+(E150-D150)*(1+G150)*((9-1)/(MaxLevel-1))^(2^F150),0),D150+(E150-D150)*(1+G150)*((9-1)/(MaxLevel-1))^(2^F150)))</f>
        <v/>
      </c>
      <c r="Q150" s="12" t="str">
        <f>IF(OR(D150="",E150=""),"",IF(IFERROR(INDEX(Stats!$D:$D,MATCH($C150,Stats!$A:$A,0)),FALSE),ROUND(D150+(E150-D150)*(1+G150)*((10-1)/(MaxLevel-1))^(2^F150),0),D150+(E150-D150)*(1+G150)*((10-1)/(MaxLevel-1))^(2^F150)))</f>
        <v/>
      </c>
    </row>
    <row r="151" spans="1:17" x14ac:dyDescent="0.25">
      <c r="A151" s="4" t="s">
        <v>185</v>
      </c>
      <c r="B151" s="19" t="s">
        <v>223</v>
      </c>
      <c r="C151" s="4" t="s">
        <v>56</v>
      </c>
      <c r="D151" s="5"/>
      <c r="E151" s="5"/>
      <c r="F151" s="5"/>
      <c r="G151" s="5"/>
      <c r="H151" s="12" t="str">
        <f>IF(OR(D151="",E151=""),"",IF(IFERROR(INDEX(Stats!$D:$D,MATCH($C151,Stats!$A:$A,0)),FALSE),ROUND(D151+(E151-D151)*(1+G151)*((1-1)/(MaxLevel-1))^(2^F151),0),D151+(E151-D151)*(1+G151)*((1-1)/(MaxLevel-1))^(2^F151)))</f>
        <v/>
      </c>
      <c r="I151" s="12" t="str">
        <f>IF(OR(D151="",E151=""),"",IF(IFERROR(INDEX(Stats!$D:$D,MATCH($C151,Stats!$A:$A,0)),FALSE),ROUND(D151+(E151-D151)*(1+G151)*((2-1)/(MaxLevel-1))^(2^F151),0),D151+(E151-D151)*(1+G151)*((2-1)/(MaxLevel-1))^(2^F151)))</f>
        <v/>
      </c>
      <c r="J151" s="12" t="str">
        <f>IF(OR(D151="",E151=""),"",IF(IFERROR(INDEX(Stats!$D:$D,MATCH($C151,Stats!$A:$A,0)),FALSE),ROUND(D151+(E151-D151)*(1+G151)*((3-1)/(MaxLevel-1))^(2^F151),0),D151+(E151-D151)*(1+G151)*((3-1)/(MaxLevel-1))^(2^F151)))</f>
        <v/>
      </c>
      <c r="K151" s="12" t="str">
        <f>IF(OR(D151="",E151=""),"",IF(IFERROR(INDEX(Stats!$D:$D,MATCH($C151,Stats!$A:$A,0)),FALSE),ROUND(D151+(E151-D151)*(1+G151)*((4-1)/(MaxLevel-1))^(2^F151),0),D151+(E151-D151)*(1+G151)*((4-1)/(MaxLevel-1))^(2^F151)))</f>
        <v/>
      </c>
      <c r="L151" s="12" t="str">
        <f>IF(OR(D151="",E151=""),"",IF(IFERROR(INDEX(Stats!$D:$D,MATCH($C151,Stats!$A:$A,0)),FALSE),ROUND(D151+(E151-D151)*(1+G151)*((5-1)/(MaxLevel-1))^(2^F151),0),D151+(E151-D151)*(1+G151)*((5-1)/(MaxLevel-1))^(2^F151)))</f>
        <v/>
      </c>
      <c r="M151" s="12" t="str">
        <f>IF(OR(D151="",E151=""),"",IF(IFERROR(INDEX(Stats!$D:$D,MATCH($C151,Stats!$A:$A,0)),FALSE),ROUND(D151+(E151-D151)*(1+G151)*((6-1)/(MaxLevel-1))^(2^F151),0),D151+(E151-D151)*(1+G151)*((6-1)/(MaxLevel-1))^(2^F151)))</f>
        <v/>
      </c>
      <c r="N151" s="12" t="str">
        <f>IF(OR(D151="",E151=""),"",IF(IFERROR(INDEX(Stats!$D:$D,MATCH($C151,Stats!$A:$A,0)),FALSE),ROUND(D151+(E151-D151)*(1+G151)*((7-1)/(MaxLevel-1))^(2^F151),0),D151+(E151-D151)*(1+G151)*((7-1)/(MaxLevel-1))^(2^F151)))</f>
        <v/>
      </c>
      <c r="O151" s="12" t="str">
        <f>IF(OR(D151="",E151=""),"",IF(IFERROR(INDEX(Stats!$D:$D,MATCH($C151,Stats!$A:$A,0)),FALSE),ROUND(D151+(E151-D151)*(1+G151)*((8-1)/(MaxLevel-1))^(2^F151),0),D151+(E151-D151)*(1+G151)*((8-1)/(MaxLevel-1))^(2^F151)))</f>
        <v/>
      </c>
      <c r="P151" s="12" t="str">
        <f>IF(OR(D151="",E151=""),"",IF(IFERROR(INDEX(Stats!$D:$D,MATCH($C151,Stats!$A:$A,0)),FALSE),ROUND(D151+(E151-D151)*(1+G151)*((9-1)/(MaxLevel-1))^(2^F151),0),D151+(E151-D151)*(1+G151)*((9-1)/(MaxLevel-1))^(2^F151)))</f>
        <v/>
      </c>
      <c r="Q151" s="12" t="str">
        <f>IF(OR(D151="",E151=""),"",IF(IFERROR(INDEX(Stats!$D:$D,MATCH($C151,Stats!$A:$A,0)),FALSE),ROUND(D151+(E151-D151)*(1+G151)*((10-1)/(MaxLevel-1))^(2^F151),0),D151+(E151-D151)*(1+G151)*((10-1)/(MaxLevel-1))^(2^F151)))</f>
        <v/>
      </c>
    </row>
    <row r="152" spans="1:17" x14ac:dyDescent="0.25">
      <c r="A152" s="4" t="s">
        <v>185</v>
      </c>
      <c r="B152" s="19" t="s">
        <v>223</v>
      </c>
      <c r="C152" s="4" t="s">
        <v>58</v>
      </c>
      <c r="D152" s="5"/>
      <c r="E152" s="5"/>
      <c r="F152" s="5"/>
      <c r="G152" s="5"/>
      <c r="H152" s="12" t="str">
        <f>IF(OR(D152="",E152=""),"",IF(IFERROR(INDEX(Stats!$D:$D,MATCH($C152,Stats!$A:$A,0)),FALSE),ROUND(D152+(E152-D152)*(1+G152)*((1-1)/(MaxLevel-1))^(2^F152),0),D152+(E152-D152)*(1+G152)*((1-1)/(MaxLevel-1))^(2^F152)))</f>
        <v/>
      </c>
      <c r="I152" s="12" t="str">
        <f>IF(OR(D152="",E152=""),"",IF(IFERROR(INDEX(Stats!$D:$D,MATCH($C152,Stats!$A:$A,0)),FALSE),ROUND(D152+(E152-D152)*(1+G152)*((2-1)/(MaxLevel-1))^(2^F152),0),D152+(E152-D152)*(1+G152)*((2-1)/(MaxLevel-1))^(2^F152)))</f>
        <v/>
      </c>
      <c r="J152" s="12" t="str">
        <f>IF(OR(D152="",E152=""),"",IF(IFERROR(INDEX(Stats!$D:$D,MATCH($C152,Stats!$A:$A,0)),FALSE),ROUND(D152+(E152-D152)*(1+G152)*((3-1)/(MaxLevel-1))^(2^F152),0),D152+(E152-D152)*(1+G152)*((3-1)/(MaxLevel-1))^(2^F152)))</f>
        <v/>
      </c>
      <c r="K152" s="12" t="str">
        <f>IF(OR(D152="",E152=""),"",IF(IFERROR(INDEX(Stats!$D:$D,MATCH($C152,Stats!$A:$A,0)),FALSE),ROUND(D152+(E152-D152)*(1+G152)*((4-1)/(MaxLevel-1))^(2^F152),0),D152+(E152-D152)*(1+G152)*((4-1)/(MaxLevel-1))^(2^F152)))</f>
        <v/>
      </c>
      <c r="L152" s="12" t="str">
        <f>IF(OR(D152="",E152=""),"",IF(IFERROR(INDEX(Stats!$D:$D,MATCH($C152,Stats!$A:$A,0)),FALSE),ROUND(D152+(E152-D152)*(1+G152)*((5-1)/(MaxLevel-1))^(2^F152),0),D152+(E152-D152)*(1+G152)*((5-1)/(MaxLevel-1))^(2^F152)))</f>
        <v/>
      </c>
      <c r="M152" s="12" t="str">
        <f>IF(OR(D152="",E152=""),"",IF(IFERROR(INDEX(Stats!$D:$D,MATCH($C152,Stats!$A:$A,0)),FALSE),ROUND(D152+(E152-D152)*(1+G152)*((6-1)/(MaxLevel-1))^(2^F152),0),D152+(E152-D152)*(1+G152)*((6-1)/(MaxLevel-1))^(2^F152)))</f>
        <v/>
      </c>
      <c r="N152" s="12" t="str">
        <f>IF(OR(D152="",E152=""),"",IF(IFERROR(INDEX(Stats!$D:$D,MATCH($C152,Stats!$A:$A,0)),FALSE),ROUND(D152+(E152-D152)*(1+G152)*((7-1)/(MaxLevel-1))^(2^F152),0),D152+(E152-D152)*(1+G152)*((7-1)/(MaxLevel-1))^(2^F152)))</f>
        <v/>
      </c>
      <c r="O152" s="12" t="str">
        <f>IF(OR(D152="",E152=""),"",IF(IFERROR(INDEX(Stats!$D:$D,MATCH($C152,Stats!$A:$A,0)),FALSE),ROUND(D152+(E152-D152)*(1+G152)*((8-1)/(MaxLevel-1))^(2^F152),0),D152+(E152-D152)*(1+G152)*((8-1)/(MaxLevel-1))^(2^F152)))</f>
        <v/>
      </c>
      <c r="P152" s="12" t="str">
        <f>IF(OR(D152="",E152=""),"",IF(IFERROR(INDEX(Stats!$D:$D,MATCH($C152,Stats!$A:$A,0)),FALSE),ROUND(D152+(E152-D152)*(1+G152)*((9-1)/(MaxLevel-1))^(2^F152),0),D152+(E152-D152)*(1+G152)*((9-1)/(MaxLevel-1))^(2^F152)))</f>
        <v/>
      </c>
      <c r="Q152" s="12" t="str">
        <f>IF(OR(D152="",E152=""),"",IF(IFERROR(INDEX(Stats!$D:$D,MATCH($C152,Stats!$A:$A,0)),FALSE),ROUND(D152+(E152-D152)*(1+G152)*((10-1)/(MaxLevel-1))^(2^F152),0),D152+(E152-D152)*(1+G152)*((10-1)/(MaxLevel-1))^(2^F152)))</f>
        <v/>
      </c>
    </row>
    <row r="153" spans="1:17" x14ac:dyDescent="0.25">
      <c r="A153" s="4" t="s">
        <v>185</v>
      </c>
      <c r="B153" s="19" t="s">
        <v>223</v>
      </c>
      <c r="C153" s="4" t="s">
        <v>60</v>
      </c>
      <c r="D153" s="5"/>
      <c r="E153" s="5"/>
      <c r="F153" s="5"/>
      <c r="G153" s="5"/>
      <c r="H153" s="12" t="str">
        <f>IF(OR(D153="",E153=""),"",IF(IFERROR(INDEX(Stats!$D:$D,MATCH($C153,Stats!$A:$A,0)),FALSE),ROUND(D153+(E153-D153)*(1+G153)*((1-1)/(MaxLevel-1))^(2^F153),0),D153+(E153-D153)*(1+G153)*((1-1)/(MaxLevel-1))^(2^F153)))</f>
        <v/>
      </c>
      <c r="I153" s="12" t="str">
        <f>IF(OR(D153="",E153=""),"",IF(IFERROR(INDEX(Stats!$D:$D,MATCH($C153,Stats!$A:$A,0)),FALSE),ROUND(D153+(E153-D153)*(1+G153)*((2-1)/(MaxLevel-1))^(2^F153),0),D153+(E153-D153)*(1+G153)*((2-1)/(MaxLevel-1))^(2^F153)))</f>
        <v/>
      </c>
      <c r="J153" s="12" t="str">
        <f>IF(OR(D153="",E153=""),"",IF(IFERROR(INDEX(Stats!$D:$D,MATCH($C153,Stats!$A:$A,0)),FALSE),ROUND(D153+(E153-D153)*(1+G153)*((3-1)/(MaxLevel-1))^(2^F153),0),D153+(E153-D153)*(1+G153)*((3-1)/(MaxLevel-1))^(2^F153)))</f>
        <v/>
      </c>
      <c r="K153" s="12" t="str">
        <f>IF(OR(D153="",E153=""),"",IF(IFERROR(INDEX(Stats!$D:$D,MATCH($C153,Stats!$A:$A,0)),FALSE),ROUND(D153+(E153-D153)*(1+G153)*((4-1)/(MaxLevel-1))^(2^F153),0),D153+(E153-D153)*(1+G153)*((4-1)/(MaxLevel-1))^(2^F153)))</f>
        <v/>
      </c>
      <c r="L153" s="12" t="str">
        <f>IF(OR(D153="",E153=""),"",IF(IFERROR(INDEX(Stats!$D:$D,MATCH($C153,Stats!$A:$A,0)),FALSE),ROUND(D153+(E153-D153)*(1+G153)*((5-1)/(MaxLevel-1))^(2^F153),0),D153+(E153-D153)*(1+G153)*((5-1)/(MaxLevel-1))^(2^F153)))</f>
        <v/>
      </c>
      <c r="M153" s="12" t="str">
        <f>IF(OR(D153="",E153=""),"",IF(IFERROR(INDEX(Stats!$D:$D,MATCH($C153,Stats!$A:$A,0)),FALSE),ROUND(D153+(E153-D153)*(1+G153)*((6-1)/(MaxLevel-1))^(2^F153),0),D153+(E153-D153)*(1+G153)*((6-1)/(MaxLevel-1))^(2^F153)))</f>
        <v/>
      </c>
      <c r="N153" s="12" t="str">
        <f>IF(OR(D153="",E153=""),"",IF(IFERROR(INDEX(Stats!$D:$D,MATCH($C153,Stats!$A:$A,0)),FALSE),ROUND(D153+(E153-D153)*(1+G153)*((7-1)/(MaxLevel-1))^(2^F153),0),D153+(E153-D153)*(1+G153)*((7-1)/(MaxLevel-1))^(2^F153)))</f>
        <v/>
      </c>
      <c r="O153" s="12" t="str">
        <f>IF(OR(D153="",E153=""),"",IF(IFERROR(INDEX(Stats!$D:$D,MATCH($C153,Stats!$A:$A,0)),FALSE),ROUND(D153+(E153-D153)*(1+G153)*((8-1)/(MaxLevel-1))^(2^F153),0),D153+(E153-D153)*(1+G153)*((8-1)/(MaxLevel-1))^(2^F153)))</f>
        <v/>
      </c>
      <c r="P153" s="12" t="str">
        <f>IF(OR(D153="",E153=""),"",IF(IFERROR(INDEX(Stats!$D:$D,MATCH($C153,Stats!$A:$A,0)),FALSE),ROUND(D153+(E153-D153)*(1+G153)*((9-1)/(MaxLevel-1))^(2^F153),0),D153+(E153-D153)*(1+G153)*((9-1)/(MaxLevel-1))^(2^F153)))</f>
        <v/>
      </c>
      <c r="Q153" s="12" t="str">
        <f>IF(OR(D153="",E153=""),"",IF(IFERROR(INDEX(Stats!$D:$D,MATCH($C153,Stats!$A:$A,0)),FALSE),ROUND(D153+(E153-D153)*(1+G153)*((10-1)/(MaxLevel-1))^(2^F153),0),D153+(E153-D153)*(1+G153)*((10-1)/(MaxLevel-1))^(2^F153)))</f>
        <v/>
      </c>
    </row>
    <row r="154" spans="1:17" x14ac:dyDescent="0.25">
      <c r="A154" s="4" t="s">
        <v>185</v>
      </c>
      <c r="B154" s="19" t="s">
        <v>224</v>
      </c>
      <c r="C154" s="4" t="s">
        <v>24</v>
      </c>
      <c r="D154" s="5">
        <v>0</v>
      </c>
      <c r="E154" s="5">
        <v>10000</v>
      </c>
      <c r="F154" s="5">
        <v>1</v>
      </c>
      <c r="G154" s="5">
        <v>0</v>
      </c>
      <c r="H154" s="12">
        <f>IF(OR(D154="",E154=""),"",IF(IFERROR(INDEX(Stats!$D:$D,MATCH($C154,Stats!$A:$A,0)),FALSE),ROUND(D154+(E154-D154)*(1+G154)*((1-1)/(MaxLevel-1))^(2^F154),0),D154+(E154-D154)*(1+G154)*((1-1)/(MaxLevel-1))^(2^F154)))</f>
        <v>0</v>
      </c>
      <c r="I154" s="12">
        <f>IF(OR(D154="",E154=""),"",IF(IFERROR(INDEX(Stats!$D:$D,MATCH($C154,Stats!$A:$A,0)),FALSE),ROUND(D154+(E154-D154)*(1+G154)*((2-1)/(MaxLevel-1))^(2^F154),0),D154+(E154-D154)*(1+G154)*((2-1)/(MaxLevel-1))^(2^F154)))</f>
        <v>123</v>
      </c>
      <c r="J154" s="12">
        <f>IF(OR(D154="",E154=""),"",IF(IFERROR(INDEX(Stats!$D:$D,MATCH($C154,Stats!$A:$A,0)),FALSE),ROUND(D154+(E154-D154)*(1+G154)*((3-1)/(MaxLevel-1))^(2^F154),0),D154+(E154-D154)*(1+G154)*((3-1)/(MaxLevel-1))^(2^F154)))</f>
        <v>494</v>
      </c>
      <c r="K154" s="12">
        <f>IF(OR(D154="",E154=""),"",IF(IFERROR(INDEX(Stats!$D:$D,MATCH($C154,Stats!$A:$A,0)),FALSE),ROUND(D154+(E154-D154)*(1+G154)*((4-1)/(MaxLevel-1))^(2^F154),0),D154+(E154-D154)*(1+G154)*((4-1)/(MaxLevel-1))^(2^F154)))</f>
        <v>1111</v>
      </c>
      <c r="L154" s="12">
        <f>IF(OR(D154="",E154=""),"",IF(IFERROR(INDEX(Stats!$D:$D,MATCH($C154,Stats!$A:$A,0)),FALSE),ROUND(D154+(E154-D154)*(1+G154)*((5-1)/(MaxLevel-1))^(2^F154),0),D154+(E154-D154)*(1+G154)*((5-1)/(MaxLevel-1))^(2^F154)))</f>
        <v>1975</v>
      </c>
      <c r="M154" s="12">
        <f>IF(OR(D154="",E154=""),"",IF(IFERROR(INDEX(Stats!$D:$D,MATCH($C154,Stats!$A:$A,0)),FALSE),ROUND(D154+(E154-D154)*(1+G154)*((6-1)/(MaxLevel-1))^(2^F154),0),D154+(E154-D154)*(1+G154)*((6-1)/(MaxLevel-1))^(2^F154)))</f>
        <v>3086</v>
      </c>
      <c r="N154" s="12">
        <f>IF(OR(D154="",E154=""),"",IF(IFERROR(INDEX(Stats!$D:$D,MATCH($C154,Stats!$A:$A,0)),FALSE),ROUND(D154+(E154-D154)*(1+G154)*((7-1)/(MaxLevel-1))^(2^F154),0),D154+(E154-D154)*(1+G154)*((7-1)/(MaxLevel-1))^(2^F154)))</f>
        <v>4444</v>
      </c>
      <c r="O154" s="12">
        <f>IF(OR(D154="",E154=""),"",IF(IFERROR(INDEX(Stats!$D:$D,MATCH($C154,Stats!$A:$A,0)),FALSE),ROUND(D154+(E154-D154)*(1+G154)*((8-1)/(MaxLevel-1))^(2^F154),0),D154+(E154-D154)*(1+G154)*((8-1)/(MaxLevel-1))^(2^F154)))</f>
        <v>6049</v>
      </c>
      <c r="P154" s="12">
        <f>IF(OR(D154="",E154=""),"",IF(IFERROR(INDEX(Stats!$D:$D,MATCH($C154,Stats!$A:$A,0)),FALSE),ROUND(D154+(E154-D154)*(1+G154)*((9-1)/(MaxLevel-1))^(2^F154),0),D154+(E154-D154)*(1+G154)*((9-1)/(MaxLevel-1))^(2^F154)))</f>
        <v>7901</v>
      </c>
      <c r="Q154" s="12">
        <f>IF(OR(D154="",E154=""),"",IF(IFERROR(INDEX(Stats!$D:$D,MATCH($C154,Stats!$A:$A,0)),FALSE),ROUND(D154+(E154-D154)*(1+G154)*((10-1)/(MaxLevel-1))^(2^F154),0),D154+(E154-D154)*(1+G154)*((10-1)/(MaxLevel-1))^(2^F154)))</f>
        <v>10000</v>
      </c>
    </row>
    <row r="155" spans="1:17" x14ac:dyDescent="0.25">
      <c r="A155" s="4" t="s">
        <v>185</v>
      </c>
      <c r="B155" s="19" t="s">
        <v>224</v>
      </c>
      <c r="C155" s="4" t="s">
        <v>26</v>
      </c>
      <c r="D155" s="5">
        <v>25</v>
      </c>
      <c r="E155" s="5">
        <v>150</v>
      </c>
      <c r="F155" s="5">
        <v>0</v>
      </c>
      <c r="G155" s="5">
        <v>0</v>
      </c>
      <c r="H155" s="12">
        <f>IF(OR(D155="",E155=""),"",IF(IFERROR(INDEX(Stats!$D:$D,MATCH($C155,Stats!$A:$A,0)),FALSE),ROUND(D155+(E155-D155)*(1+G155)*((1-1)/(MaxLevel-1))^(2^F155),0),D155+(E155-D155)*(1+G155)*((1-1)/(MaxLevel-1))^(2^F155)))</f>
        <v>25</v>
      </c>
      <c r="I155" s="12">
        <f>IF(OR(D155="",E155=""),"",IF(IFERROR(INDEX(Stats!$D:$D,MATCH($C155,Stats!$A:$A,0)),FALSE),ROUND(D155+(E155-D155)*(1+G155)*((2-1)/(MaxLevel-1))^(2^F155),0),D155+(E155-D155)*(1+G155)*((2-1)/(MaxLevel-1))^(2^F155)))</f>
        <v>39</v>
      </c>
      <c r="J155" s="12">
        <f>IF(OR(D155="",E155=""),"",IF(IFERROR(INDEX(Stats!$D:$D,MATCH($C155,Stats!$A:$A,0)),FALSE),ROUND(D155+(E155-D155)*(1+G155)*((3-1)/(MaxLevel-1))^(2^F155),0),D155+(E155-D155)*(1+G155)*((3-1)/(MaxLevel-1))^(2^F155)))</f>
        <v>53</v>
      </c>
      <c r="K155" s="12">
        <f>IF(OR(D155="",E155=""),"",IF(IFERROR(INDEX(Stats!$D:$D,MATCH($C155,Stats!$A:$A,0)),FALSE),ROUND(D155+(E155-D155)*(1+G155)*((4-1)/(MaxLevel-1))^(2^F155),0),D155+(E155-D155)*(1+G155)*((4-1)/(MaxLevel-1))^(2^F155)))</f>
        <v>67</v>
      </c>
      <c r="L155" s="12">
        <f>IF(OR(D155="",E155=""),"",IF(IFERROR(INDEX(Stats!$D:$D,MATCH($C155,Stats!$A:$A,0)),FALSE),ROUND(D155+(E155-D155)*(1+G155)*((5-1)/(MaxLevel-1))^(2^F155),0),D155+(E155-D155)*(1+G155)*((5-1)/(MaxLevel-1))^(2^F155)))</f>
        <v>81</v>
      </c>
      <c r="M155" s="12">
        <f>IF(OR(D155="",E155=""),"",IF(IFERROR(INDEX(Stats!$D:$D,MATCH($C155,Stats!$A:$A,0)),FALSE),ROUND(D155+(E155-D155)*(1+G155)*((6-1)/(MaxLevel-1))^(2^F155),0),D155+(E155-D155)*(1+G155)*((6-1)/(MaxLevel-1))^(2^F155)))</f>
        <v>94</v>
      </c>
      <c r="N155" s="12">
        <f>IF(OR(D155="",E155=""),"",IF(IFERROR(INDEX(Stats!$D:$D,MATCH($C155,Stats!$A:$A,0)),FALSE),ROUND(D155+(E155-D155)*(1+G155)*((7-1)/(MaxLevel-1))^(2^F155),0),D155+(E155-D155)*(1+G155)*((7-1)/(MaxLevel-1))^(2^F155)))</f>
        <v>108</v>
      </c>
      <c r="O155" s="12">
        <f>IF(OR(D155="",E155=""),"",IF(IFERROR(INDEX(Stats!$D:$D,MATCH($C155,Stats!$A:$A,0)),FALSE),ROUND(D155+(E155-D155)*(1+G155)*((8-1)/(MaxLevel-1))^(2^F155),0),D155+(E155-D155)*(1+G155)*((8-1)/(MaxLevel-1))^(2^F155)))</f>
        <v>122</v>
      </c>
      <c r="P155" s="12">
        <f>IF(OR(D155="",E155=""),"",IF(IFERROR(INDEX(Stats!$D:$D,MATCH($C155,Stats!$A:$A,0)),FALSE),ROUND(D155+(E155-D155)*(1+G155)*((9-1)/(MaxLevel-1))^(2^F155),0),D155+(E155-D155)*(1+G155)*((9-1)/(MaxLevel-1))^(2^F155)))</f>
        <v>136</v>
      </c>
      <c r="Q155" s="12">
        <f>IF(OR(D155="",E155=""),"",IF(IFERROR(INDEX(Stats!$D:$D,MATCH($C155,Stats!$A:$A,0)),FALSE),ROUND(D155+(E155-D155)*(1+G155)*((10-1)/(MaxLevel-1))^(2^F155),0),D155+(E155-D155)*(1+G155)*((10-1)/(MaxLevel-1))^(2^F155)))</f>
        <v>150</v>
      </c>
    </row>
    <row r="156" spans="1:17" x14ac:dyDescent="0.25">
      <c r="A156" s="4" t="s">
        <v>185</v>
      </c>
      <c r="B156" s="19" t="s">
        <v>224</v>
      </c>
      <c r="C156" s="4" t="s">
        <v>28</v>
      </c>
      <c r="D156" s="5">
        <v>300</v>
      </c>
      <c r="E156" s="5">
        <v>1200</v>
      </c>
      <c r="F156" s="5">
        <v>0</v>
      </c>
      <c r="G156" s="5">
        <v>-0.1</v>
      </c>
      <c r="H156" s="12">
        <f>IF(OR(D156="",E156=""),"",IF(IFERROR(INDEX(Stats!$D:$D,MATCH($C156,Stats!$A:$A,0)),FALSE),ROUND(D156+(E156-D156)*(1+G156)*((1-1)/(MaxLevel-1))^(2^F156),0),D156+(E156-D156)*(1+G156)*((1-1)/(MaxLevel-1))^(2^F156)))</f>
        <v>300</v>
      </c>
      <c r="I156" s="12">
        <f>IF(OR(D156="",E156=""),"",IF(IFERROR(INDEX(Stats!$D:$D,MATCH($C156,Stats!$A:$A,0)),FALSE),ROUND(D156+(E156-D156)*(1+G156)*((2-1)/(MaxLevel-1))^(2^F156),0),D156+(E156-D156)*(1+G156)*((2-1)/(MaxLevel-1))^(2^F156)))</f>
        <v>390</v>
      </c>
      <c r="J156" s="12">
        <f>IF(OR(D156="",E156=""),"",IF(IFERROR(INDEX(Stats!$D:$D,MATCH($C156,Stats!$A:$A,0)),FALSE),ROUND(D156+(E156-D156)*(1+G156)*((3-1)/(MaxLevel-1))^(2^F156),0),D156+(E156-D156)*(1+G156)*((3-1)/(MaxLevel-1))^(2^F156)))</f>
        <v>480</v>
      </c>
      <c r="K156" s="12">
        <f>IF(OR(D156="",E156=""),"",IF(IFERROR(INDEX(Stats!$D:$D,MATCH($C156,Stats!$A:$A,0)),FALSE),ROUND(D156+(E156-D156)*(1+G156)*((4-1)/(MaxLevel-1))^(2^F156),0),D156+(E156-D156)*(1+G156)*((4-1)/(MaxLevel-1))^(2^F156)))</f>
        <v>570</v>
      </c>
      <c r="L156" s="12">
        <f>IF(OR(D156="",E156=""),"",IF(IFERROR(INDEX(Stats!$D:$D,MATCH($C156,Stats!$A:$A,0)),FALSE),ROUND(D156+(E156-D156)*(1+G156)*((5-1)/(MaxLevel-1))^(2^F156),0),D156+(E156-D156)*(1+G156)*((5-1)/(MaxLevel-1))^(2^F156)))</f>
        <v>660</v>
      </c>
      <c r="M156" s="12">
        <f>IF(OR(D156="",E156=""),"",IF(IFERROR(INDEX(Stats!$D:$D,MATCH($C156,Stats!$A:$A,0)),FALSE),ROUND(D156+(E156-D156)*(1+G156)*((6-1)/(MaxLevel-1))^(2^F156),0),D156+(E156-D156)*(1+G156)*((6-1)/(MaxLevel-1))^(2^F156)))</f>
        <v>750</v>
      </c>
      <c r="N156" s="12">
        <f>IF(OR(D156="",E156=""),"",IF(IFERROR(INDEX(Stats!$D:$D,MATCH($C156,Stats!$A:$A,0)),FALSE),ROUND(D156+(E156-D156)*(1+G156)*((7-1)/(MaxLevel-1))^(2^F156),0),D156+(E156-D156)*(1+G156)*((7-1)/(MaxLevel-1))^(2^F156)))</f>
        <v>840</v>
      </c>
      <c r="O156" s="12">
        <f>IF(OR(D156="",E156=""),"",IF(IFERROR(INDEX(Stats!$D:$D,MATCH($C156,Stats!$A:$A,0)),FALSE),ROUND(D156+(E156-D156)*(1+G156)*((8-1)/(MaxLevel-1))^(2^F156),0),D156+(E156-D156)*(1+G156)*((8-1)/(MaxLevel-1))^(2^F156)))</f>
        <v>930</v>
      </c>
      <c r="P156" s="12">
        <f>IF(OR(D156="",E156=""),"",IF(IFERROR(INDEX(Stats!$D:$D,MATCH($C156,Stats!$A:$A,0)),FALSE),ROUND(D156+(E156-D156)*(1+G156)*((9-1)/(MaxLevel-1))^(2^F156),0),D156+(E156-D156)*(1+G156)*((9-1)/(MaxLevel-1))^(2^F156)))</f>
        <v>1020</v>
      </c>
      <c r="Q156" s="12">
        <f>IF(OR(D156="",E156=""),"",IF(IFERROR(INDEX(Stats!$D:$D,MATCH($C156,Stats!$A:$A,0)),FALSE),ROUND(D156+(E156-D156)*(1+G156)*((10-1)/(MaxLevel-1))^(2^F156),0),D156+(E156-D156)*(1+G156)*((10-1)/(MaxLevel-1))^(2^F156)))</f>
        <v>1110</v>
      </c>
    </row>
    <row r="157" spans="1:17" x14ac:dyDescent="0.25">
      <c r="A157" s="4" t="s">
        <v>185</v>
      </c>
      <c r="B157" s="19" t="s">
        <v>224</v>
      </c>
      <c r="C157" s="4" t="s">
        <v>30</v>
      </c>
      <c r="D157" s="5">
        <v>25</v>
      </c>
      <c r="E157" s="5">
        <v>110</v>
      </c>
      <c r="F157" s="5">
        <v>0.5</v>
      </c>
      <c r="G157" s="5">
        <v>0</v>
      </c>
      <c r="H157" s="12">
        <f>IF(OR(D157="",E157=""),"",IF(IFERROR(INDEX(Stats!$D:$D,MATCH($C157,Stats!$A:$A,0)),FALSE),ROUND(D157+(E157-D157)*(1+G157)*((1-1)/(MaxLevel-1))^(2^F157),0),D157+(E157-D157)*(1+G157)*((1-1)/(MaxLevel-1))^(2^F157)))</f>
        <v>25</v>
      </c>
      <c r="I157" s="12">
        <f>IF(OR(D157="",E157=""),"",IF(IFERROR(INDEX(Stats!$D:$D,MATCH($C157,Stats!$A:$A,0)),FALSE),ROUND(D157+(E157-D157)*(1+G157)*((2-1)/(MaxLevel-1))^(2^F157),0),D157+(E157-D157)*(1+G157)*((2-1)/(MaxLevel-1))^(2^F157)))</f>
        <v>29</v>
      </c>
      <c r="J157" s="12">
        <f>IF(OR(D157="",E157=""),"",IF(IFERROR(INDEX(Stats!$D:$D,MATCH($C157,Stats!$A:$A,0)),FALSE),ROUND(D157+(E157-D157)*(1+G157)*((3-1)/(MaxLevel-1))^(2^F157),0),D157+(E157-D157)*(1+G157)*((3-1)/(MaxLevel-1))^(2^F157)))</f>
        <v>35</v>
      </c>
      <c r="K157" s="12">
        <f>IF(OR(D157="",E157=""),"",IF(IFERROR(INDEX(Stats!$D:$D,MATCH($C157,Stats!$A:$A,0)),FALSE),ROUND(D157+(E157-D157)*(1+G157)*((4-1)/(MaxLevel-1))^(2^F157),0),D157+(E157-D157)*(1+G157)*((4-1)/(MaxLevel-1))^(2^F157)))</f>
        <v>43</v>
      </c>
      <c r="L157" s="12">
        <f>IF(OR(D157="",E157=""),"",IF(IFERROR(INDEX(Stats!$D:$D,MATCH($C157,Stats!$A:$A,0)),FALSE),ROUND(D157+(E157-D157)*(1+G157)*((5-1)/(MaxLevel-1))^(2^F157),0),D157+(E157-D157)*(1+G157)*((5-1)/(MaxLevel-1))^(2^F157)))</f>
        <v>52</v>
      </c>
      <c r="M157" s="12">
        <f>IF(OR(D157="",E157=""),"",IF(IFERROR(INDEX(Stats!$D:$D,MATCH($C157,Stats!$A:$A,0)),FALSE),ROUND(D157+(E157-D157)*(1+G157)*((6-1)/(MaxLevel-1))^(2^F157),0),D157+(E157-D157)*(1+G157)*((6-1)/(MaxLevel-1))^(2^F157)))</f>
        <v>62</v>
      </c>
      <c r="N157" s="12">
        <f>IF(OR(D157="",E157=""),"",IF(IFERROR(INDEX(Stats!$D:$D,MATCH($C157,Stats!$A:$A,0)),FALSE),ROUND(D157+(E157-D157)*(1+G157)*((7-1)/(MaxLevel-1))^(2^F157),0),D157+(E157-D157)*(1+G157)*((7-1)/(MaxLevel-1))^(2^F157)))</f>
        <v>73</v>
      </c>
      <c r="O157" s="12">
        <f>IF(OR(D157="",E157=""),"",IF(IFERROR(INDEX(Stats!$D:$D,MATCH($C157,Stats!$A:$A,0)),FALSE),ROUND(D157+(E157-D157)*(1+G157)*((8-1)/(MaxLevel-1))^(2^F157),0),D157+(E157-D157)*(1+G157)*((8-1)/(MaxLevel-1))^(2^F157)))</f>
        <v>85</v>
      </c>
      <c r="P157" s="12">
        <f>IF(OR(D157="",E157=""),"",IF(IFERROR(INDEX(Stats!$D:$D,MATCH($C157,Stats!$A:$A,0)),FALSE),ROUND(D157+(E157-D157)*(1+G157)*((9-1)/(MaxLevel-1))^(2^F157),0),D157+(E157-D157)*(1+G157)*((9-1)/(MaxLevel-1))^(2^F157)))</f>
        <v>97</v>
      </c>
      <c r="Q157" s="12">
        <f>IF(OR(D157="",E157=""),"",IF(IFERROR(INDEX(Stats!$D:$D,MATCH($C157,Stats!$A:$A,0)),FALSE),ROUND(D157+(E157-D157)*(1+G157)*((10-1)/(MaxLevel-1))^(2^F157),0),D157+(E157-D157)*(1+G157)*((10-1)/(MaxLevel-1))^(2^F157)))</f>
        <v>110</v>
      </c>
    </row>
    <row r="158" spans="1:17" x14ac:dyDescent="0.25">
      <c r="A158" s="4" t="s">
        <v>185</v>
      </c>
      <c r="B158" s="19" t="s">
        <v>224</v>
      </c>
      <c r="C158" s="4" t="s">
        <v>32</v>
      </c>
      <c r="D158" s="5"/>
      <c r="E158" s="5"/>
      <c r="F158" s="5"/>
      <c r="G158" s="5"/>
      <c r="H158" s="12" t="str">
        <f>IF(OR(D158="",E158=""),"",IF(IFERROR(INDEX(Stats!$D:$D,MATCH($C158,Stats!$A:$A,0)),FALSE),ROUND(D158+(E158-D158)*(1+G158)*((1-1)/(MaxLevel-1))^(2^F158),0),D158+(E158-D158)*(1+G158)*((1-1)/(MaxLevel-1))^(2^F158)))</f>
        <v/>
      </c>
      <c r="I158" s="12" t="str">
        <f>IF(OR(D158="",E158=""),"",IF(IFERROR(INDEX(Stats!$D:$D,MATCH($C158,Stats!$A:$A,0)),FALSE),ROUND(D158+(E158-D158)*(1+G158)*((2-1)/(MaxLevel-1))^(2^F158),0),D158+(E158-D158)*(1+G158)*((2-1)/(MaxLevel-1))^(2^F158)))</f>
        <v/>
      </c>
      <c r="J158" s="12" t="str">
        <f>IF(OR(D158="",E158=""),"",IF(IFERROR(INDEX(Stats!$D:$D,MATCH($C158,Stats!$A:$A,0)),FALSE),ROUND(D158+(E158-D158)*(1+G158)*((3-1)/(MaxLevel-1))^(2^F158),0),D158+(E158-D158)*(1+G158)*((3-1)/(MaxLevel-1))^(2^F158)))</f>
        <v/>
      </c>
      <c r="K158" s="12" t="str">
        <f>IF(OR(D158="",E158=""),"",IF(IFERROR(INDEX(Stats!$D:$D,MATCH($C158,Stats!$A:$A,0)),FALSE),ROUND(D158+(E158-D158)*(1+G158)*((4-1)/(MaxLevel-1))^(2^F158),0),D158+(E158-D158)*(1+G158)*((4-1)/(MaxLevel-1))^(2^F158)))</f>
        <v/>
      </c>
      <c r="L158" s="12" t="str">
        <f>IF(OR(D158="",E158=""),"",IF(IFERROR(INDEX(Stats!$D:$D,MATCH($C158,Stats!$A:$A,0)),FALSE),ROUND(D158+(E158-D158)*(1+G158)*((5-1)/(MaxLevel-1))^(2^F158),0),D158+(E158-D158)*(1+G158)*((5-1)/(MaxLevel-1))^(2^F158)))</f>
        <v/>
      </c>
      <c r="M158" s="12" t="str">
        <f>IF(OR(D158="",E158=""),"",IF(IFERROR(INDEX(Stats!$D:$D,MATCH($C158,Stats!$A:$A,0)),FALSE),ROUND(D158+(E158-D158)*(1+G158)*((6-1)/(MaxLevel-1))^(2^F158),0),D158+(E158-D158)*(1+G158)*((6-1)/(MaxLevel-1))^(2^F158)))</f>
        <v/>
      </c>
      <c r="N158" s="12" t="str">
        <f>IF(OR(D158="",E158=""),"",IF(IFERROR(INDEX(Stats!$D:$D,MATCH($C158,Stats!$A:$A,0)),FALSE),ROUND(D158+(E158-D158)*(1+G158)*((7-1)/(MaxLevel-1))^(2^F158),0),D158+(E158-D158)*(1+G158)*((7-1)/(MaxLevel-1))^(2^F158)))</f>
        <v/>
      </c>
      <c r="O158" s="12" t="str">
        <f>IF(OR(D158="",E158=""),"",IF(IFERROR(INDEX(Stats!$D:$D,MATCH($C158,Stats!$A:$A,0)),FALSE),ROUND(D158+(E158-D158)*(1+G158)*((8-1)/(MaxLevel-1))^(2^F158),0),D158+(E158-D158)*(1+G158)*((8-1)/(MaxLevel-1))^(2^F158)))</f>
        <v/>
      </c>
      <c r="P158" s="12" t="str">
        <f>IF(OR(D158="",E158=""),"",IF(IFERROR(INDEX(Stats!$D:$D,MATCH($C158,Stats!$A:$A,0)),FALSE),ROUND(D158+(E158-D158)*(1+G158)*((9-1)/(MaxLevel-1))^(2^F158),0),D158+(E158-D158)*(1+G158)*((9-1)/(MaxLevel-1))^(2^F158)))</f>
        <v/>
      </c>
      <c r="Q158" s="12" t="str">
        <f>IF(OR(D158="",E158=""),"",IF(IFERROR(INDEX(Stats!$D:$D,MATCH($C158,Stats!$A:$A,0)),FALSE),ROUND(D158+(E158-D158)*(1+G158)*((10-1)/(MaxLevel-1))^(2^F158),0),D158+(E158-D158)*(1+G158)*((10-1)/(MaxLevel-1))^(2^F158)))</f>
        <v/>
      </c>
    </row>
    <row r="159" spans="1:17" x14ac:dyDescent="0.25">
      <c r="A159" s="4" t="s">
        <v>185</v>
      </c>
      <c r="B159" s="19" t="s">
        <v>224</v>
      </c>
      <c r="C159" s="4" t="s">
        <v>34</v>
      </c>
      <c r="D159" s="5"/>
      <c r="E159" s="5"/>
      <c r="F159" s="5"/>
      <c r="G159" s="5"/>
      <c r="H159" s="12" t="str">
        <f>IF(OR(D159="",E159=""),"",IF(IFERROR(INDEX(Stats!$D:$D,MATCH($C159,Stats!$A:$A,0)),FALSE),ROUND(D159+(E159-D159)*(1+G159)*((1-1)/(MaxLevel-1))^(2^F159),0),D159+(E159-D159)*(1+G159)*((1-1)/(MaxLevel-1))^(2^F159)))</f>
        <v/>
      </c>
      <c r="I159" s="12" t="str">
        <f>IF(OR(D159="",E159=""),"",IF(IFERROR(INDEX(Stats!$D:$D,MATCH($C159,Stats!$A:$A,0)),FALSE),ROUND(D159+(E159-D159)*(1+G159)*((2-1)/(MaxLevel-1))^(2^F159),0),D159+(E159-D159)*(1+G159)*((2-1)/(MaxLevel-1))^(2^F159)))</f>
        <v/>
      </c>
      <c r="J159" s="12" t="str">
        <f>IF(OR(D159="",E159=""),"",IF(IFERROR(INDEX(Stats!$D:$D,MATCH($C159,Stats!$A:$A,0)),FALSE),ROUND(D159+(E159-D159)*(1+G159)*((3-1)/(MaxLevel-1))^(2^F159),0),D159+(E159-D159)*(1+G159)*((3-1)/(MaxLevel-1))^(2^F159)))</f>
        <v/>
      </c>
      <c r="K159" s="12" t="str">
        <f>IF(OR(D159="",E159=""),"",IF(IFERROR(INDEX(Stats!$D:$D,MATCH($C159,Stats!$A:$A,0)),FALSE),ROUND(D159+(E159-D159)*(1+G159)*((4-1)/(MaxLevel-1))^(2^F159),0),D159+(E159-D159)*(1+G159)*((4-1)/(MaxLevel-1))^(2^F159)))</f>
        <v/>
      </c>
      <c r="L159" s="12" t="str">
        <f>IF(OR(D159="",E159=""),"",IF(IFERROR(INDEX(Stats!$D:$D,MATCH($C159,Stats!$A:$A,0)),FALSE),ROUND(D159+(E159-D159)*(1+G159)*((5-1)/(MaxLevel-1))^(2^F159),0),D159+(E159-D159)*(1+G159)*((5-1)/(MaxLevel-1))^(2^F159)))</f>
        <v/>
      </c>
      <c r="M159" s="12" t="str">
        <f>IF(OR(D159="",E159=""),"",IF(IFERROR(INDEX(Stats!$D:$D,MATCH($C159,Stats!$A:$A,0)),FALSE),ROUND(D159+(E159-D159)*(1+G159)*((6-1)/(MaxLevel-1))^(2^F159),0),D159+(E159-D159)*(1+G159)*((6-1)/(MaxLevel-1))^(2^F159)))</f>
        <v/>
      </c>
      <c r="N159" s="12" t="str">
        <f>IF(OR(D159="",E159=""),"",IF(IFERROR(INDEX(Stats!$D:$D,MATCH($C159,Stats!$A:$A,0)),FALSE),ROUND(D159+(E159-D159)*(1+G159)*((7-1)/(MaxLevel-1))^(2^F159),0),D159+(E159-D159)*(1+G159)*((7-1)/(MaxLevel-1))^(2^F159)))</f>
        <v/>
      </c>
      <c r="O159" s="12" t="str">
        <f>IF(OR(D159="",E159=""),"",IF(IFERROR(INDEX(Stats!$D:$D,MATCH($C159,Stats!$A:$A,0)),FALSE),ROUND(D159+(E159-D159)*(1+G159)*((8-1)/(MaxLevel-1))^(2^F159),0),D159+(E159-D159)*(1+G159)*((8-1)/(MaxLevel-1))^(2^F159)))</f>
        <v/>
      </c>
      <c r="P159" s="12" t="str">
        <f>IF(OR(D159="",E159=""),"",IF(IFERROR(INDEX(Stats!$D:$D,MATCH($C159,Stats!$A:$A,0)),FALSE),ROUND(D159+(E159-D159)*(1+G159)*((9-1)/(MaxLevel-1))^(2^F159),0),D159+(E159-D159)*(1+G159)*((9-1)/(MaxLevel-1))^(2^F159)))</f>
        <v/>
      </c>
      <c r="Q159" s="12" t="str">
        <f>IF(OR(D159="",E159=""),"",IF(IFERROR(INDEX(Stats!$D:$D,MATCH($C159,Stats!$A:$A,0)),FALSE),ROUND(D159+(E159-D159)*(1+G159)*((10-1)/(MaxLevel-1))^(2^F159),0),D159+(E159-D159)*(1+G159)*((10-1)/(MaxLevel-1))^(2^F159)))</f>
        <v/>
      </c>
    </row>
    <row r="160" spans="1:17" x14ac:dyDescent="0.25">
      <c r="A160" s="4" t="s">
        <v>185</v>
      </c>
      <c r="B160" s="19" t="s">
        <v>224</v>
      </c>
      <c r="C160" s="4" t="s">
        <v>36</v>
      </c>
      <c r="D160" s="5"/>
      <c r="E160" s="5"/>
      <c r="F160" s="5"/>
      <c r="G160" s="5"/>
      <c r="H160" s="12" t="str">
        <f>IF(OR(D160="",E160=""),"",IF(IFERROR(INDEX(Stats!$D:$D,MATCH($C160,Stats!$A:$A,0)),FALSE),ROUND(D160+(E160-D160)*(1+G160)*((1-1)/(MaxLevel-1))^(2^F160),0),D160+(E160-D160)*(1+G160)*((1-1)/(MaxLevel-1))^(2^F160)))</f>
        <v/>
      </c>
      <c r="I160" s="12" t="str">
        <f>IF(OR(D160="",E160=""),"",IF(IFERROR(INDEX(Stats!$D:$D,MATCH($C160,Stats!$A:$A,0)),FALSE),ROUND(D160+(E160-D160)*(1+G160)*((2-1)/(MaxLevel-1))^(2^F160),0),D160+(E160-D160)*(1+G160)*((2-1)/(MaxLevel-1))^(2^F160)))</f>
        <v/>
      </c>
      <c r="J160" s="12" t="str">
        <f>IF(OR(D160="",E160=""),"",IF(IFERROR(INDEX(Stats!$D:$D,MATCH($C160,Stats!$A:$A,0)),FALSE),ROUND(D160+(E160-D160)*(1+G160)*((3-1)/(MaxLevel-1))^(2^F160),0),D160+(E160-D160)*(1+G160)*((3-1)/(MaxLevel-1))^(2^F160)))</f>
        <v/>
      </c>
      <c r="K160" s="12" t="str">
        <f>IF(OR(D160="",E160=""),"",IF(IFERROR(INDEX(Stats!$D:$D,MATCH($C160,Stats!$A:$A,0)),FALSE),ROUND(D160+(E160-D160)*(1+G160)*((4-1)/(MaxLevel-1))^(2^F160),0),D160+(E160-D160)*(1+G160)*((4-1)/(MaxLevel-1))^(2^F160)))</f>
        <v/>
      </c>
      <c r="L160" s="12" t="str">
        <f>IF(OR(D160="",E160=""),"",IF(IFERROR(INDEX(Stats!$D:$D,MATCH($C160,Stats!$A:$A,0)),FALSE),ROUND(D160+(E160-D160)*(1+G160)*((5-1)/(MaxLevel-1))^(2^F160),0),D160+(E160-D160)*(1+G160)*((5-1)/(MaxLevel-1))^(2^F160)))</f>
        <v/>
      </c>
      <c r="M160" s="12" t="str">
        <f>IF(OR(D160="",E160=""),"",IF(IFERROR(INDEX(Stats!$D:$D,MATCH($C160,Stats!$A:$A,0)),FALSE),ROUND(D160+(E160-D160)*(1+G160)*((6-1)/(MaxLevel-1))^(2^F160),0),D160+(E160-D160)*(1+G160)*((6-1)/(MaxLevel-1))^(2^F160)))</f>
        <v/>
      </c>
      <c r="N160" s="12" t="str">
        <f>IF(OR(D160="",E160=""),"",IF(IFERROR(INDEX(Stats!$D:$D,MATCH($C160,Stats!$A:$A,0)),FALSE),ROUND(D160+(E160-D160)*(1+G160)*((7-1)/(MaxLevel-1))^(2^F160),0),D160+(E160-D160)*(1+G160)*((7-1)/(MaxLevel-1))^(2^F160)))</f>
        <v/>
      </c>
      <c r="O160" s="12" t="str">
        <f>IF(OR(D160="",E160=""),"",IF(IFERROR(INDEX(Stats!$D:$D,MATCH($C160,Stats!$A:$A,0)),FALSE),ROUND(D160+(E160-D160)*(1+G160)*((8-1)/(MaxLevel-1))^(2^F160),0),D160+(E160-D160)*(1+G160)*((8-1)/(MaxLevel-1))^(2^F160)))</f>
        <v/>
      </c>
      <c r="P160" s="12" t="str">
        <f>IF(OR(D160="",E160=""),"",IF(IFERROR(INDEX(Stats!$D:$D,MATCH($C160,Stats!$A:$A,0)),FALSE),ROUND(D160+(E160-D160)*(1+G160)*((9-1)/(MaxLevel-1))^(2^F160),0),D160+(E160-D160)*(1+G160)*((9-1)/(MaxLevel-1))^(2^F160)))</f>
        <v/>
      </c>
      <c r="Q160" s="12" t="str">
        <f>IF(OR(D160="",E160=""),"",IF(IFERROR(INDEX(Stats!$D:$D,MATCH($C160,Stats!$A:$A,0)),FALSE),ROUND(D160+(E160-D160)*(1+G160)*((10-1)/(MaxLevel-1))^(2^F160),0),D160+(E160-D160)*(1+G160)*((10-1)/(MaxLevel-1))^(2^F160)))</f>
        <v/>
      </c>
    </row>
    <row r="161" spans="1:17" x14ac:dyDescent="0.25">
      <c r="A161" s="4" t="s">
        <v>185</v>
      </c>
      <c r="B161" s="19" t="s">
        <v>224</v>
      </c>
      <c r="C161" s="4" t="s">
        <v>38</v>
      </c>
      <c r="D161" s="5"/>
      <c r="E161" s="5"/>
      <c r="F161" s="5"/>
      <c r="G161" s="5"/>
      <c r="H161" s="12" t="str">
        <f>IF(OR(D161="",E161=""),"",IF(IFERROR(INDEX(Stats!$D:$D,MATCH($C161,Stats!$A:$A,0)),FALSE),ROUND(D161+(E161-D161)*(1+G161)*((1-1)/(MaxLevel-1))^(2^F161),0),D161+(E161-D161)*(1+G161)*((1-1)/(MaxLevel-1))^(2^F161)))</f>
        <v/>
      </c>
      <c r="I161" s="12" t="str">
        <f>IF(OR(D161="",E161=""),"",IF(IFERROR(INDEX(Stats!$D:$D,MATCH($C161,Stats!$A:$A,0)),FALSE),ROUND(D161+(E161-D161)*(1+G161)*((2-1)/(MaxLevel-1))^(2^F161),0),D161+(E161-D161)*(1+G161)*((2-1)/(MaxLevel-1))^(2^F161)))</f>
        <v/>
      </c>
      <c r="J161" s="12" t="str">
        <f>IF(OR(D161="",E161=""),"",IF(IFERROR(INDEX(Stats!$D:$D,MATCH($C161,Stats!$A:$A,0)),FALSE),ROUND(D161+(E161-D161)*(1+G161)*((3-1)/(MaxLevel-1))^(2^F161),0),D161+(E161-D161)*(1+G161)*((3-1)/(MaxLevel-1))^(2^F161)))</f>
        <v/>
      </c>
      <c r="K161" s="12" t="str">
        <f>IF(OR(D161="",E161=""),"",IF(IFERROR(INDEX(Stats!$D:$D,MATCH($C161,Stats!$A:$A,0)),FALSE),ROUND(D161+(E161-D161)*(1+G161)*((4-1)/(MaxLevel-1))^(2^F161),0),D161+(E161-D161)*(1+G161)*((4-1)/(MaxLevel-1))^(2^F161)))</f>
        <v/>
      </c>
      <c r="L161" s="12" t="str">
        <f>IF(OR(D161="",E161=""),"",IF(IFERROR(INDEX(Stats!$D:$D,MATCH($C161,Stats!$A:$A,0)),FALSE),ROUND(D161+(E161-D161)*(1+G161)*((5-1)/(MaxLevel-1))^(2^F161),0),D161+(E161-D161)*(1+G161)*((5-1)/(MaxLevel-1))^(2^F161)))</f>
        <v/>
      </c>
      <c r="M161" s="12" t="str">
        <f>IF(OR(D161="",E161=""),"",IF(IFERROR(INDEX(Stats!$D:$D,MATCH($C161,Stats!$A:$A,0)),FALSE),ROUND(D161+(E161-D161)*(1+G161)*((6-1)/(MaxLevel-1))^(2^F161),0),D161+(E161-D161)*(1+G161)*((6-1)/(MaxLevel-1))^(2^F161)))</f>
        <v/>
      </c>
      <c r="N161" s="12" t="str">
        <f>IF(OR(D161="",E161=""),"",IF(IFERROR(INDEX(Stats!$D:$D,MATCH($C161,Stats!$A:$A,0)),FALSE),ROUND(D161+(E161-D161)*(1+G161)*((7-1)/(MaxLevel-1))^(2^F161),0),D161+(E161-D161)*(1+G161)*((7-1)/(MaxLevel-1))^(2^F161)))</f>
        <v/>
      </c>
      <c r="O161" s="12" t="str">
        <f>IF(OR(D161="",E161=""),"",IF(IFERROR(INDEX(Stats!$D:$D,MATCH($C161,Stats!$A:$A,0)),FALSE),ROUND(D161+(E161-D161)*(1+G161)*((8-1)/(MaxLevel-1))^(2^F161),0),D161+(E161-D161)*(1+G161)*((8-1)/(MaxLevel-1))^(2^F161)))</f>
        <v/>
      </c>
      <c r="P161" s="12" t="str">
        <f>IF(OR(D161="",E161=""),"",IF(IFERROR(INDEX(Stats!$D:$D,MATCH($C161,Stats!$A:$A,0)),FALSE),ROUND(D161+(E161-D161)*(1+G161)*((9-1)/(MaxLevel-1))^(2^F161),0),D161+(E161-D161)*(1+G161)*((9-1)/(MaxLevel-1))^(2^F161)))</f>
        <v/>
      </c>
      <c r="Q161" s="12" t="str">
        <f>IF(OR(D161="",E161=""),"",IF(IFERROR(INDEX(Stats!$D:$D,MATCH($C161,Stats!$A:$A,0)),FALSE),ROUND(D161+(E161-D161)*(1+G161)*((10-1)/(MaxLevel-1))^(2^F161),0),D161+(E161-D161)*(1+G161)*((10-1)/(MaxLevel-1))^(2^F161)))</f>
        <v/>
      </c>
    </row>
    <row r="162" spans="1:17" x14ac:dyDescent="0.25">
      <c r="A162" s="4" t="s">
        <v>185</v>
      </c>
      <c r="B162" s="19" t="s">
        <v>224</v>
      </c>
      <c r="C162" s="4" t="s">
        <v>40</v>
      </c>
      <c r="D162" s="5"/>
      <c r="E162" s="5"/>
      <c r="F162" s="5"/>
      <c r="G162" s="5"/>
      <c r="H162" s="12" t="str">
        <f>IF(OR(D162="",E162=""),"",IF(IFERROR(INDEX(Stats!$D:$D,MATCH($C162,Stats!$A:$A,0)),FALSE),ROUND(D162+(E162-D162)*(1+G162)*((1-1)/(MaxLevel-1))^(2^F162),0),D162+(E162-D162)*(1+G162)*((1-1)/(MaxLevel-1))^(2^F162)))</f>
        <v/>
      </c>
      <c r="I162" s="12" t="str">
        <f>IF(OR(D162="",E162=""),"",IF(IFERROR(INDEX(Stats!$D:$D,MATCH($C162,Stats!$A:$A,0)),FALSE),ROUND(D162+(E162-D162)*(1+G162)*((2-1)/(MaxLevel-1))^(2^F162),0),D162+(E162-D162)*(1+G162)*((2-1)/(MaxLevel-1))^(2^F162)))</f>
        <v/>
      </c>
      <c r="J162" s="12" t="str">
        <f>IF(OR(D162="",E162=""),"",IF(IFERROR(INDEX(Stats!$D:$D,MATCH($C162,Stats!$A:$A,0)),FALSE),ROUND(D162+(E162-D162)*(1+G162)*((3-1)/(MaxLevel-1))^(2^F162),0),D162+(E162-D162)*(1+G162)*((3-1)/(MaxLevel-1))^(2^F162)))</f>
        <v/>
      </c>
      <c r="K162" s="12" t="str">
        <f>IF(OR(D162="",E162=""),"",IF(IFERROR(INDEX(Stats!$D:$D,MATCH($C162,Stats!$A:$A,0)),FALSE),ROUND(D162+(E162-D162)*(1+G162)*((4-1)/(MaxLevel-1))^(2^F162),0),D162+(E162-D162)*(1+G162)*((4-1)/(MaxLevel-1))^(2^F162)))</f>
        <v/>
      </c>
      <c r="L162" s="12" t="str">
        <f>IF(OR(D162="",E162=""),"",IF(IFERROR(INDEX(Stats!$D:$D,MATCH($C162,Stats!$A:$A,0)),FALSE),ROUND(D162+(E162-D162)*(1+G162)*((5-1)/(MaxLevel-1))^(2^F162),0),D162+(E162-D162)*(1+G162)*((5-1)/(MaxLevel-1))^(2^F162)))</f>
        <v/>
      </c>
      <c r="M162" s="12" t="str">
        <f>IF(OR(D162="",E162=""),"",IF(IFERROR(INDEX(Stats!$D:$D,MATCH($C162,Stats!$A:$A,0)),FALSE),ROUND(D162+(E162-D162)*(1+G162)*((6-1)/(MaxLevel-1))^(2^F162),0),D162+(E162-D162)*(1+G162)*((6-1)/(MaxLevel-1))^(2^F162)))</f>
        <v/>
      </c>
      <c r="N162" s="12" t="str">
        <f>IF(OR(D162="",E162=""),"",IF(IFERROR(INDEX(Stats!$D:$D,MATCH($C162,Stats!$A:$A,0)),FALSE),ROUND(D162+(E162-D162)*(1+G162)*((7-1)/(MaxLevel-1))^(2^F162),0),D162+(E162-D162)*(1+G162)*((7-1)/(MaxLevel-1))^(2^F162)))</f>
        <v/>
      </c>
      <c r="O162" s="12" t="str">
        <f>IF(OR(D162="",E162=""),"",IF(IFERROR(INDEX(Stats!$D:$D,MATCH($C162,Stats!$A:$A,0)),FALSE),ROUND(D162+(E162-D162)*(1+G162)*((8-1)/(MaxLevel-1))^(2^F162),0),D162+(E162-D162)*(1+G162)*((8-1)/(MaxLevel-1))^(2^F162)))</f>
        <v/>
      </c>
      <c r="P162" s="12" t="str">
        <f>IF(OR(D162="",E162=""),"",IF(IFERROR(INDEX(Stats!$D:$D,MATCH($C162,Stats!$A:$A,0)),FALSE),ROUND(D162+(E162-D162)*(1+G162)*((9-1)/(MaxLevel-1))^(2^F162),0),D162+(E162-D162)*(1+G162)*((9-1)/(MaxLevel-1))^(2^F162)))</f>
        <v/>
      </c>
      <c r="Q162" s="12" t="str">
        <f>IF(OR(D162="",E162=""),"",IF(IFERROR(INDEX(Stats!$D:$D,MATCH($C162,Stats!$A:$A,0)),FALSE),ROUND(D162+(E162-D162)*(1+G162)*((10-1)/(MaxLevel-1))^(2^F162),0),D162+(E162-D162)*(1+G162)*((10-1)/(MaxLevel-1))^(2^F162)))</f>
        <v/>
      </c>
    </row>
    <row r="163" spans="1:17" x14ac:dyDescent="0.25">
      <c r="A163" s="4" t="s">
        <v>185</v>
      </c>
      <c r="B163" s="19" t="s">
        <v>224</v>
      </c>
      <c r="C163" s="4" t="s">
        <v>42</v>
      </c>
      <c r="D163" s="5"/>
      <c r="E163" s="5"/>
      <c r="F163" s="5"/>
      <c r="G163" s="5"/>
      <c r="H163" s="12" t="str">
        <f>IF(OR(D163="",E163=""),"",IF(IFERROR(INDEX(Stats!$D:$D,MATCH($C163,Stats!$A:$A,0)),FALSE),ROUND(D163+(E163-D163)*(1+G163)*((1-1)/(MaxLevel-1))^(2^F163),0),D163+(E163-D163)*(1+G163)*((1-1)/(MaxLevel-1))^(2^F163)))</f>
        <v/>
      </c>
      <c r="I163" s="12" t="str">
        <f>IF(OR(D163="",E163=""),"",IF(IFERROR(INDEX(Stats!$D:$D,MATCH($C163,Stats!$A:$A,0)),FALSE),ROUND(D163+(E163-D163)*(1+G163)*((2-1)/(MaxLevel-1))^(2^F163),0),D163+(E163-D163)*(1+G163)*((2-1)/(MaxLevel-1))^(2^F163)))</f>
        <v/>
      </c>
      <c r="J163" s="12" t="str">
        <f>IF(OR(D163="",E163=""),"",IF(IFERROR(INDEX(Stats!$D:$D,MATCH($C163,Stats!$A:$A,0)),FALSE),ROUND(D163+(E163-D163)*(1+G163)*((3-1)/(MaxLevel-1))^(2^F163),0),D163+(E163-D163)*(1+G163)*((3-1)/(MaxLevel-1))^(2^F163)))</f>
        <v/>
      </c>
      <c r="K163" s="12" t="str">
        <f>IF(OR(D163="",E163=""),"",IF(IFERROR(INDEX(Stats!$D:$D,MATCH($C163,Stats!$A:$A,0)),FALSE),ROUND(D163+(E163-D163)*(1+G163)*((4-1)/(MaxLevel-1))^(2^F163),0),D163+(E163-D163)*(1+G163)*((4-1)/(MaxLevel-1))^(2^F163)))</f>
        <v/>
      </c>
      <c r="L163" s="12" t="str">
        <f>IF(OR(D163="",E163=""),"",IF(IFERROR(INDEX(Stats!$D:$D,MATCH($C163,Stats!$A:$A,0)),FALSE),ROUND(D163+(E163-D163)*(1+G163)*((5-1)/(MaxLevel-1))^(2^F163),0),D163+(E163-D163)*(1+G163)*((5-1)/(MaxLevel-1))^(2^F163)))</f>
        <v/>
      </c>
      <c r="M163" s="12" t="str">
        <f>IF(OR(D163="",E163=""),"",IF(IFERROR(INDEX(Stats!$D:$D,MATCH($C163,Stats!$A:$A,0)),FALSE),ROUND(D163+(E163-D163)*(1+G163)*((6-1)/(MaxLevel-1))^(2^F163),0),D163+(E163-D163)*(1+G163)*((6-1)/(MaxLevel-1))^(2^F163)))</f>
        <v/>
      </c>
      <c r="N163" s="12" t="str">
        <f>IF(OR(D163="",E163=""),"",IF(IFERROR(INDEX(Stats!$D:$D,MATCH($C163,Stats!$A:$A,0)),FALSE),ROUND(D163+(E163-D163)*(1+G163)*((7-1)/(MaxLevel-1))^(2^F163),0),D163+(E163-D163)*(1+G163)*((7-1)/(MaxLevel-1))^(2^F163)))</f>
        <v/>
      </c>
      <c r="O163" s="12" t="str">
        <f>IF(OR(D163="",E163=""),"",IF(IFERROR(INDEX(Stats!$D:$D,MATCH($C163,Stats!$A:$A,0)),FALSE),ROUND(D163+(E163-D163)*(1+G163)*((8-1)/(MaxLevel-1))^(2^F163),0),D163+(E163-D163)*(1+G163)*((8-1)/(MaxLevel-1))^(2^F163)))</f>
        <v/>
      </c>
      <c r="P163" s="12" t="str">
        <f>IF(OR(D163="",E163=""),"",IF(IFERROR(INDEX(Stats!$D:$D,MATCH($C163,Stats!$A:$A,0)),FALSE),ROUND(D163+(E163-D163)*(1+G163)*((9-1)/(MaxLevel-1))^(2^F163),0),D163+(E163-D163)*(1+G163)*((9-1)/(MaxLevel-1))^(2^F163)))</f>
        <v/>
      </c>
      <c r="Q163" s="12" t="str">
        <f>IF(OR(D163="",E163=""),"",IF(IFERROR(INDEX(Stats!$D:$D,MATCH($C163,Stats!$A:$A,0)),FALSE),ROUND(D163+(E163-D163)*(1+G163)*((10-1)/(MaxLevel-1))^(2^F163),0),D163+(E163-D163)*(1+G163)*((10-1)/(MaxLevel-1))^(2^F163)))</f>
        <v/>
      </c>
    </row>
    <row r="164" spans="1:17" x14ac:dyDescent="0.25">
      <c r="A164" s="4" t="s">
        <v>185</v>
      </c>
      <c r="B164" s="19" t="s">
        <v>224</v>
      </c>
      <c r="C164" s="4" t="s">
        <v>44</v>
      </c>
      <c r="D164" s="5"/>
      <c r="E164" s="5"/>
      <c r="F164" s="5"/>
      <c r="G164" s="5"/>
      <c r="H164" s="12" t="str">
        <f>IF(OR(D164="",E164=""),"",IF(IFERROR(INDEX(Stats!$D:$D,MATCH($C164,Stats!$A:$A,0)),FALSE),ROUND(D164+(E164-D164)*(1+G164)*((1-1)/(MaxLevel-1))^(2^F164),0),D164+(E164-D164)*(1+G164)*((1-1)/(MaxLevel-1))^(2^F164)))</f>
        <v/>
      </c>
      <c r="I164" s="12" t="str">
        <f>IF(OR(D164="",E164=""),"",IF(IFERROR(INDEX(Stats!$D:$D,MATCH($C164,Stats!$A:$A,0)),FALSE),ROUND(D164+(E164-D164)*(1+G164)*((2-1)/(MaxLevel-1))^(2^F164),0),D164+(E164-D164)*(1+G164)*((2-1)/(MaxLevel-1))^(2^F164)))</f>
        <v/>
      </c>
      <c r="J164" s="12" t="str">
        <f>IF(OR(D164="",E164=""),"",IF(IFERROR(INDEX(Stats!$D:$D,MATCH($C164,Stats!$A:$A,0)),FALSE),ROUND(D164+(E164-D164)*(1+G164)*((3-1)/(MaxLevel-1))^(2^F164),0),D164+(E164-D164)*(1+G164)*((3-1)/(MaxLevel-1))^(2^F164)))</f>
        <v/>
      </c>
      <c r="K164" s="12" t="str">
        <f>IF(OR(D164="",E164=""),"",IF(IFERROR(INDEX(Stats!$D:$D,MATCH($C164,Stats!$A:$A,0)),FALSE),ROUND(D164+(E164-D164)*(1+G164)*((4-1)/(MaxLevel-1))^(2^F164),0),D164+(E164-D164)*(1+G164)*((4-1)/(MaxLevel-1))^(2^F164)))</f>
        <v/>
      </c>
      <c r="L164" s="12" t="str">
        <f>IF(OR(D164="",E164=""),"",IF(IFERROR(INDEX(Stats!$D:$D,MATCH($C164,Stats!$A:$A,0)),FALSE),ROUND(D164+(E164-D164)*(1+G164)*((5-1)/(MaxLevel-1))^(2^F164),0),D164+(E164-D164)*(1+G164)*((5-1)/(MaxLevel-1))^(2^F164)))</f>
        <v/>
      </c>
      <c r="M164" s="12" t="str">
        <f>IF(OR(D164="",E164=""),"",IF(IFERROR(INDEX(Stats!$D:$D,MATCH($C164,Stats!$A:$A,0)),FALSE),ROUND(D164+(E164-D164)*(1+G164)*((6-1)/(MaxLevel-1))^(2^F164),0),D164+(E164-D164)*(1+G164)*((6-1)/(MaxLevel-1))^(2^F164)))</f>
        <v/>
      </c>
      <c r="N164" s="12" t="str">
        <f>IF(OR(D164="",E164=""),"",IF(IFERROR(INDEX(Stats!$D:$D,MATCH($C164,Stats!$A:$A,0)),FALSE),ROUND(D164+(E164-D164)*(1+G164)*((7-1)/(MaxLevel-1))^(2^F164),0),D164+(E164-D164)*(1+G164)*((7-1)/(MaxLevel-1))^(2^F164)))</f>
        <v/>
      </c>
      <c r="O164" s="12" t="str">
        <f>IF(OR(D164="",E164=""),"",IF(IFERROR(INDEX(Stats!$D:$D,MATCH($C164,Stats!$A:$A,0)),FALSE),ROUND(D164+(E164-D164)*(1+G164)*((8-1)/(MaxLevel-1))^(2^F164),0),D164+(E164-D164)*(1+G164)*((8-1)/(MaxLevel-1))^(2^F164)))</f>
        <v/>
      </c>
      <c r="P164" s="12" t="str">
        <f>IF(OR(D164="",E164=""),"",IF(IFERROR(INDEX(Stats!$D:$D,MATCH($C164,Stats!$A:$A,0)),FALSE),ROUND(D164+(E164-D164)*(1+G164)*((9-1)/(MaxLevel-1))^(2^F164),0),D164+(E164-D164)*(1+G164)*((9-1)/(MaxLevel-1))^(2^F164)))</f>
        <v/>
      </c>
      <c r="Q164" s="12" t="str">
        <f>IF(OR(D164="",E164=""),"",IF(IFERROR(INDEX(Stats!$D:$D,MATCH($C164,Stats!$A:$A,0)),FALSE),ROUND(D164+(E164-D164)*(1+G164)*((10-1)/(MaxLevel-1))^(2^F164),0),D164+(E164-D164)*(1+G164)*((10-1)/(MaxLevel-1))^(2^F164)))</f>
        <v/>
      </c>
    </row>
    <row r="165" spans="1:17" x14ac:dyDescent="0.25">
      <c r="A165" s="4" t="s">
        <v>185</v>
      </c>
      <c r="B165" s="19" t="s">
        <v>224</v>
      </c>
      <c r="C165" s="4" t="s">
        <v>46</v>
      </c>
      <c r="D165" s="5">
        <v>300</v>
      </c>
      <c r="E165" s="5">
        <v>320</v>
      </c>
      <c r="F165" s="5">
        <v>0</v>
      </c>
      <c r="G165" s="5">
        <v>0</v>
      </c>
      <c r="H165" s="12">
        <f>IF(OR(D165="",E165=""),"",IF(IFERROR(INDEX(Stats!$D:$D,MATCH($C165,Stats!$A:$A,0)),FALSE),ROUND(D165+(E165-D165)*(1+G165)*((1-1)/(MaxLevel-1))^(2^F165),0),D165+(E165-D165)*(1+G165)*((1-1)/(MaxLevel-1))^(2^F165)))</f>
        <v>300</v>
      </c>
      <c r="I165" s="12">
        <f>IF(OR(D165="",E165=""),"",IF(IFERROR(INDEX(Stats!$D:$D,MATCH($C165,Stats!$A:$A,0)),FALSE),ROUND(D165+(E165-D165)*(1+G165)*((2-1)/(MaxLevel-1))^(2^F165),0),D165+(E165-D165)*(1+G165)*((2-1)/(MaxLevel-1))^(2^F165)))</f>
        <v>302.22222222222223</v>
      </c>
      <c r="J165" s="12">
        <f>IF(OR(D165="",E165=""),"",IF(IFERROR(INDEX(Stats!$D:$D,MATCH($C165,Stats!$A:$A,0)),FALSE),ROUND(D165+(E165-D165)*(1+G165)*((3-1)/(MaxLevel-1))^(2^F165),0),D165+(E165-D165)*(1+G165)*((3-1)/(MaxLevel-1))^(2^F165)))</f>
        <v>304.44444444444446</v>
      </c>
      <c r="K165" s="12">
        <f>IF(OR(D165="",E165=""),"",IF(IFERROR(INDEX(Stats!$D:$D,MATCH($C165,Stats!$A:$A,0)),FALSE),ROUND(D165+(E165-D165)*(1+G165)*((4-1)/(MaxLevel-1))^(2^F165),0),D165+(E165-D165)*(1+G165)*((4-1)/(MaxLevel-1))^(2^F165)))</f>
        <v>306.66666666666669</v>
      </c>
      <c r="L165" s="12">
        <f>IF(OR(D165="",E165=""),"",IF(IFERROR(INDEX(Stats!$D:$D,MATCH($C165,Stats!$A:$A,0)),FALSE),ROUND(D165+(E165-D165)*(1+G165)*((5-1)/(MaxLevel-1))^(2^F165),0),D165+(E165-D165)*(1+G165)*((5-1)/(MaxLevel-1))^(2^F165)))</f>
        <v>308.88888888888891</v>
      </c>
      <c r="M165" s="12">
        <f>IF(OR(D165="",E165=""),"",IF(IFERROR(INDEX(Stats!$D:$D,MATCH($C165,Stats!$A:$A,0)),FALSE),ROUND(D165+(E165-D165)*(1+G165)*((6-1)/(MaxLevel-1))^(2^F165),0),D165+(E165-D165)*(1+G165)*((6-1)/(MaxLevel-1))^(2^F165)))</f>
        <v>311.11111111111109</v>
      </c>
      <c r="N165" s="12">
        <f>IF(OR(D165="",E165=""),"",IF(IFERROR(INDEX(Stats!$D:$D,MATCH($C165,Stats!$A:$A,0)),FALSE),ROUND(D165+(E165-D165)*(1+G165)*((7-1)/(MaxLevel-1))^(2^F165),0),D165+(E165-D165)*(1+G165)*((7-1)/(MaxLevel-1))^(2^F165)))</f>
        <v>313.33333333333331</v>
      </c>
      <c r="O165" s="12">
        <f>IF(OR(D165="",E165=""),"",IF(IFERROR(INDEX(Stats!$D:$D,MATCH($C165,Stats!$A:$A,0)),FALSE),ROUND(D165+(E165-D165)*(1+G165)*((8-1)/(MaxLevel-1))^(2^F165),0),D165+(E165-D165)*(1+G165)*((8-1)/(MaxLevel-1))^(2^F165)))</f>
        <v>315.55555555555554</v>
      </c>
      <c r="P165" s="12">
        <f>IF(OR(D165="",E165=""),"",IF(IFERROR(INDEX(Stats!$D:$D,MATCH($C165,Stats!$A:$A,0)),FALSE),ROUND(D165+(E165-D165)*(1+G165)*((9-1)/(MaxLevel-1))^(2^F165),0),D165+(E165-D165)*(1+G165)*((9-1)/(MaxLevel-1))^(2^F165)))</f>
        <v>317.77777777777777</v>
      </c>
      <c r="Q165" s="12">
        <f>IF(OR(D165="",E165=""),"",IF(IFERROR(INDEX(Stats!$D:$D,MATCH($C165,Stats!$A:$A,0)),FALSE),ROUND(D165+(E165-D165)*(1+G165)*((10-1)/(MaxLevel-1))^(2^F165),0),D165+(E165-D165)*(1+G165)*((10-1)/(MaxLevel-1))^(2^F165)))</f>
        <v>320</v>
      </c>
    </row>
    <row r="166" spans="1:17" x14ac:dyDescent="0.25">
      <c r="A166" s="4" t="s">
        <v>185</v>
      </c>
      <c r="B166" s="19" t="s">
        <v>224</v>
      </c>
      <c r="C166" s="4" t="s">
        <v>48</v>
      </c>
      <c r="D166" s="5"/>
      <c r="E166" s="5"/>
      <c r="F166" s="5"/>
      <c r="G166" s="5"/>
      <c r="H166" s="12" t="str">
        <f>IF(OR(D166="",E166=""),"",IF(IFERROR(INDEX(Stats!$D:$D,MATCH($C166,Stats!$A:$A,0)),FALSE),ROUND(D166+(E166-D166)*(1+G166)*((1-1)/(MaxLevel-1))^(2^F166),0),D166+(E166-D166)*(1+G166)*((1-1)/(MaxLevel-1))^(2^F166)))</f>
        <v/>
      </c>
      <c r="I166" s="12" t="str">
        <f>IF(OR(D166="",E166=""),"",IF(IFERROR(INDEX(Stats!$D:$D,MATCH($C166,Stats!$A:$A,0)),FALSE),ROUND(D166+(E166-D166)*(1+G166)*((2-1)/(MaxLevel-1))^(2^F166),0),D166+(E166-D166)*(1+G166)*((2-1)/(MaxLevel-1))^(2^F166)))</f>
        <v/>
      </c>
      <c r="J166" s="12" t="str">
        <f>IF(OR(D166="",E166=""),"",IF(IFERROR(INDEX(Stats!$D:$D,MATCH($C166,Stats!$A:$A,0)),FALSE),ROUND(D166+(E166-D166)*(1+G166)*((3-1)/(MaxLevel-1))^(2^F166),0),D166+(E166-D166)*(1+G166)*((3-1)/(MaxLevel-1))^(2^F166)))</f>
        <v/>
      </c>
      <c r="K166" s="12" t="str">
        <f>IF(OR(D166="",E166=""),"",IF(IFERROR(INDEX(Stats!$D:$D,MATCH($C166,Stats!$A:$A,0)),FALSE),ROUND(D166+(E166-D166)*(1+G166)*((4-1)/(MaxLevel-1))^(2^F166),0),D166+(E166-D166)*(1+G166)*((4-1)/(MaxLevel-1))^(2^F166)))</f>
        <v/>
      </c>
      <c r="L166" s="12" t="str">
        <f>IF(OR(D166="",E166=""),"",IF(IFERROR(INDEX(Stats!$D:$D,MATCH($C166,Stats!$A:$A,0)),FALSE),ROUND(D166+(E166-D166)*(1+G166)*((5-1)/(MaxLevel-1))^(2^F166),0),D166+(E166-D166)*(1+G166)*((5-1)/(MaxLevel-1))^(2^F166)))</f>
        <v/>
      </c>
      <c r="M166" s="12" t="str">
        <f>IF(OR(D166="",E166=""),"",IF(IFERROR(INDEX(Stats!$D:$D,MATCH($C166,Stats!$A:$A,0)),FALSE),ROUND(D166+(E166-D166)*(1+G166)*((6-1)/(MaxLevel-1))^(2^F166),0),D166+(E166-D166)*(1+G166)*((6-1)/(MaxLevel-1))^(2^F166)))</f>
        <v/>
      </c>
      <c r="N166" s="12" t="str">
        <f>IF(OR(D166="",E166=""),"",IF(IFERROR(INDEX(Stats!$D:$D,MATCH($C166,Stats!$A:$A,0)),FALSE),ROUND(D166+(E166-D166)*(1+G166)*((7-1)/(MaxLevel-1))^(2^F166),0),D166+(E166-D166)*(1+G166)*((7-1)/(MaxLevel-1))^(2^F166)))</f>
        <v/>
      </c>
      <c r="O166" s="12" t="str">
        <f>IF(OR(D166="",E166=""),"",IF(IFERROR(INDEX(Stats!$D:$D,MATCH($C166,Stats!$A:$A,0)),FALSE),ROUND(D166+(E166-D166)*(1+G166)*((8-1)/(MaxLevel-1))^(2^F166),0),D166+(E166-D166)*(1+G166)*((8-1)/(MaxLevel-1))^(2^F166)))</f>
        <v/>
      </c>
      <c r="P166" s="12" t="str">
        <f>IF(OR(D166="",E166=""),"",IF(IFERROR(INDEX(Stats!$D:$D,MATCH($C166,Stats!$A:$A,0)),FALSE),ROUND(D166+(E166-D166)*(1+G166)*((9-1)/(MaxLevel-1))^(2^F166),0),D166+(E166-D166)*(1+G166)*((9-1)/(MaxLevel-1))^(2^F166)))</f>
        <v/>
      </c>
      <c r="Q166" s="12" t="str">
        <f>IF(OR(D166="",E166=""),"",IF(IFERROR(INDEX(Stats!$D:$D,MATCH($C166,Stats!$A:$A,0)),FALSE),ROUND(D166+(E166-D166)*(1+G166)*((10-1)/(MaxLevel-1))^(2^F166),0),D166+(E166-D166)*(1+G166)*((10-1)/(MaxLevel-1))^(2^F166)))</f>
        <v/>
      </c>
    </row>
    <row r="167" spans="1:17" x14ac:dyDescent="0.25">
      <c r="A167" s="4" t="s">
        <v>185</v>
      </c>
      <c r="B167" s="19" t="s">
        <v>224</v>
      </c>
      <c r="C167" s="4" t="s">
        <v>50</v>
      </c>
      <c r="D167" s="5"/>
      <c r="E167" s="5"/>
      <c r="F167" s="5"/>
      <c r="G167" s="5"/>
      <c r="H167" s="12" t="str">
        <f>IF(OR(D167="",E167=""),"",IF(IFERROR(INDEX(Stats!$D:$D,MATCH($C167,Stats!$A:$A,0)),FALSE),ROUND(D167+(E167-D167)*(1+G167)*((1-1)/(MaxLevel-1))^(2^F167),0),D167+(E167-D167)*(1+G167)*((1-1)/(MaxLevel-1))^(2^F167)))</f>
        <v/>
      </c>
      <c r="I167" s="12" t="str">
        <f>IF(OR(D167="",E167=""),"",IF(IFERROR(INDEX(Stats!$D:$D,MATCH($C167,Stats!$A:$A,0)),FALSE),ROUND(D167+(E167-D167)*(1+G167)*((2-1)/(MaxLevel-1))^(2^F167),0),D167+(E167-D167)*(1+G167)*((2-1)/(MaxLevel-1))^(2^F167)))</f>
        <v/>
      </c>
      <c r="J167" s="12" t="str">
        <f>IF(OR(D167="",E167=""),"",IF(IFERROR(INDEX(Stats!$D:$D,MATCH($C167,Stats!$A:$A,0)),FALSE),ROUND(D167+(E167-D167)*(1+G167)*((3-1)/(MaxLevel-1))^(2^F167),0),D167+(E167-D167)*(1+G167)*((3-1)/(MaxLevel-1))^(2^F167)))</f>
        <v/>
      </c>
      <c r="K167" s="12" t="str">
        <f>IF(OR(D167="",E167=""),"",IF(IFERROR(INDEX(Stats!$D:$D,MATCH($C167,Stats!$A:$A,0)),FALSE),ROUND(D167+(E167-D167)*(1+G167)*((4-1)/(MaxLevel-1))^(2^F167),0),D167+(E167-D167)*(1+G167)*((4-1)/(MaxLevel-1))^(2^F167)))</f>
        <v/>
      </c>
      <c r="L167" s="12" t="str">
        <f>IF(OR(D167="",E167=""),"",IF(IFERROR(INDEX(Stats!$D:$D,MATCH($C167,Stats!$A:$A,0)),FALSE),ROUND(D167+(E167-D167)*(1+G167)*((5-1)/(MaxLevel-1))^(2^F167),0),D167+(E167-D167)*(1+G167)*((5-1)/(MaxLevel-1))^(2^F167)))</f>
        <v/>
      </c>
      <c r="M167" s="12" t="str">
        <f>IF(OR(D167="",E167=""),"",IF(IFERROR(INDEX(Stats!$D:$D,MATCH($C167,Stats!$A:$A,0)),FALSE),ROUND(D167+(E167-D167)*(1+G167)*((6-1)/(MaxLevel-1))^(2^F167),0),D167+(E167-D167)*(1+G167)*((6-1)/(MaxLevel-1))^(2^F167)))</f>
        <v/>
      </c>
      <c r="N167" s="12" t="str">
        <f>IF(OR(D167="",E167=""),"",IF(IFERROR(INDEX(Stats!$D:$D,MATCH($C167,Stats!$A:$A,0)),FALSE),ROUND(D167+(E167-D167)*(1+G167)*((7-1)/(MaxLevel-1))^(2^F167),0),D167+(E167-D167)*(1+G167)*((7-1)/(MaxLevel-1))^(2^F167)))</f>
        <v/>
      </c>
      <c r="O167" s="12" t="str">
        <f>IF(OR(D167="",E167=""),"",IF(IFERROR(INDEX(Stats!$D:$D,MATCH($C167,Stats!$A:$A,0)),FALSE),ROUND(D167+(E167-D167)*(1+G167)*((8-1)/(MaxLevel-1))^(2^F167),0),D167+(E167-D167)*(1+G167)*((8-1)/(MaxLevel-1))^(2^F167)))</f>
        <v/>
      </c>
      <c r="P167" s="12" t="str">
        <f>IF(OR(D167="",E167=""),"",IF(IFERROR(INDEX(Stats!$D:$D,MATCH($C167,Stats!$A:$A,0)),FALSE),ROUND(D167+(E167-D167)*(1+G167)*((9-1)/(MaxLevel-1))^(2^F167),0),D167+(E167-D167)*(1+G167)*((9-1)/(MaxLevel-1))^(2^F167)))</f>
        <v/>
      </c>
      <c r="Q167" s="12" t="str">
        <f>IF(OR(D167="",E167=""),"",IF(IFERROR(INDEX(Stats!$D:$D,MATCH($C167,Stats!$A:$A,0)),FALSE),ROUND(D167+(E167-D167)*(1+G167)*((10-1)/(MaxLevel-1))^(2^F167),0),D167+(E167-D167)*(1+G167)*((10-1)/(MaxLevel-1))^(2^F167)))</f>
        <v/>
      </c>
    </row>
    <row r="168" spans="1:17" x14ac:dyDescent="0.25">
      <c r="A168" s="4" t="s">
        <v>185</v>
      </c>
      <c r="B168" s="19" t="s">
        <v>224</v>
      </c>
      <c r="C168" s="4" t="s">
        <v>52</v>
      </c>
      <c r="D168" s="5"/>
      <c r="E168" s="5"/>
      <c r="F168" s="5"/>
      <c r="G168" s="5"/>
      <c r="H168" s="12" t="str">
        <f>IF(OR(D168="",E168=""),"",IF(IFERROR(INDEX(Stats!$D:$D,MATCH($C168,Stats!$A:$A,0)),FALSE),ROUND(D168+(E168-D168)*(1+G168)*((1-1)/(MaxLevel-1))^(2^F168),0),D168+(E168-D168)*(1+G168)*((1-1)/(MaxLevel-1))^(2^F168)))</f>
        <v/>
      </c>
      <c r="I168" s="12" t="str">
        <f>IF(OR(D168="",E168=""),"",IF(IFERROR(INDEX(Stats!$D:$D,MATCH($C168,Stats!$A:$A,0)),FALSE),ROUND(D168+(E168-D168)*(1+G168)*((2-1)/(MaxLevel-1))^(2^F168),0),D168+(E168-D168)*(1+G168)*((2-1)/(MaxLevel-1))^(2^F168)))</f>
        <v/>
      </c>
      <c r="J168" s="12" t="str">
        <f>IF(OR(D168="",E168=""),"",IF(IFERROR(INDEX(Stats!$D:$D,MATCH($C168,Stats!$A:$A,0)),FALSE),ROUND(D168+(E168-D168)*(1+G168)*((3-1)/(MaxLevel-1))^(2^F168),0),D168+(E168-D168)*(1+G168)*((3-1)/(MaxLevel-1))^(2^F168)))</f>
        <v/>
      </c>
      <c r="K168" s="12" t="str">
        <f>IF(OR(D168="",E168=""),"",IF(IFERROR(INDEX(Stats!$D:$D,MATCH($C168,Stats!$A:$A,0)),FALSE),ROUND(D168+(E168-D168)*(1+G168)*((4-1)/(MaxLevel-1))^(2^F168),0),D168+(E168-D168)*(1+G168)*((4-1)/(MaxLevel-1))^(2^F168)))</f>
        <v/>
      </c>
      <c r="L168" s="12" t="str">
        <f>IF(OR(D168="",E168=""),"",IF(IFERROR(INDEX(Stats!$D:$D,MATCH($C168,Stats!$A:$A,0)),FALSE),ROUND(D168+(E168-D168)*(1+G168)*((5-1)/(MaxLevel-1))^(2^F168),0),D168+(E168-D168)*(1+G168)*((5-1)/(MaxLevel-1))^(2^F168)))</f>
        <v/>
      </c>
      <c r="M168" s="12" t="str">
        <f>IF(OR(D168="",E168=""),"",IF(IFERROR(INDEX(Stats!$D:$D,MATCH($C168,Stats!$A:$A,0)),FALSE),ROUND(D168+(E168-D168)*(1+G168)*((6-1)/(MaxLevel-1))^(2^F168),0),D168+(E168-D168)*(1+G168)*((6-1)/(MaxLevel-1))^(2^F168)))</f>
        <v/>
      </c>
      <c r="N168" s="12" t="str">
        <f>IF(OR(D168="",E168=""),"",IF(IFERROR(INDEX(Stats!$D:$D,MATCH($C168,Stats!$A:$A,0)),FALSE),ROUND(D168+(E168-D168)*(1+G168)*((7-1)/(MaxLevel-1))^(2^F168),0),D168+(E168-D168)*(1+G168)*((7-1)/(MaxLevel-1))^(2^F168)))</f>
        <v/>
      </c>
      <c r="O168" s="12" t="str">
        <f>IF(OR(D168="",E168=""),"",IF(IFERROR(INDEX(Stats!$D:$D,MATCH($C168,Stats!$A:$A,0)),FALSE),ROUND(D168+(E168-D168)*(1+G168)*((8-1)/(MaxLevel-1))^(2^F168),0),D168+(E168-D168)*(1+G168)*((8-1)/(MaxLevel-1))^(2^F168)))</f>
        <v/>
      </c>
      <c r="P168" s="12" t="str">
        <f>IF(OR(D168="",E168=""),"",IF(IFERROR(INDEX(Stats!$D:$D,MATCH($C168,Stats!$A:$A,0)),FALSE),ROUND(D168+(E168-D168)*(1+G168)*((9-1)/(MaxLevel-1))^(2^F168),0),D168+(E168-D168)*(1+G168)*((9-1)/(MaxLevel-1))^(2^F168)))</f>
        <v/>
      </c>
      <c r="Q168" s="12" t="str">
        <f>IF(OR(D168="",E168=""),"",IF(IFERROR(INDEX(Stats!$D:$D,MATCH($C168,Stats!$A:$A,0)),FALSE),ROUND(D168+(E168-D168)*(1+G168)*((10-1)/(MaxLevel-1))^(2^F168),0),D168+(E168-D168)*(1+G168)*((10-1)/(MaxLevel-1))^(2^F168)))</f>
        <v/>
      </c>
    </row>
    <row r="169" spans="1:17" x14ac:dyDescent="0.25">
      <c r="A169" s="4" t="s">
        <v>185</v>
      </c>
      <c r="B169" s="19" t="s">
        <v>224</v>
      </c>
      <c r="C169" s="4" t="s">
        <v>54</v>
      </c>
      <c r="D169" s="5"/>
      <c r="E169" s="5"/>
      <c r="F169" s="5"/>
      <c r="G169" s="5"/>
      <c r="H169" s="12" t="str">
        <f>IF(OR(D169="",E169=""),"",IF(IFERROR(INDEX(Stats!$D:$D,MATCH($C169,Stats!$A:$A,0)),FALSE),ROUND(D169+(E169-D169)*(1+G169)*((1-1)/(MaxLevel-1))^(2^F169),0),D169+(E169-D169)*(1+G169)*((1-1)/(MaxLevel-1))^(2^F169)))</f>
        <v/>
      </c>
      <c r="I169" s="12" t="str">
        <f>IF(OR(D169="",E169=""),"",IF(IFERROR(INDEX(Stats!$D:$D,MATCH($C169,Stats!$A:$A,0)),FALSE),ROUND(D169+(E169-D169)*(1+G169)*((2-1)/(MaxLevel-1))^(2^F169),0),D169+(E169-D169)*(1+G169)*((2-1)/(MaxLevel-1))^(2^F169)))</f>
        <v/>
      </c>
      <c r="J169" s="12" t="str">
        <f>IF(OR(D169="",E169=""),"",IF(IFERROR(INDEX(Stats!$D:$D,MATCH($C169,Stats!$A:$A,0)),FALSE),ROUND(D169+(E169-D169)*(1+G169)*((3-1)/(MaxLevel-1))^(2^F169),0),D169+(E169-D169)*(1+G169)*((3-1)/(MaxLevel-1))^(2^F169)))</f>
        <v/>
      </c>
      <c r="K169" s="12" t="str">
        <f>IF(OR(D169="",E169=""),"",IF(IFERROR(INDEX(Stats!$D:$D,MATCH($C169,Stats!$A:$A,0)),FALSE),ROUND(D169+(E169-D169)*(1+G169)*((4-1)/(MaxLevel-1))^(2^F169),0),D169+(E169-D169)*(1+G169)*((4-1)/(MaxLevel-1))^(2^F169)))</f>
        <v/>
      </c>
      <c r="L169" s="12" t="str">
        <f>IF(OR(D169="",E169=""),"",IF(IFERROR(INDEX(Stats!$D:$D,MATCH($C169,Stats!$A:$A,0)),FALSE),ROUND(D169+(E169-D169)*(1+G169)*((5-1)/(MaxLevel-1))^(2^F169),0),D169+(E169-D169)*(1+G169)*((5-1)/(MaxLevel-1))^(2^F169)))</f>
        <v/>
      </c>
      <c r="M169" s="12" t="str">
        <f>IF(OR(D169="",E169=""),"",IF(IFERROR(INDEX(Stats!$D:$D,MATCH($C169,Stats!$A:$A,0)),FALSE),ROUND(D169+(E169-D169)*(1+G169)*((6-1)/(MaxLevel-1))^(2^F169),0),D169+(E169-D169)*(1+G169)*((6-1)/(MaxLevel-1))^(2^F169)))</f>
        <v/>
      </c>
      <c r="N169" s="12" t="str">
        <f>IF(OR(D169="",E169=""),"",IF(IFERROR(INDEX(Stats!$D:$D,MATCH($C169,Stats!$A:$A,0)),FALSE),ROUND(D169+(E169-D169)*(1+G169)*((7-1)/(MaxLevel-1))^(2^F169),0),D169+(E169-D169)*(1+G169)*((7-1)/(MaxLevel-1))^(2^F169)))</f>
        <v/>
      </c>
      <c r="O169" s="12" t="str">
        <f>IF(OR(D169="",E169=""),"",IF(IFERROR(INDEX(Stats!$D:$D,MATCH($C169,Stats!$A:$A,0)),FALSE),ROUND(D169+(E169-D169)*(1+G169)*((8-1)/(MaxLevel-1))^(2^F169),0),D169+(E169-D169)*(1+G169)*((8-1)/(MaxLevel-1))^(2^F169)))</f>
        <v/>
      </c>
      <c r="P169" s="12" t="str">
        <f>IF(OR(D169="",E169=""),"",IF(IFERROR(INDEX(Stats!$D:$D,MATCH($C169,Stats!$A:$A,0)),FALSE),ROUND(D169+(E169-D169)*(1+G169)*((9-1)/(MaxLevel-1))^(2^F169),0),D169+(E169-D169)*(1+G169)*((9-1)/(MaxLevel-1))^(2^F169)))</f>
        <v/>
      </c>
      <c r="Q169" s="12" t="str">
        <f>IF(OR(D169="",E169=""),"",IF(IFERROR(INDEX(Stats!$D:$D,MATCH($C169,Stats!$A:$A,0)),FALSE),ROUND(D169+(E169-D169)*(1+G169)*((10-1)/(MaxLevel-1))^(2^F169),0),D169+(E169-D169)*(1+G169)*((10-1)/(MaxLevel-1))^(2^F169)))</f>
        <v/>
      </c>
    </row>
    <row r="170" spans="1:17" x14ac:dyDescent="0.25">
      <c r="A170" s="4" t="s">
        <v>185</v>
      </c>
      <c r="B170" s="19" t="s">
        <v>224</v>
      </c>
      <c r="C170" s="4" t="s">
        <v>56</v>
      </c>
      <c r="D170" s="5"/>
      <c r="E170" s="5"/>
      <c r="F170" s="5"/>
      <c r="G170" s="5"/>
      <c r="H170" s="12" t="str">
        <f>IF(OR(D170="",E170=""),"",IF(IFERROR(INDEX(Stats!$D:$D,MATCH($C170,Stats!$A:$A,0)),FALSE),ROUND(D170+(E170-D170)*(1+G170)*((1-1)/(MaxLevel-1))^(2^F170),0),D170+(E170-D170)*(1+G170)*((1-1)/(MaxLevel-1))^(2^F170)))</f>
        <v/>
      </c>
      <c r="I170" s="12" t="str">
        <f>IF(OR(D170="",E170=""),"",IF(IFERROR(INDEX(Stats!$D:$D,MATCH($C170,Stats!$A:$A,0)),FALSE),ROUND(D170+(E170-D170)*(1+G170)*((2-1)/(MaxLevel-1))^(2^F170),0),D170+(E170-D170)*(1+G170)*((2-1)/(MaxLevel-1))^(2^F170)))</f>
        <v/>
      </c>
      <c r="J170" s="12" t="str">
        <f>IF(OR(D170="",E170=""),"",IF(IFERROR(INDEX(Stats!$D:$D,MATCH($C170,Stats!$A:$A,0)),FALSE),ROUND(D170+(E170-D170)*(1+G170)*((3-1)/(MaxLevel-1))^(2^F170),0),D170+(E170-D170)*(1+G170)*((3-1)/(MaxLevel-1))^(2^F170)))</f>
        <v/>
      </c>
      <c r="K170" s="12" t="str">
        <f>IF(OR(D170="",E170=""),"",IF(IFERROR(INDEX(Stats!$D:$D,MATCH($C170,Stats!$A:$A,0)),FALSE),ROUND(D170+(E170-D170)*(1+G170)*((4-1)/(MaxLevel-1))^(2^F170),0),D170+(E170-D170)*(1+G170)*((4-1)/(MaxLevel-1))^(2^F170)))</f>
        <v/>
      </c>
      <c r="L170" s="12" t="str">
        <f>IF(OR(D170="",E170=""),"",IF(IFERROR(INDEX(Stats!$D:$D,MATCH($C170,Stats!$A:$A,0)),FALSE),ROUND(D170+(E170-D170)*(1+G170)*((5-1)/(MaxLevel-1))^(2^F170),0),D170+(E170-D170)*(1+G170)*((5-1)/(MaxLevel-1))^(2^F170)))</f>
        <v/>
      </c>
      <c r="M170" s="12" t="str">
        <f>IF(OR(D170="",E170=""),"",IF(IFERROR(INDEX(Stats!$D:$D,MATCH($C170,Stats!$A:$A,0)),FALSE),ROUND(D170+(E170-D170)*(1+G170)*((6-1)/(MaxLevel-1))^(2^F170),0),D170+(E170-D170)*(1+G170)*((6-1)/(MaxLevel-1))^(2^F170)))</f>
        <v/>
      </c>
      <c r="N170" s="12" t="str">
        <f>IF(OR(D170="",E170=""),"",IF(IFERROR(INDEX(Stats!$D:$D,MATCH($C170,Stats!$A:$A,0)),FALSE),ROUND(D170+(E170-D170)*(1+G170)*((7-1)/(MaxLevel-1))^(2^F170),0),D170+(E170-D170)*(1+G170)*((7-1)/(MaxLevel-1))^(2^F170)))</f>
        <v/>
      </c>
      <c r="O170" s="12" t="str">
        <f>IF(OR(D170="",E170=""),"",IF(IFERROR(INDEX(Stats!$D:$D,MATCH($C170,Stats!$A:$A,0)),FALSE),ROUND(D170+(E170-D170)*(1+G170)*((8-1)/(MaxLevel-1))^(2^F170),0),D170+(E170-D170)*(1+G170)*((8-1)/(MaxLevel-1))^(2^F170)))</f>
        <v/>
      </c>
      <c r="P170" s="12" t="str">
        <f>IF(OR(D170="",E170=""),"",IF(IFERROR(INDEX(Stats!$D:$D,MATCH($C170,Stats!$A:$A,0)),FALSE),ROUND(D170+(E170-D170)*(1+G170)*((9-1)/(MaxLevel-1))^(2^F170),0),D170+(E170-D170)*(1+G170)*((9-1)/(MaxLevel-1))^(2^F170)))</f>
        <v/>
      </c>
      <c r="Q170" s="12" t="str">
        <f>IF(OR(D170="",E170=""),"",IF(IFERROR(INDEX(Stats!$D:$D,MATCH($C170,Stats!$A:$A,0)),FALSE),ROUND(D170+(E170-D170)*(1+G170)*((10-1)/(MaxLevel-1))^(2^F170),0),D170+(E170-D170)*(1+G170)*((10-1)/(MaxLevel-1))^(2^F170)))</f>
        <v/>
      </c>
    </row>
    <row r="171" spans="1:17" x14ac:dyDescent="0.25">
      <c r="A171" s="4" t="s">
        <v>185</v>
      </c>
      <c r="B171" s="19" t="s">
        <v>224</v>
      </c>
      <c r="C171" s="4" t="s">
        <v>58</v>
      </c>
      <c r="D171" s="5"/>
      <c r="E171" s="5"/>
      <c r="F171" s="5"/>
      <c r="G171" s="5"/>
      <c r="H171" s="12" t="str">
        <f>IF(OR(D171="",E171=""),"",IF(IFERROR(INDEX(Stats!$D:$D,MATCH($C171,Stats!$A:$A,0)),FALSE),ROUND(D171+(E171-D171)*(1+G171)*((1-1)/(MaxLevel-1))^(2^F171),0),D171+(E171-D171)*(1+G171)*((1-1)/(MaxLevel-1))^(2^F171)))</f>
        <v/>
      </c>
      <c r="I171" s="12" t="str">
        <f>IF(OR(D171="",E171=""),"",IF(IFERROR(INDEX(Stats!$D:$D,MATCH($C171,Stats!$A:$A,0)),FALSE),ROUND(D171+(E171-D171)*(1+G171)*((2-1)/(MaxLevel-1))^(2^F171),0),D171+(E171-D171)*(1+G171)*((2-1)/(MaxLevel-1))^(2^F171)))</f>
        <v/>
      </c>
      <c r="J171" s="12" t="str">
        <f>IF(OR(D171="",E171=""),"",IF(IFERROR(INDEX(Stats!$D:$D,MATCH($C171,Stats!$A:$A,0)),FALSE),ROUND(D171+(E171-D171)*(1+G171)*((3-1)/(MaxLevel-1))^(2^F171),0),D171+(E171-D171)*(1+G171)*((3-1)/(MaxLevel-1))^(2^F171)))</f>
        <v/>
      </c>
      <c r="K171" s="12" t="str">
        <f>IF(OR(D171="",E171=""),"",IF(IFERROR(INDEX(Stats!$D:$D,MATCH($C171,Stats!$A:$A,0)),FALSE),ROUND(D171+(E171-D171)*(1+G171)*((4-1)/(MaxLevel-1))^(2^F171),0),D171+(E171-D171)*(1+G171)*((4-1)/(MaxLevel-1))^(2^F171)))</f>
        <v/>
      </c>
      <c r="L171" s="12" t="str">
        <f>IF(OR(D171="",E171=""),"",IF(IFERROR(INDEX(Stats!$D:$D,MATCH($C171,Stats!$A:$A,0)),FALSE),ROUND(D171+(E171-D171)*(1+G171)*((5-1)/(MaxLevel-1))^(2^F171),0),D171+(E171-D171)*(1+G171)*((5-1)/(MaxLevel-1))^(2^F171)))</f>
        <v/>
      </c>
      <c r="M171" s="12" t="str">
        <f>IF(OR(D171="",E171=""),"",IF(IFERROR(INDEX(Stats!$D:$D,MATCH($C171,Stats!$A:$A,0)),FALSE),ROUND(D171+(E171-D171)*(1+G171)*((6-1)/(MaxLevel-1))^(2^F171),0),D171+(E171-D171)*(1+G171)*((6-1)/(MaxLevel-1))^(2^F171)))</f>
        <v/>
      </c>
      <c r="N171" s="12" t="str">
        <f>IF(OR(D171="",E171=""),"",IF(IFERROR(INDEX(Stats!$D:$D,MATCH($C171,Stats!$A:$A,0)),FALSE),ROUND(D171+(E171-D171)*(1+G171)*((7-1)/(MaxLevel-1))^(2^F171),0),D171+(E171-D171)*(1+G171)*((7-1)/(MaxLevel-1))^(2^F171)))</f>
        <v/>
      </c>
      <c r="O171" s="12" t="str">
        <f>IF(OR(D171="",E171=""),"",IF(IFERROR(INDEX(Stats!$D:$D,MATCH($C171,Stats!$A:$A,0)),FALSE),ROUND(D171+(E171-D171)*(1+G171)*((8-1)/(MaxLevel-1))^(2^F171),0),D171+(E171-D171)*(1+G171)*((8-1)/(MaxLevel-1))^(2^F171)))</f>
        <v/>
      </c>
      <c r="P171" s="12" t="str">
        <f>IF(OR(D171="",E171=""),"",IF(IFERROR(INDEX(Stats!$D:$D,MATCH($C171,Stats!$A:$A,0)),FALSE),ROUND(D171+(E171-D171)*(1+G171)*((9-1)/(MaxLevel-1))^(2^F171),0),D171+(E171-D171)*(1+G171)*((9-1)/(MaxLevel-1))^(2^F171)))</f>
        <v/>
      </c>
      <c r="Q171" s="12" t="str">
        <f>IF(OR(D171="",E171=""),"",IF(IFERROR(INDEX(Stats!$D:$D,MATCH($C171,Stats!$A:$A,0)),FALSE),ROUND(D171+(E171-D171)*(1+G171)*((10-1)/(MaxLevel-1))^(2^F171),0),D171+(E171-D171)*(1+G171)*((10-1)/(MaxLevel-1))^(2^F171)))</f>
        <v/>
      </c>
    </row>
    <row r="172" spans="1:17" x14ac:dyDescent="0.25">
      <c r="A172" s="4" t="s">
        <v>185</v>
      </c>
      <c r="B172" s="19" t="s">
        <v>224</v>
      </c>
      <c r="C172" s="4" t="s">
        <v>60</v>
      </c>
      <c r="D172" s="5"/>
      <c r="E172" s="5"/>
      <c r="F172" s="5"/>
      <c r="G172" s="5"/>
      <c r="H172" s="12" t="str">
        <f>IF(OR(D172="",E172=""),"",IF(IFERROR(INDEX(Stats!$D:$D,MATCH($C172,Stats!$A:$A,0)),FALSE),ROUND(D172+(E172-D172)*(1+G172)*((1-1)/(MaxLevel-1))^(2^F172),0),D172+(E172-D172)*(1+G172)*((1-1)/(MaxLevel-1))^(2^F172)))</f>
        <v/>
      </c>
      <c r="I172" s="12" t="str">
        <f>IF(OR(D172="",E172=""),"",IF(IFERROR(INDEX(Stats!$D:$D,MATCH($C172,Stats!$A:$A,0)),FALSE),ROUND(D172+(E172-D172)*(1+G172)*((2-1)/(MaxLevel-1))^(2^F172),0),D172+(E172-D172)*(1+G172)*((2-1)/(MaxLevel-1))^(2^F172)))</f>
        <v/>
      </c>
      <c r="J172" s="12" t="str">
        <f>IF(OR(D172="",E172=""),"",IF(IFERROR(INDEX(Stats!$D:$D,MATCH($C172,Stats!$A:$A,0)),FALSE),ROUND(D172+(E172-D172)*(1+G172)*((3-1)/(MaxLevel-1))^(2^F172),0),D172+(E172-D172)*(1+G172)*((3-1)/(MaxLevel-1))^(2^F172)))</f>
        <v/>
      </c>
      <c r="K172" s="12" t="str">
        <f>IF(OR(D172="",E172=""),"",IF(IFERROR(INDEX(Stats!$D:$D,MATCH($C172,Stats!$A:$A,0)),FALSE),ROUND(D172+(E172-D172)*(1+G172)*((4-1)/(MaxLevel-1))^(2^F172),0),D172+(E172-D172)*(1+G172)*((4-1)/(MaxLevel-1))^(2^F172)))</f>
        <v/>
      </c>
      <c r="L172" s="12" t="str">
        <f>IF(OR(D172="",E172=""),"",IF(IFERROR(INDEX(Stats!$D:$D,MATCH($C172,Stats!$A:$A,0)),FALSE),ROUND(D172+(E172-D172)*(1+G172)*((5-1)/(MaxLevel-1))^(2^F172),0),D172+(E172-D172)*(1+G172)*((5-1)/(MaxLevel-1))^(2^F172)))</f>
        <v/>
      </c>
      <c r="M172" s="12" t="str">
        <f>IF(OR(D172="",E172=""),"",IF(IFERROR(INDEX(Stats!$D:$D,MATCH($C172,Stats!$A:$A,0)),FALSE),ROUND(D172+(E172-D172)*(1+G172)*((6-1)/(MaxLevel-1))^(2^F172),0),D172+(E172-D172)*(1+G172)*((6-1)/(MaxLevel-1))^(2^F172)))</f>
        <v/>
      </c>
      <c r="N172" s="12" t="str">
        <f>IF(OR(D172="",E172=""),"",IF(IFERROR(INDEX(Stats!$D:$D,MATCH($C172,Stats!$A:$A,0)),FALSE),ROUND(D172+(E172-D172)*(1+G172)*((7-1)/(MaxLevel-1))^(2^F172),0),D172+(E172-D172)*(1+G172)*((7-1)/(MaxLevel-1))^(2^F172)))</f>
        <v/>
      </c>
      <c r="O172" s="12" t="str">
        <f>IF(OR(D172="",E172=""),"",IF(IFERROR(INDEX(Stats!$D:$D,MATCH($C172,Stats!$A:$A,0)),FALSE),ROUND(D172+(E172-D172)*(1+G172)*((8-1)/(MaxLevel-1))^(2^F172),0),D172+(E172-D172)*(1+G172)*((8-1)/(MaxLevel-1))^(2^F172)))</f>
        <v/>
      </c>
      <c r="P172" s="12" t="str">
        <f>IF(OR(D172="",E172=""),"",IF(IFERROR(INDEX(Stats!$D:$D,MATCH($C172,Stats!$A:$A,0)),FALSE),ROUND(D172+(E172-D172)*(1+G172)*((9-1)/(MaxLevel-1))^(2^F172),0),D172+(E172-D172)*(1+G172)*((9-1)/(MaxLevel-1))^(2^F172)))</f>
        <v/>
      </c>
      <c r="Q172" s="12" t="str">
        <f>IF(OR(D172="",E172=""),"",IF(IFERROR(INDEX(Stats!$D:$D,MATCH($C172,Stats!$A:$A,0)),FALSE),ROUND(D172+(E172-D172)*(1+G172)*((10-1)/(MaxLevel-1))^(2^F172),0),D172+(E172-D172)*(1+G172)*((10-1)/(MaxLevel-1))^(2^F172)))</f>
        <v/>
      </c>
    </row>
    <row r="173" spans="1:17" x14ac:dyDescent="0.25">
      <c r="A173" s="4" t="s">
        <v>185</v>
      </c>
      <c r="B173" s="4" t="s">
        <v>195</v>
      </c>
      <c r="C173" s="4" t="s">
        <v>24</v>
      </c>
      <c r="D173" s="5">
        <v>0</v>
      </c>
      <c r="E173" s="5">
        <v>10000</v>
      </c>
      <c r="F173" s="5">
        <v>1</v>
      </c>
      <c r="G173" s="5">
        <v>0</v>
      </c>
      <c r="H173" s="12">
        <f>IF(OR(D173="",E173=""),"",IF(IFERROR(INDEX(Stats!$D:$D,MATCH($C173,Stats!$A:$A,0)),FALSE),ROUND(D173+(E173-D173)*(1+G173)*((1-1)/(MaxLevel-1))^(2^F173),0),D173+(E173-D173)*(1+G173)*((1-1)/(MaxLevel-1))^(2^F173)))</f>
        <v>0</v>
      </c>
      <c r="I173" s="12">
        <f>IF(OR(D173="",E173=""),"",IF(IFERROR(INDEX(Stats!$D:$D,MATCH($C173,Stats!$A:$A,0)),FALSE),ROUND(D173+(E173-D173)*(1+G173)*((2-1)/(MaxLevel-1))^(2^F173),0),D173+(E173-D173)*(1+G173)*((2-1)/(MaxLevel-1))^(2^F173)))</f>
        <v>123</v>
      </c>
      <c r="J173" s="12">
        <f>IF(OR(D173="",E173=""),"",IF(IFERROR(INDEX(Stats!$D:$D,MATCH($C173,Stats!$A:$A,0)),FALSE),ROUND(D173+(E173-D173)*(1+G173)*((3-1)/(MaxLevel-1))^(2^F173),0),D173+(E173-D173)*(1+G173)*((3-1)/(MaxLevel-1))^(2^F173)))</f>
        <v>494</v>
      </c>
      <c r="K173" s="12">
        <f>IF(OR(D173="",E173=""),"",IF(IFERROR(INDEX(Stats!$D:$D,MATCH($C173,Stats!$A:$A,0)),FALSE),ROUND(D173+(E173-D173)*(1+G173)*((4-1)/(MaxLevel-1))^(2^F173),0),D173+(E173-D173)*(1+G173)*((4-1)/(MaxLevel-1))^(2^F173)))</f>
        <v>1111</v>
      </c>
      <c r="L173" s="12">
        <f>IF(OR(D173="",E173=""),"",IF(IFERROR(INDEX(Stats!$D:$D,MATCH($C173,Stats!$A:$A,0)),FALSE),ROUND(D173+(E173-D173)*(1+G173)*((5-1)/(MaxLevel-1))^(2^F173),0),D173+(E173-D173)*(1+G173)*((5-1)/(MaxLevel-1))^(2^F173)))</f>
        <v>1975</v>
      </c>
      <c r="M173" s="12">
        <f>IF(OR(D173="",E173=""),"",IF(IFERROR(INDEX(Stats!$D:$D,MATCH($C173,Stats!$A:$A,0)),FALSE),ROUND(D173+(E173-D173)*(1+G173)*((6-1)/(MaxLevel-1))^(2^F173),0),D173+(E173-D173)*(1+G173)*((6-1)/(MaxLevel-1))^(2^F173)))</f>
        <v>3086</v>
      </c>
      <c r="N173" s="12">
        <f>IF(OR(D173="",E173=""),"",IF(IFERROR(INDEX(Stats!$D:$D,MATCH($C173,Stats!$A:$A,0)),FALSE),ROUND(D173+(E173-D173)*(1+G173)*((7-1)/(MaxLevel-1))^(2^F173),0),D173+(E173-D173)*(1+G173)*((7-1)/(MaxLevel-1))^(2^F173)))</f>
        <v>4444</v>
      </c>
      <c r="O173" s="12">
        <f>IF(OR(D173="",E173=""),"",IF(IFERROR(INDEX(Stats!$D:$D,MATCH($C173,Stats!$A:$A,0)),FALSE),ROUND(D173+(E173-D173)*(1+G173)*((8-1)/(MaxLevel-1))^(2^F173),0),D173+(E173-D173)*(1+G173)*((8-1)/(MaxLevel-1))^(2^F173)))</f>
        <v>6049</v>
      </c>
      <c r="P173" s="12">
        <f>IF(OR(D173="",E173=""),"",IF(IFERROR(INDEX(Stats!$D:$D,MATCH($C173,Stats!$A:$A,0)),FALSE),ROUND(D173+(E173-D173)*(1+G173)*((9-1)/(MaxLevel-1))^(2^F173),0),D173+(E173-D173)*(1+G173)*((9-1)/(MaxLevel-1))^(2^F173)))</f>
        <v>7901</v>
      </c>
      <c r="Q173" s="12">
        <f>IF(OR(D173="",E173=""),"",IF(IFERROR(INDEX(Stats!$D:$D,MATCH($C173,Stats!$A:$A,0)),FALSE),ROUND(D173+(E173-D173)*(1+G173)*((10-1)/(MaxLevel-1))^(2^F173),0),D173+(E173-D173)*(1+G173)*((10-1)/(MaxLevel-1))^(2^F173)))</f>
        <v>10000</v>
      </c>
    </row>
    <row r="174" spans="1:17" x14ac:dyDescent="0.25">
      <c r="A174" s="4" t="s">
        <v>185</v>
      </c>
      <c r="B174" s="4" t="s">
        <v>195</v>
      </c>
      <c r="C174" s="4" t="s">
        <v>26</v>
      </c>
      <c r="D174" s="5">
        <v>25</v>
      </c>
      <c r="E174" s="5">
        <v>150</v>
      </c>
      <c r="F174" s="5">
        <v>0</v>
      </c>
      <c r="G174" s="5">
        <v>0</v>
      </c>
      <c r="H174" s="12">
        <f>IF(OR(D174="",E174=""),"",IF(IFERROR(INDEX(Stats!$D:$D,MATCH($C174,Stats!$A:$A,0)),FALSE),ROUND(D174+(E174-D174)*(1+G174)*((1-1)/(MaxLevel-1))^(2^F174),0),D174+(E174-D174)*(1+G174)*((1-1)/(MaxLevel-1))^(2^F174)))</f>
        <v>25</v>
      </c>
      <c r="I174" s="12">
        <f>IF(OR(D174="",E174=""),"",IF(IFERROR(INDEX(Stats!$D:$D,MATCH($C174,Stats!$A:$A,0)),FALSE),ROUND(D174+(E174-D174)*(1+G174)*((2-1)/(MaxLevel-1))^(2^F174),0),D174+(E174-D174)*(1+G174)*((2-1)/(MaxLevel-1))^(2^F174)))</f>
        <v>39</v>
      </c>
      <c r="J174" s="12">
        <f>IF(OR(D174="",E174=""),"",IF(IFERROR(INDEX(Stats!$D:$D,MATCH($C174,Stats!$A:$A,0)),FALSE),ROUND(D174+(E174-D174)*(1+G174)*((3-1)/(MaxLevel-1))^(2^F174),0),D174+(E174-D174)*(1+G174)*((3-1)/(MaxLevel-1))^(2^F174)))</f>
        <v>53</v>
      </c>
      <c r="K174" s="12">
        <f>IF(OR(D174="",E174=""),"",IF(IFERROR(INDEX(Stats!$D:$D,MATCH($C174,Stats!$A:$A,0)),FALSE),ROUND(D174+(E174-D174)*(1+G174)*((4-1)/(MaxLevel-1))^(2^F174),0),D174+(E174-D174)*(1+G174)*((4-1)/(MaxLevel-1))^(2^F174)))</f>
        <v>67</v>
      </c>
      <c r="L174" s="12">
        <f>IF(OR(D174="",E174=""),"",IF(IFERROR(INDEX(Stats!$D:$D,MATCH($C174,Stats!$A:$A,0)),FALSE),ROUND(D174+(E174-D174)*(1+G174)*((5-1)/(MaxLevel-1))^(2^F174),0),D174+(E174-D174)*(1+G174)*((5-1)/(MaxLevel-1))^(2^F174)))</f>
        <v>81</v>
      </c>
      <c r="M174" s="12">
        <f>IF(OR(D174="",E174=""),"",IF(IFERROR(INDEX(Stats!$D:$D,MATCH($C174,Stats!$A:$A,0)),FALSE),ROUND(D174+(E174-D174)*(1+G174)*((6-1)/(MaxLevel-1))^(2^F174),0),D174+(E174-D174)*(1+G174)*((6-1)/(MaxLevel-1))^(2^F174)))</f>
        <v>94</v>
      </c>
      <c r="N174" s="12">
        <f>IF(OR(D174="",E174=""),"",IF(IFERROR(INDEX(Stats!$D:$D,MATCH($C174,Stats!$A:$A,0)),FALSE),ROUND(D174+(E174-D174)*(1+G174)*((7-1)/(MaxLevel-1))^(2^F174),0),D174+(E174-D174)*(1+G174)*((7-1)/(MaxLevel-1))^(2^F174)))</f>
        <v>108</v>
      </c>
      <c r="O174" s="12">
        <f>IF(OR(D174="",E174=""),"",IF(IFERROR(INDEX(Stats!$D:$D,MATCH($C174,Stats!$A:$A,0)),FALSE),ROUND(D174+(E174-D174)*(1+G174)*((8-1)/(MaxLevel-1))^(2^F174),0),D174+(E174-D174)*(1+G174)*((8-1)/(MaxLevel-1))^(2^F174)))</f>
        <v>122</v>
      </c>
      <c r="P174" s="12">
        <f>IF(OR(D174="",E174=""),"",IF(IFERROR(INDEX(Stats!$D:$D,MATCH($C174,Stats!$A:$A,0)),FALSE),ROUND(D174+(E174-D174)*(1+G174)*((9-1)/(MaxLevel-1))^(2^F174),0),D174+(E174-D174)*(1+G174)*((9-1)/(MaxLevel-1))^(2^F174)))</f>
        <v>136</v>
      </c>
      <c r="Q174" s="12">
        <f>IF(OR(D174="",E174=""),"",IF(IFERROR(INDEX(Stats!$D:$D,MATCH($C174,Stats!$A:$A,0)),FALSE),ROUND(D174+(E174-D174)*(1+G174)*((10-1)/(MaxLevel-1))^(2^F174),0),D174+(E174-D174)*(1+G174)*((10-1)/(MaxLevel-1))^(2^F174)))</f>
        <v>150</v>
      </c>
    </row>
    <row r="175" spans="1:17" x14ac:dyDescent="0.25">
      <c r="A175" s="4" t="s">
        <v>185</v>
      </c>
      <c r="B175" s="4" t="s">
        <v>195</v>
      </c>
      <c r="C175" s="4" t="s">
        <v>28</v>
      </c>
      <c r="D175" s="5">
        <v>300</v>
      </c>
      <c r="E175" s="5">
        <v>1200</v>
      </c>
      <c r="F175" s="5">
        <v>0</v>
      </c>
      <c r="G175" s="5">
        <v>-0.1</v>
      </c>
      <c r="H175" s="12">
        <f>IF(OR(D175="",E175=""),"",IF(IFERROR(INDEX(Stats!$D:$D,MATCH($C175,Stats!$A:$A,0)),FALSE),ROUND(D175+(E175-D175)*(1+G175)*((1-1)/(MaxLevel-1))^(2^F175),0),D175+(E175-D175)*(1+G175)*((1-1)/(MaxLevel-1))^(2^F175)))</f>
        <v>300</v>
      </c>
      <c r="I175" s="12">
        <f>IF(OR(D175="",E175=""),"",IF(IFERROR(INDEX(Stats!$D:$D,MATCH($C175,Stats!$A:$A,0)),FALSE),ROUND(D175+(E175-D175)*(1+G175)*((2-1)/(MaxLevel-1))^(2^F175),0),D175+(E175-D175)*(1+G175)*((2-1)/(MaxLevel-1))^(2^F175)))</f>
        <v>390</v>
      </c>
      <c r="J175" s="12">
        <f>IF(OR(D175="",E175=""),"",IF(IFERROR(INDEX(Stats!$D:$D,MATCH($C175,Stats!$A:$A,0)),FALSE),ROUND(D175+(E175-D175)*(1+G175)*((3-1)/(MaxLevel-1))^(2^F175),0),D175+(E175-D175)*(1+G175)*((3-1)/(MaxLevel-1))^(2^F175)))</f>
        <v>480</v>
      </c>
      <c r="K175" s="12">
        <f>IF(OR(D175="",E175=""),"",IF(IFERROR(INDEX(Stats!$D:$D,MATCH($C175,Stats!$A:$A,0)),FALSE),ROUND(D175+(E175-D175)*(1+G175)*((4-1)/(MaxLevel-1))^(2^F175),0),D175+(E175-D175)*(1+G175)*((4-1)/(MaxLevel-1))^(2^F175)))</f>
        <v>570</v>
      </c>
      <c r="L175" s="12">
        <f>IF(OR(D175="",E175=""),"",IF(IFERROR(INDEX(Stats!$D:$D,MATCH($C175,Stats!$A:$A,0)),FALSE),ROUND(D175+(E175-D175)*(1+G175)*((5-1)/(MaxLevel-1))^(2^F175),0),D175+(E175-D175)*(1+G175)*((5-1)/(MaxLevel-1))^(2^F175)))</f>
        <v>660</v>
      </c>
      <c r="M175" s="12">
        <f>IF(OR(D175="",E175=""),"",IF(IFERROR(INDEX(Stats!$D:$D,MATCH($C175,Stats!$A:$A,0)),FALSE),ROUND(D175+(E175-D175)*(1+G175)*((6-1)/(MaxLevel-1))^(2^F175),0),D175+(E175-D175)*(1+G175)*((6-1)/(MaxLevel-1))^(2^F175)))</f>
        <v>750</v>
      </c>
      <c r="N175" s="12">
        <f>IF(OR(D175="",E175=""),"",IF(IFERROR(INDEX(Stats!$D:$D,MATCH($C175,Stats!$A:$A,0)),FALSE),ROUND(D175+(E175-D175)*(1+G175)*((7-1)/(MaxLevel-1))^(2^F175),0),D175+(E175-D175)*(1+G175)*((7-1)/(MaxLevel-1))^(2^F175)))</f>
        <v>840</v>
      </c>
      <c r="O175" s="12">
        <f>IF(OR(D175="",E175=""),"",IF(IFERROR(INDEX(Stats!$D:$D,MATCH($C175,Stats!$A:$A,0)),FALSE),ROUND(D175+(E175-D175)*(1+G175)*((8-1)/(MaxLevel-1))^(2^F175),0),D175+(E175-D175)*(1+G175)*((8-1)/(MaxLevel-1))^(2^F175)))</f>
        <v>930</v>
      </c>
      <c r="P175" s="12">
        <f>IF(OR(D175="",E175=""),"",IF(IFERROR(INDEX(Stats!$D:$D,MATCH($C175,Stats!$A:$A,0)),FALSE),ROUND(D175+(E175-D175)*(1+G175)*((9-1)/(MaxLevel-1))^(2^F175),0),D175+(E175-D175)*(1+G175)*((9-1)/(MaxLevel-1))^(2^F175)))</f>
        <v>1020</v>
      </c>
      <c r="Q175" s="12">
        <f>IF(OR(D175="",E175=""),"",IF(IFERROR(INDEX(Stats!$D:$D,MATCH($C175,Stats!$A:$A,0)),FALSE),ROUND(D175+(E175-D175)*(1+G175)*((10-1)/(MaxLevel-1))^(2^F175),0),D175+(E175-D175)*(1+G175)*((10-1)/(MaxLevel-1))^(2^F175)))</f>
        <v>1110</v>
      </c>
    </row>
    <row r="176" spans="1:17" x14ac:dyDescent="0.25">
      <c r="A176" s="4" t="s">
        <v>185</v>
      </c>
      <c r="B176" s="4" t="s">
        <v>195</v>
      </c>
      <c r="C176" s="4" t="s">
        <v>30</v>
      </c>
      <c r="D176" s="5">
        <v>25</v>
      </c>
      <c r="E176" s="5">
        <v>110</v>
      </c>
      <c r="F176" s="5">
        <v>0.5</v>
      </c>
      <c r="G176" s="5">
        <v>0</v>
      </c>
      <c r="H176" s="12">
        <f>IF(OR(D176="",E176=""),"",IF(IFERROR(INDEX(Stats!$D:$D,MATCH($C176,Stats!$A:$A,0)),FALSE),ROUND(D176+(E176-D176)*(1+G176)*((1-1)/(MaxLevel-1))^(2^F176),0),D176+(E176-D176)*(1+G176)*((1-1)/(MaxLevel-1))^(2^F176)))</f>
        <v>25</v>
      </c>
      <c r="I176" s="12">
        <f>IF(OR(D176="",E176=""),"",IF(IFERROR(INDEX(Stats!$D:$D,MATCH($C176,Stats!$A:$A,0)),FALSE),ROUND(D176+(E176-D176)*(1+G176)*((2-1)/(MaxLevel-1))^(2^F176),0),D176+(E176-D176)*(1+G176)*((2-1)/(MaxLevel-1))^(2^F176)))</f>
        <v>29</v>
      </c>
      <c r="J176" s="12">
        <f>IF(OR(D176="",E176=""),"",IF(IFERROR(INDEX(Stats!$D:$D,MATCH($C176,Stats!$A:$A,0)),FALSE),ROUND(D176+(E176-D176)*(1+G176)*((3-1)/(MaxLevel-1))^(2^F176),0),D176+(E176-D176)*(1+G176)*((3-1)/(MaxLevel-1))^(2^F176)))</f>
        <v>35</v>
      </c>
      <c r="K176" s="12">
        <f>IF(OR(D176="",E176=""),"",IF(IFERROR(INDEX(Stats!$D:$D,MATCH($C176,Stats!$A:$A,0)),FALSE),ROUND(D176+(E176-D176)*(1+G176)*((4-1)/(MaxLevel-1))^(2^F176),0),D176+(E176-D176)*(1+G176)*((4-1)/(MaxLevel-1))^(2^F176)))</f>
        <v>43</v>
      </c>
      <c r="L176" s="12">
        <f>IF(OR(D176="",E176=""),"",IF(IFERROR(INDEX(Stats!$D:$D,MATCH($C176,Stats!$A:$A,0)),FALSE),ROUND(D176+(E176-D176)*(1+G176)*((5-1)/(MaxLevel-1))^(2^F176),0),D176+(E176-D176)*(1+G176)*((5-1)/(MaxLevel-1))^(2^F176)))</f>
        <v>52</v>
      </c>
      <c r="M176" s="12">
        <f>IF(OR(D176="",E176=""),"",IF(IFERROR(INDEX(Stats!$D:$D,MATCH($C176,Stats!$A:$A,0)),FALSE),ROUND(D176+(E176-D176)*(1+G176)*((6-1)/(MaxLevel-1))^(2^F176),0),D176+(E176-D176)*(1+G176)*((6-1)/(MaxLevel-1))^(2^F176)))</f>
        <v>62</v>
      </c>
      <c r="N176" s="12">
        <f>IF(OR(D176="",E176=""),"",IF(IFERROR(INDEX(Stats!$D:$D,MATCH($C176,Stats!$A:$A,0)),FALSE),ROUND(D176+(E176-D176)*(1+G176)*((7-1)/(MaxLevel-1))^(2^F176),0),D176+(E176-D176)*(1+G176)*((7-1)/(MaxLevel-1))^(2^F176)))</f>
        <v>73</v>
      </c>
      <c r="O176" s="12">
        <f>IF(OR(D176="",E176=""),"",IF(IFERROR(INDEX(Stats!$D:$D,MATCH($C176,Stats!$A:$A,0)),FALSE),ROUND(D176+(E176-D176)*(1+G176)*((8-1)/(MaxLevel-1))^(2^F176),0),D176+(E176-D176)*(1+G176)*((8-1)/(MaxLevel-1))^(2^F176)))</f>
        <v>85</v>
      </c>
      <c r="P176" s="12">
        <f>IF(OR(D176="",E176=""),"",IF(IFERROR(INDEX(Stats!$D:$D,MATCH($C176,Stats!$A:$A,0)),FALSE),ROUND(D176+(E176-D176)*(1+G176)*((9-1)/(MaxLevel-1))^(2^F176),0),D176+(E176-D176)*(1+G176)*((9-1)/(MaxLevel-1))^(2^F176)))</f>
        <v>97</v>
      </c>
      <c r="Q176" s="12">
        <f>IF(OR(D176="",E176=""),"",IF(IFERROR(INDEX(Stats!$D:$D,MATCH($C176,Stats!$A:$A,0)),FALSE),ROUND(D176+(E176-D176)*(1+G176)*((10-1)/(MaxLevel-1))^(2^F176),0),D176+(E176-D176)*(1+G176)*((10-1)/(MaxLevel-1))^(2^F176)))</f>
        <v>110</v>
      </c>
    </row>
    <row r="177" spans="1:17" x14ac:dyDescent="0.25">
      <c r="A177" s="4" t="s">
        <v>185</v>
      </c>
      <c r="B177" s="4" t="s">
        <v>195</v>
      </c>
      <c r="C177" s="4" t="s">
        <v>32</v>
      </c>
      <c r="D177" s="5"/>
      <c r="E177" s="5"/>
      <c r="F177" s="5"/>
      <c r="G177" s="5"/>
      <c r="H177" s="12" t="str">
        <f>IF(OR(D177="",E177=""),"",IF(IFERROR(INDEX(Stats!$D:$D,MATCH($C177,Stats!$A:$A,0)),FALSE),ROUND(D177+(E177-D177)*(1+G177)*((1-1)/(MaxLevel-1))^(2^F177),0),D177+(E177-D177)*(1+G177)*((1-1)/(MaxLevel-1))^(2^F177)))</f>
        <v/>
      </c>
      <c r="I177" s="12" t="str">
        <f>IF(OR(D177="",E177=""),"",IF(IFERROR(INDEX(Stats!$D:$D,MATCH($C177,Stats!$A:$A,0)),FALSE),ROUND(D177+(E177-D177)*(1+G177)*((2-1)/(MaxLevel-1))^(2^F177),0),D177+(E177-D177)*(1+G177)*((2-1)/(MaxLevel-1))^(2^F177)))</f>
        <v/>
      </c>
      <c r="J177" s="12" t="str">
        <f>IF(OR(D177="",E177=""),"",IF(IFERROR(INDEX(Stats!$D:$D,MATCH($C177,Stats!$A:$A,0)),FALSE),ROUND(D177+(E177-D177)*(1+G177)*((3-1)/(MaxLevel-1))^(2^F177),0),D177+(E177-D177)*(1+G177)*((3-1)/(MaxLevel-1))^(2^F177)))</f>
        <v/>
      </c>
      <c r="K177" s="12" t="str">
        <f>IF(OR(D177="",E177=""),"",IF(IFERROR(INDEX(Stats!$D:$D,MATCH($C177,Stats!$A:$A,0)),FALSE),ROUND(D177+(E177-D177)*(1+G177)*((4-1)/(MaxLevel-1))^(2^F177),0),D177+(E177-D177)*(1+G177)*((4-1)/(MaxLevel-1))^(2^F177)))</f>
        <v/>
      </c>
      <c r="L177" s="12" t="str">
        <f>IF(OR(D177="",E177=""),"",IF(IFERROR(INDEX(Stats!$D:$D,MATCH($C177,Stats!$A:$A,0)),FALSE),ROUND(D177+(E177-D177)*(1+G177)*((5-1)/(MaxLevel-1))^(2^F177),0),D177+(E177-D177)*(1+G177)*((5-1)/(MaxLevel-1))^(2^F177)))</f>
        <v/>
      </c>
      <c r="M177" s="12" t="str">
        <f>IF(OR(D177="",E177=""),"",IF(IFERROR(INDEX(Stats!$D:$D,MATCH($C177,Stats!$A:$A,0)),FALSE),ROUND(D177+(E177-D177)*(1+G177)*((6-1)/(MaxLevel-1))^(2^F177),0),D177+(E177-D177)*(1+G177)*((6-1)/(MaxLevel-1))^(2^F177)))</f>
        <v/>
      </c>
      <c r="N177" s="12" t="str">
        <f>IF(OR(D177="",E177=""),"",IF(IFERROR(INDEX(Stats!$D:$D,MATCH($C177,Stats!$A:$A,0)),FALSE),ROUND(D177+(E177-D177)*(1+G177)*((7-1)/(MaxLevel-1))^(2^F177),0),D177+(E177-D177)*(1+G177)*((7-1)/(MaxLevel-1))^(2^F177)))</f>
        <v/>
      </c>
      <c r="O177" s="12" t="str">
        <f>IF(OR(D177="",E177=""),"",IF(IFERROR(INDEX(Stats!$D:$D,MATCH($C177,Stats!$A:$A,0)),FALSE),ROUND(D177+(E177-D177)*(1+G177)*((8-1)/(MaxLevel-1))^(2^F177),0),D177+(E177-D177)*(1+G177)*((8-1)/(MaxLevel-1))^(2^F177)))</f>
        <v/>
      </c>
      <c r="P177" s="12" t="str">
        <f>IF(OR(D177="",E177=""),"",IF(IFERROR(INDEX(Stats!$D:$D,MATCH($C177,Stats!$A:$A,0)),FALSE),ROUND(D177+(E177-D177)*(1+G177)*((9-1)/(MaxLevel-1))^(2^F177),0),D177+(E177-D177)*(1+G177)*((9-1)/(MaxLevel-1))^(2^F177)))</f>
        <v/>
      </c>
      <c r="Q177" s="12" t="str">
        <f>IF(OR(D177="",E177=""),"",IF(IFERROR(INDEX(Stats!$D:$D,MATCH($C177,Stats!$A:$A,0)),FALSE),ROUND(D177+(E177-D177)*(1+G177)*((10-1)/(MaxLevel-1))^(2^F177),0),D177+(E177-D177)*(1+G177)*((10-1)/(MaxLevel-1))^(2^F177)))</f>
        <v/>
      </c>
    </row>
    <row r="178" spans="1:17" x14ac:dyDescent="0.25">
      <c r="A178" s="4" t="s">
        <v>185</v>
      </c>
      <c r="B178" s="4" t="s">
        <v>195</v>
      </c>
      <c r="C178" s="4" t="s">
        <v>34</v>
      </c>
      <c r="D178" s="5"/>
      <c r="E178" s="5"/>
      <c r="F178" s="5"/>
      <c r="G178" s="5"/>
      <c r="H178" s="12" t="str">
        <f>IF(OR(D178="",E178=""),"",IF(IFERROR(INDEX(Stats!$D:$D,MATCH($C178,Stats!$A:$A,0)),FALSE),ROUND(D178+(E178-D178)*(1+G178)*((1-1)/(MaxLevel-1))^(2^F178),0),D178+(E178-D178)*(1+G178)*((1-1)/(MaxLevel-1))^(2^F178)))</f>
        <v/>
      </c>
      <c r="I178" s="12" t="str">
        <f>IF(OR(D178="",E178=""),"",IF(IFERROR(INDEX(Stats!$D:$D,MATCH($C178,Stats!$A:$A,0)),FALSE),ROUND(D178+(E178-D178)*(1+G178)*((2-1)/(MaxLevel-1))^(2^F178),0),D178+(E178-D178)*(1+G178)*((2-1)/(MaxLevel-1))^(2^F178)))</f>
        <v/>
      </c>
      <c r="J178" s="12" t="str">
        <f>IF(OR(D178="",E178=""),"",IF(IFERROR(INDEX(Stats!$D:$D,MATCH($C178,Stats!$A:$A,0)),FALSE),ROUND(D178+(E178-D178)*(1+G178)*((3-1)/(MaxLevel-1))^(2^F178),0),D178+(E178-D178)*(1+G178)*((3-1)/(MaxLevel-1))^(2^F178)))</f>
        <v/>
      </c>
      <c r="K178" s="12" t="str">
        <f>IF(OR(D178="",E178=""),"",IF(IFERROR(INDEX(Stats!$D:$D,MATCH($C178,Stats!$A:$A,0)),FALSE),ROUND(D178+(E178-D178)*(1+G178)*((4-1)/(MaxLevel-1))^(2^F178),0),D178+(E178-D178)*(1+G178)*((4-1)/(MaxLevel-1))^(2^F178)))</f>
        <v/>
      </c>
      <c r="L178" s="12" t="str">
        <f>IF(OR(D178="",E178=""),"",IF(IFERROR(INDEX(Stats!$D:$D,MATCH($C178,Stats!$A:$A,0)),FALSE),ROUND(D178+(E178-D178)*(1+G178)*((5-1)/(MaxLevel-1))^(2^F178),0),D178+(E178-D178)*(1+G178)*((5-1)/(MaxLevel-1))^(2^F178)))</f>
        <v/>
      </c>
      <c r="M178" s="12" t="str">
        <f>IF(OR(D178="",E178=""),"",IF(IFERROR(INDEX(Stats!$D:$D,MATCH($C178,Stats!$A:$A,0)),FALSE),ROUND(D178+(E178-D178)*(1+G178)*((6-1)/(MaxLevel-1))^(2^F178),0),D178+(E178-D178)*(1+G178)*((6-1)/(MaxLevel-1))^(2^F178)))</f>
        <v/>
      </c>
      <c r="N178" s="12" t="str">
        <f>IF(OR(D178="",E178=""),"",IF(IFERROR(INDEX(Stats!$D:$D,MATCH($C178,Stats!$A:$A,0)),FALSE),ROUND(D178+(E178-D178)*(1+G178)*((7-1)/(MaxLevel-1))^(2^F178),0),D178+(E178-D178)*(1+G178)*((7-1)/(MaxLevel-1))^(2^F178)))</f>
        <v/>
      </c>
      <c r="O178" s="12" t="str">
        <f>IF(OR(D178="",E178=""),"",IF(IFERROR(INDEX(Stats!$D:$D,MATCH($C178,Stats!$A:$A,0)),FALSE),ROUND(D178+(E178-D178)*(1+G178)*((8-1)/(MaxLevel-1))^(2^F178),0),D178+(E178-D178)*(1+G178)*((8-1)/(MaxLevel-1))^(2^F178)))</f>
        <v/>
      </c>
      <c r="P178" s="12" t="str">
        <f>IF(OR(D178="",E178=""),"",IF(IFERROR(INDEX(Stats!$D:$D,MATCH($C178,Stats!$A:$A,0)),FALSE),ROUND(D178+(E178-D178)*(1+G178)*((9-1)/(MaxLevel-1))^(2^F178),0),D178+(E178-D178)*(1+G178)*((9-1)/(MaxLevel-1))^(2^F178)))</f>
        <v/>
      </c>
      <c r="Q178" s="12" t="str">
        <f>IF(OR(D178="",E178=""),"",IF(IFERROR(INDEX(Stats!$D:$D,MATCH($C178,Stats!$A:$A,0)),FALSE),ROUND(D178+(E178-D178)*(1+G178)*((10-1)/(MaxLevel-1))^(2^F178),0),D178+(E178-D178)*(1+G178)*((10-1)/(MaxLevel-1))^(2^F178)))</f>
        <v/>
      </c>
    </row>
    <row r="179" spans="1:17" x14ac:dyDescent="0.25">
      <c r="A179" s="4" t="s">
        <v>185</v>
      </c>
      <c r="B179" s="4" t="s">
        <v>195</v>
      </c>
      <c r="C179" s="4" t="s">
        <v>36</v>
      </c>
      <c r="D179" s="5"/>
      <c r="E179" s="5"/>
      <c r="F179" s="5"/>
      <c r="G179" s="5"/>
      <c r="H179" s="12" t="str">
        <f>IF(OR(D179="",E179=""),"",IF(IFERROR(INDEX(Stats!$D:$D,MATCH($C179,Stats!$A:$A,0)),FALSE),ROUND(D179+(E179-D179)*(1+G179)*((1-1)/(MaxLevel-1))^(2^F179),0),D179+(E179-D179)*(1+G179)*((1-1)/(MaxLevel-1))^(2^F179)))</f>
        <v/>
      </c>
      <c r="I179" s="12" t="str">
        <f>IF(OR(D179="",E179=""),"",IF(IFERROR(INDEX(Stats!$D:$D,MATCH($C179,Stats!$A:$A,0)),FALSE),ROUND(D179+(E179-D179)*(1+G179)*((2-1)/(MaxLevel-1))^(2^F179),0),D179+(E179-D179)*(1+G179)*((2-1)/(MaxLevel-1))^(2^F179)))</f>
        <v/>
      </c>
      <c r="J179" s="12" t="str">
        <f>IF(OR(D179="",E179=""),"",IF(IFERROR(INDEX(Stats!$D:$D,MATCH($C179,Stats!$A:$A,0)),FALSE),ROUND(D179+(E179-D179)*(1+G179)*((3-1)/(MaxLevel-1))^(2^F179),0),D179+(E179-D179)*(1+G179)*((3-1)/(MaxLevel-1))^(2^F179)))</f>
        <v/>
      </c>
      <c r="K179" s="12" t="str">
        <f>IF(OR(D179="",E179=""),"",IF(IFERROR(INDEX(Stats!$D:$D,MATCH($C179,Stats!$A:$A,0)),FALSE),ROUND(D179+(E179-D179)*(1+G179)*((4-1)/(MaxLevel-1))^(2^F179),0),D179+(E179-D179)*(1+G179)*((4-1)/(MaxLevel-1))^(2^F179)))</f>
        <v/>
      </c>
      <c r="L179" s="12" t="str">
        <f>IF(OR(D179="",E179=""),"",IF(IFERROR(INDEX(Stats!$D:$D,MATCH($C179,Stats!$A:$A,0)),FALSE),ROUND(D179+(E179-D179)*(1+G179)*((5-1)/(MaxLevel-1))^(2^F179),0),D179+(E179-D179)*(1+G179)*((5-1)/(MaxLevel-1))^(2^F179)))</f>
        <v/>
      </c>
      <c r="M179" s="12" t="str">
        <f>IF(OR(D179="",E179=""),"",IF(IFERROR(INDEX(Stats!$D:$D,MATCH($C179,Stats!$A:$A,0)),FALSE),ROUND(D179+(E179-D179)*(1+G179)*((6-1)/(MaxLevel-1))^(2^F179),0),D179+(E179-D179)*(1+G179)*((6-1)/(MaxLevel-1))^(2^F179)))</f>
        <v/>
      </c>
      <c r="N179" s="12" t="str">
        <f>IF(OR(D179="",E179=""),"",IF(IFERROR(INDEX(Stats!$D:$D,MATCH($C179,Stats!$A:$A,0)),FALSE),ROUND(D179+(E179-D179)*(1+G179)*((7-1)/(MaxLevel-1))^(2^F179),0),D179+(E179-D179)*(1+G179)*((7-1)/(MaxLevel-1))^(2^F179)))</f>
        <v/>
      </c>
      <c r="O179" s="12" t="str">
        <f>IF(OR(D179="",E179=""),"",IF(IFERROR(INDEX(Stats!$D:$D,MATCH($C179,Stats!$A:$A,0)),FALSE),ROUND(D179+(E179-D179)*(1+G179)*((8-1)/(MaxLevel-1))^(2^F179),0),D179+(E179-D179)*(1+G179)*((8-1)/(MaxLevel-1))^(2^F179)))</f>
        <v/>
      </c>
      <c r="P179" s="12" t="str">
        <f>IF(OR(D179="",E179=""),"",IF(IFERROR(INDEX(Stats!$D:$D,MATCH($C179,Stats!$A:$A,0)),FALSE),ROUND(D179+(E179-D179)*(1+G179)*((9-1)/(MaxLevel-1))^(2^F179),0),D179+(E179-D179)*(1+G179)*((9-1)/(MaxLevel-1))^(2^F179)))</f>
        <v/>
      </c>
      <c r="Q179" s="12" t="str">
        <f>IF(OR(D179="",E179=""),"",IF(IFERROR(INDEX(Stats!$D:$D,MATCH($C179,Stats!$A:$A,0)),FALSE),ROUND(D179+(E179-D179)*(1+G179)*((10-1)/(MaxLevel-1))^(2^F179),0),D179+(E179-D179)*(1+G179)*((10-1)/(MaxLevel-1))^(2^F179)))</f>
        <v/>
      </c>
    </row>
    <row r="180" spans="1:17" x14ac:dyDescent="0.25">
      <c r="A180" s="4" t="s">
        <v>185</v>
      </c>
      <c r="B180" s="4" t="s">
        <v>195</v>
      </c>
      <c r="C180" s="4" t="s">
        <v>38</v>
      </c>
      <c r="D180" s="5"/>
      <c r="E180" s="5"/>
      <c r="F180" s="5"/>
      <c r="G180" s="5"/>
      <c r="H180" s="12" t="str">
        <f>IF(OR(D180="",E180=""),"",IF(IFERROR(INDEX(Stats!$D:$D,MATCH($C180,Stats!$A:$A,0)),FALSE),ROUND(D180+(E180-D180)*(1+G180)*((1-1)/(MaxLevel-1))^(2^F180),0),D180+(E180-D180)*(1+G180)*((1-1)/(MaxLevel-1))^(2^F180)))</f>
        <v/>
      </c>
      <c r="I180" s="12" t="str">
        <f>IF(OR(D180="",E180=""),"",IF(IFERROR(INDEX(Stats!$D:$D,MATCH($C180,Stats!$A:$A,0)),FALSE),ROUND(D180+(E180-D180)*(1+G180)*((2-1)/(MaxLevel-1))^(2^F180),0),D180+(E180-D180)*(1+G180)*((2-1)/(MaxLevel-1))^(2^F180)))</f>
        <v/>
      </c>
      <c r="J180" s="12" t="str">
        <f>IF(OR(D180="",E180=""),"",IF(IFERROR(INDEX(Stats!$D:$D,MATCH($C180,Stats!$A:$A,0)),FALSE),ROUND(D180+(E180-D180)*(1+G180)*((3-1)/(MaxLevel-1))^(2^F180),0),D180+(E180-D180)*(1+G180)*((3-1)/(MaxLevel-1))^(2^F180)))</f>
        <v/>
      </c>
      <c r="K180" s="12" t="str">
        <f>IF(OR(D180="",E180=""),"",IF(IFERROR(INDEX(Stats!$D:$D,MATCH($C180,Stats!$A:$A,0)),FALSE),ROUND(D180+(E180-D180)*(1+G180)*((4-1)/(MaxLevel-1))^(2^F180),0),D180+(E180-D180)*(1+G180)*((4-1)/(MaxLevel-1))^(2^F180)))</f>
        <v/>
      </c>
      <c r="L180" s="12" t="str">
        <f>IF(OR(D180="",E180=""),"",IF(IFERROR(INDEX(Stats!$D:$D,MATCH($C180,Stats!$A:$A,0)),FALSE),ROUND(D180+(E180-D180)*(1+G180)*((5-1)/(MaxLevel-1))^(2^F180),0),D180+(E180-D180)*(1+G180)*((5-1)/(MaxLevel-1))^(2^F180)))</f>
        <v/>
      </c>
      <c r="M180" s="12" t="str">
        <f>IF(OR(D180="",E180=""),"",IF(IFERROR(INDEX(Stats!$D:$D,MATCH($C180,Stats!$A:$A,0)),FALSE),ROUND(D180+(E180-D180)*(1+G180)*((6-1)/(MaxLevel-1))^(2^F180),0),D180+(E180-D180)*(1+G180)*((6-1)/(MaxLevel-1))^(2^F180)))</f>
        <v/>
      </c>
      <c r="N180" s="12" t="str">
        <f>IF(OR(D180="",E180=""),"",IF(IFERROR(INDEX(Stats!$D:$D,MATCH($C180,Stats!$A:$A,0)),FALSE),ROUND(D180+(E180-D180)*(1+G180)*((7-1)/(MaxLevel-1))^(2^F180),0),D180+(E180-D180)*(1+G180)*((7-1)/(MaxLevel-1))^(2^F180)))</f>
        <v/>
      </c>
      <c r="O180" s="12" t="str">
        <f>IF(OR(D180="",E180=""),"",IF(IFERROR(INDEX(Stats!$D:$D,MATCH($C180,Stats!$A:$A,0)),FALSE),ROUND(D180+(E180-D180)*(1+G180)*((8-1)/(MaxLevel-1))^(2^F180),0),D180+(E180-D180)*(1+G180)*((8-1)/(MaxLevel-1))^(2^F180)))</f>
        <v/>
      </c>
      <c r="P180" s="12" t="str">
        <f>IF(OR(D180="",E180=""),"",IF(IFERROR(INDEX(Stats!$D:$D,MATCH($C180,Stats!$A:$A,0)),FALSE),ROUND(D180+(E180-D180)*(1+G180)*((9-1)/(MaxLevel-1))^(2^F180),0),D180+(E180-D180)*(1+G180)*((9-1)/(MaxLevel-1))^(2^F180)))</f>
        <v/>
      </c>
      <c r="Q180" s="12" t="str">
        <f>IF(OR(D180="",E180=""),"",IF(IFERROR(INDEX(Stats!$D:$D,MATCH($C180,Stats!$A:$A,0)),FALSE),ROUND(D180+(E180-D180)*(1+G180)*((10-1)/(MaxLevel-1))^(2^F180),0),D180+(E180-D180)*(1+G180)*((10-1)/(MaxLevel-1))^(2^F180)))</f>
        <v/>
      </c>
    </row>
    <row r="181" spans="1:17" x14ac:dyDescent="0.25">
      <c r="A181" s="4" t="s">
        <v>185</v>
      </c>
      <c r="B181" s="4" t="s">
        <v>195</v>
      </c>
      <c r="C181" s="4" t="s">
        <v>40</v>
      </c>
      <c r="D181" s="5"/>
      <c r="E181" s="5"/>
      <c r="F181" s="5"/>
      <c r="G181" s="5"/>
      <c r="H181" s="12" t="str">
        <f>IF(OR(D181="",E181=""),"",IF(IFERROR(INDEX(Stats!$D:$D,MATCH($C181,Stats!$A:$A,0)),FALSE),ROUND(D181+(E181-D181)*(1+G181)*((1-1)/(MaxLevel-1))^(2^F181),0),D181+(E181-D181)*(1+G181)*((1-1)/(MaxLevel-1))^(2^F181)))</f>
        <v/>
      </c>
      <c r="I181" s="12" t="str">
        <f>IF(OR(D181="",E181=""),"",IF(IFERROR(INDEX(Stats!$D:$D,MATCH($C181,Stats!$A:$A,0)),FALSE),ROUND(D181+(E181-D181)*(1+G181)*((2-1)/(MaxLevel-1))^(2^F181),0),D181+(E181-D181)*(1+G181)*((2-1)/(MaxLevel-1))^(2^F181)))</f>
        <v/>
      </c>
      <c r="J181" s="12" t="str">
        <f>IF(OR(D181="",E181=""),"",IF(IFERROR(INDEX(Stats!$D:$D,MATCH($C181,Stats!$A:$A,0)),FALSE),ROUND(D181+(E181-D181)*(1+G181)*((3-1)/(MaxLevel-1))^(2^F181),0),D181+(E181-D181)*(1+G181)*((3-1)/(MaxLevel-1))^(2^F181)))</f>
        <v/>
      </c>
      <c r="K181" s="12" t="str">
        <f>IF(OR(D181="",E181=""),"",IF(IFERROR(INDEX(Stats!$D:$D,MATCH($C181,Stats!$A:$A,0)),FALSE),ROUND(D181+(E181-D181)*(1+G181)*((4-1)/(MaxLevel-1))^(2^F181),0),D181+(E181-D181)*(1+G181)*((4-1)/(MaxLevel-1))^(2^F181)))</f>
        <v/>
      </c>
      <c r="L181" s="12" t="str">
        <f>IF(OR(D181="",E181=""),"",IF(IFERROR(INDEX(Stats!$D:$D,MATCH($C181,Stats!$A:$A,0)),FALSE),ROUND(D181+(E181-D181)*(1+G181)*((5-1)/(MaxLevel-1))^(2^F181),0),D181+(E181-D181)*(1+G181)*((5-1)/(MaxLevel-1))^(2^F181)))</f>
        <v/>
      </c>
      <c r="M181" s="12" t="str">
        <f>IF(OR(D181="",E181=""),"",IF(IFERROR(INDEX(Stats!$D:$D,MATCH($C181,Stats!$A:$A,0)),FALSE),ROUND(D181+(E181-D181)*(1+G181)*((6-1)/(MaxLevel-1))^(2^F181),0),D181+(E181-D181)*(1+G181)*((6-1)/(MaxLevel-1))^(2^F181)))</f>
        <v/>
      </c>
      <c r="N181" s="12" t="str">
        <f>IF(OR(D181="",E181=""),"",IF(IFERROR(INDEX(Stats!$D:$D,MATCH($C181,Stats!$A:$A,0)),FALSE),ROUND(D181+(E181-D181)*(1+G181)*((7-1)/(MaxLevel-1))^(2^F181),0),D181+(E181-D181)*(1+G181)*((7-1)/(MaxLevel-1))^(2^F181)))</f>
        <v/>
      </c>
      <c r="O181" s="12" t="str">
        <f>IF(OR(D181="",E181=""),"",IF(IFERROR(INDEX(Stats!$D:$D,MATCH($C181,Stats!$A:$A,0)),FALSE),ROUND(D181+(E181-D181)*(1+G181)*((8-1)/(MaxLevel-1))^(2^F181),0),D181+(E181-D181)*(1+G181)*((8-1)/(MaxLevel-1))^(2^F181)))</f>
        <v/>
      </c>
      <c r="P181" s="12" t="str">
        <f>IF(OR(D181="",E181=""),"",IF(IFERROR(INDEX(Stats!$D:$D,MATCH($C181,Stats!$A:$A,0)),FALSE),ROUND(D181+(E181-D181)*(1+G181)*((9-1)/(MaxLevel-1))^(2^F181),0),D181+(E181-D181)*(1+G181)*((9-1)/(MaxLevel-1))^(2^F181)))</f>
        <v/>
      </c>
      <c r="Q181" s="12" t="str">
        <f>IF(OR(D181="",E181=""),"",IF(IFERROR(INDEX(Stats!$D:$D,MATCH($C181,Stats!$A:$A,0)),FALSE),ROUND(D181+(E181-D181)*(1+G181)*((10-1)/(MaxLevel-1))^(2^F181),0),D181+(E181-D181)*(1+G181)*((10-1)/(MaxLevel-1))^(2^F181)))</f>
        <v/>
      </c>
    </row>
    <row r="182" spans="1:17" x14ac:dyDescent="0.25">
      <c r="A182" s="4" t="s">
        <v>185</v>
      </c>
      <c r="B182" s="4" t="s">
        <v>195</v>
      </c>
      <c r="C182" s="4" t="s">
        <v>42</v>
      </c>
      <c r="D182" s="5"/>
      <c r="E182" s="5"/>
      <c r="F182" s="5"/>
      <c r="G182" s="5"/>
      <c r="H182" s="12" t="str">
        <f>IF(OR(D182="",E182=""),"",IF(IFERROR(INDEX(Stats!$D:$D,MATCH($C182,Stats!$A:$A,0)),FALSE),ROUND(D182+(E182-D182)*(1+G182)*((1-1)/(MaxLevel-1))^(2^F182),0),D182+(E182-D182)*(1+G182)*((1-1)/(MaxLevel-1))^(2^F182)))</f>
        <v/>
      </c>
      <c r="I182" s="12" t="str">
        <f>IF(OR(D182="",E182=""),"",IF(IFERROR(INDEX(Stats!$D:$D,MATCH($C182,Stats!$A:$A,0)),FALSE),ROUND(D182+(E182-D182)*(1+G182)*((2-1)/(MaxLevel-1))^(2^F182),0),D182+(E182-D182)*(1+G182)*((2-1)/(MaxLevel-1))^(2^F182)))</f>
        <v/>
      </c>
      <c r="J182" s="12" t="str">
        <f>IF(OR(D182="",E182=""),"",IF(IFERROR(INDEX(Stats!$D:$D,MATCH($C182,Stats!$A:$A,0)),FALSE),ROUND(D182+(E182-D182)*(1+G182)*((3-1)/(MaxLevel-1))^(2^F182),0),D182+(E182-D182)*(1+G182)*((3-1)/(MaxLevel-1))^(2^F182)))</f>
        <v/>
      </c>
      <c r="K182" s="12" t="str">
        <f>IF(OR(D182="",E182=""),"",IF(IFERROR(INDEX(Stats!$D:$D,MATCH($C182,Stats!$A:$A,0)),FALSE),ROUND(D182+(E182-D182)*(1+G182)*((4-1)/(MaxLevel-1))^(2^F182),0),D182+(E182-D182)*(1+G182)*((4-1)/(MaxLevel-1))^(2^F182)))</f>
        <v/>
      </c>
      <c r="L182" s="12" t="str">
        <f>IF(OR(D182="",E182=""),"",IF(IFERROR(INDEX(Stats!$D:$D,MATCH($C182,Stats!$A:$A,0)),FALSE),ROUND(D182+(E182-D182)*(1+G182)*((5-1)/(MaxLevel-1))^(2^F182),0),D182+(E182-D182)*(1+G182)*((5-1)/(MaxLevel-1))^(2^F182)))</f>
        <v/>
      </c>
      <c r="M182" s="12" t="str">
        <f>IF(OR(D182="",E182=""),"",IF(IFERROR(INDEX(Stats!$D:$D,MATCH($C182,Stats!$A:$A,0)),FALSE),ROUND(D182+(E182-D182)*(1+G182)*((6-1)/(MaxLevel-1))^(2^F182),0),D182+(E182-D182)*(1+G182)*((6-1)/(MaxLevel-1))^(2^F182)))</f>
        <v/>
      </c>
      <c r="N182" s="12" t="str">
        <f>IF(OR(D182="",E182=""),"",IF(IFERROR(INDEX(Stats!$D:$D,MATCH($C182,Stats!$A:$A,0)),FALSE),ROUND(D182+(E182-D182)*(1+G182)*((7-1)/(MaxLevel-1))^(2^F182),0),D182+(E182-D182)*(1+G182)*((7-1)/(MaxLevel-1))^(2^F182)))</f>
        <v/>
      </c>
      <c r="O182" s="12" t="str">
        <f>IF(OR(D182="",E182=""),"",IF(IFERROR(INDEX(Stats!$D:$D,MATCH($C182,Stats!$A:$A,0)),FALSE),ROUND(D182+(E182-D182)*(1+G182)*((8-1)/(MaxLevel-1))^(2^F182),0),D182+(E182-D182)*(1+G182)*((8-1)/(MaxLevel-1))^(2^F182)))</f>
        <v/>
      </c>
      <c r="P182" s="12" t="str">
        <f>IF(OR(D182="",E182=""),"",IF(IFERROR(INDEX(Stats!$D:$D,MATCH($C182,Stats!$A:$A,0)),FALSE),ROUND(D182+(E182-D182)*(1+G182)*((9-1)/(MaxLevel-1))^(2^F182),0),D182+(E182-D182)*(1+G182)*((9-1)/(MaxLevel-1))^(2^F182)))</f>
        <v/>
      </c>
      <c r="Q182" s="12" t="str">
        <f>IF(OR(D182="",E182=""),"",IF(IFERROR(INDEX(Stats!$D:$D,MATCH($C182,Stats!$A:$A,0)),FALSE),ROUND(D182+(E182-D182)*(1+G182)*((10-1)/(MaxLevel-1))^(2^F182),0),D182+(E182-D182)*(1+G182)*((10-1)/(MaxLevel-1))^(2^F182)))</f>
        <v/>
      </c>
    </row>
    <row r="183" spans="1:17" x14ac:dyDescent="0.25">
      <c r="A183" s="4" t="s">
        <v>185</v>
      </c>
      <c r="B183" s="4" t="s">
        <v>195</v>
      </c>
      <c r="C183" s="4" t="s">
        <v>44</v>
      </c>
      <c r="D183" s="5"/>
      <c r="E183" s="5"/>
      <c r="F183" s="5"/>
      <c r="G183" s="5"/>
      <c r="H183" s="12" t="str">
        <f>IF(OR(D183="",E183=""),"",IF(IFERROR(INDEX(Stats!$D:$D,MATCH($C183,Stats!$A:$A,0)),FALSE),ROUND(D183+(E183-D183)*(1+G183)*((1-1)/(MaxLevel-1))^(2^F183),0),D183+(E183-D183)*(1+G183)*((1-1)/(MaxLevel-1))^(2^F183)))</f>
        <v/>
      </c>
      <c r="I183" s="12" t="str">
        <f>IF(OR(D183="",E183=""),"",IF(IFERROR(INDEX(Stats!$D:$D,MATCH($C183,Stats!$A:$A,0)),FALSE),ROUND(D183+(E183-D183)*(1+G183)*((2-1)/(MaxLevel-1))^(2^F183),0),D183+(E183-D183)*(1+G183)*((2-1)/(MaxLevel-1))^(2^F183)))</f>
        <v/>
      </c>
      <c r="J183" s="12" t="str">
        <f>IF(OR(D183="",E183=""),"",IF(IFERROR(INDEX(Stats!$D:$D,MATCH($C183,Stats!$A:$A,0)),FALSE),ROUND(D183+(E183-D183)*(1+G183)*((3-1)/(MaxLevel-1))^(2^F183),0),D183+(E183-D183)*(1+G183)*((3-1)/(MaxLevel-1))^(2^F183)))</f>
        <v/>
      </c>
      <c r="K183" s="12" t="str">
        <f>IF(OR(D183="",E183=""),"",IF(IFERROR(INDEX(Stats!$D:$D,MATCH($C183,Stats!$A:$A,0)),FALSE),ROUND(D183+(E183-D183)*(1+G183)*((4-1)/(MaxLevel-1))^(2^F183),0),D183+(E183-D183)*(1+G183)*((4-1)/(MaxLevel-1))^(2^F183)))</f>
        <v/>
      </c>
      <c r="L183" s="12" t="str">
        <f>IF(OR(D183="",E183=""),"",IF(IFERROR(INDEX(Stats!$D:$D,MATCH($C183,Stats!$A:$A,0)),FALSE),ROUND(D183+(E183-D183)*(1+G183)*((5-1)/(MaxLevel-1))^(2^F183),0),D183+(E183-D183)*(1+G183)*((5-1)/(MaxLevel-1))^(2^F183)))</f>
        <v/>
      </c>
      <c r="M183" s="12" t="str">
        <f>IF(OR(D183="",E183=""),"",IF(IFERROR(INDEX(Stats!$D:$D,MATCH($C183,Stats!$A:$A,0)),FALSE),ROUND(D183+(E183-D183)*(1+G183)*((6-1)/(MaxLevel-1))^(2^F183),0),D183+(E183-D183)*(1+G183)*((6-1)/(MaxLevel-1))^(2^F183)))</f>
        <v/>
      </c>
      <c r="N183" s="12" t="str">
        <f>IF(OR(D183="",E183=""),"",IF(IFERROR(INDEX(Stats!$D:$D,MATCH($C183,Stats!$A:$A,0)),FALSE),ROUND(D183+(E183-D183)*(1+G183)*((7-1)/(MaxLevel-1))^(2^F183),0),D183+(E183-D183)*(1+G183)*((7-1)/(MaxLevel-1))^(2^F183)))</f>
        <v/>
      </c>
      <c r="O183" s="12" t="str">
        <f>IF(OR(D183="",E183=""),"",IF(IFERROR(INDEX(Stats!$D:$D,MATCH($C183,Stats!$A:$A,0)),FALSE),ROUND(D183+(E183-D183)*(1+G183)*((8-1)/(MaxLevel-1))^(2^F183),0),D183+(E183-D183)*(1+G183)*((8-1)/(MaxLevel-1))^(2^F183)))</f>
        <v/>
      </c>
      <c r="P183" s="12" t="str">
        <f>IF(OR(D183="",E183=""),"",IF(IFERROR(INDEX(Stats!$D:$D,MATCH($C183,Stats!$A:$A,0)),FALSE),ROUND(D183+(E183-D183)*(1+G183)*((9-1)/(MaxLevel-1))^(2^F183),0),D183+(E183-D183)*(1+G183)*((9-1)/(MaxLevel-1))^(2^F183)))</f>
        <v/>
      </c>
      <c r="Q183" s="12" t="str">
        <f>IF(OR(D183="",E183=""),"",IF(IFERROR(INDEX(Stats!$D:$D,MATCH($C183,Stats!$A:$A,0)),FALSE),ROUND(D183+(E183-D183)*(1+G183)*((10-1)/(MaxLevel-1))^(2^F183),0),D183+(E183-D183)*(1+G183)*((10-1)/(MaxLevel-1))^(2^F183)))</f>
        <v/>
      </c>
    </row>
    <row r="184" spans="1:17" x14ac:dyDescent="0.25">
      <c r="A184" s="4" t="s">
        <v>185</v>
      </c>
      <c r="B184" s="4" t="s">
        <v>195</v>
      </c>
      <c r="C184" s="4" t="s">
        <v>46</v>
      </c>
      <c r="D184" s="5">
        <v>300</v>
      </c>
      <c r="E184" s="5">
        <v>320</v>
      </c>
      <c r="F184" s="5">
        <v>0</v>
      </c>
      <c r="G184" s="5">
        <v>0</v>
      </c>
      <c r="H184" s="12">
        <f>IF(OR(D184="",E184=""),"",IF(IFERROR(INDEX(Stats!$D:$D,MATCH($C184,Stats!$A:$A,0)),FALSE),ROUND(D184+(E184-D184)*(1+G184)*((1-1)/(MaxLevel-1))^(2^F184),0),D184+(E184-D184)*(1+G184)*((1-1)/(MaxLevel-1))^(2^F184)))</f>
        <v>300</v>
      </c>
      <c r="I184" s="12">
        <f>IF(OR(D184="",E184=""),"",IF(IFERROR(INDEX(Stats!$D:$D,MATCH($C184,Stats!$A:$A,0)),FALSE),ROUND(D184+(E184-D184)*(1+G184)*((2-1)/(MaxLevel-1))^(2^F184),0),D184+(E184-D184)*(1+G184)*((2-1)/(MaxLevel-1))^(2^F184)))</f>
        <v>302.22222222222223</v>
      </c>
      <c r="J184" s="12">
        <f>IF(OR(D184="",E184=""),"",IF(IFERROR(INDEX(Stats!$D:$D,MATCH($C184,Stats!$A:$A,0)),FALSE),ROUND(D184+(E184-D184)*(1+G184)*((3-1)/(MaxLevel-1))^(2^F184),0),D184+(E184-D184)*(1+G184)*((3-1)/(MaxLevel-1))^(2^F184)))</f>
        <v>304.44444444444446</v>
      </c>
      <c r="K184" s="12">
        <f>IF(OR(D184="",E184=""),"",IF(IFERROR(INDEX(Stats!$D:$D,MATCH($C184,Stats!$A:$A,0)),FALSE),ROUND(D184+(E184-D184)*(1+G184)*((4-1)/(MaxLevel-1))^(2^F184),0),D184+(E184-D184)*(1+G184)*((4-1)/(MaxLevel-1))^(2^F184)))</f>
        <v>306.66666666666669</v>
      </c>
      <c r="L184" s="12">
        <f>IF(OR(D184="",E184=""),"",IF(IFERROR(INDEX(Stats!$D:$D,MATCH($C184,Stats!$A:$A,0)),FALSE),ROUND(D184+(E184-D184)*(1+G184)*((5-1)/(MaxLevel-1))^(2^F184),0),D184+(E184-D184)*(1+G184)*((5-1)/(MaxLevel-1))^(2^F184)))</f>
        <v>308.88888888888891</v>
      </c>
      <c r="M184" s="12">
        <f>IF(OR(D184="",E184=""),"",IF(IFERROR(INDEX(Stats!$D:$D,MATCH($C184,Stats!$A:$A,0)),FALSE),ROUND(D184+(E184-D184)*(1+G184)*((6-1)/(MaxLevel-1))^(2^F184),0),D184+(E184-D184)*(1+G184)*((6-1)/(MaxLevel-1))^(2^F184)))</f>
        <v>311.11111111111109</v>
      </c>
      <c r="N184" s="12">
        <f>IF(OR(D184="",E184=""),"",IF(IFERROR(INDEX(Stats!$D:$D,MATCH($C184,Stats!$A:$A,0)),FALSE),ROUND(D184+(E184-D184)*(1+G184)*((7-1)/(MaxLevel-1))^(2^F184),0),D184+(E184-D184)*(1+G184)*((7-1)/(MaxLevel-1))^(2^F184)))</f>
        <v>313.33333333333331</v>
      </c>
      <c r="O184" s="12">
        <f>IF(OR(D184="",E184=""),"",IF(IFERROR(INDEX(Stats!$D:$D,MATCH($C184,Stats!$A:$A,0)),FALSE),ROUND(D184+(E184-D184)*(1+G184)*((8-1)/(MaxLevel-1))^(2^F184),0),D184+(E184-D184)*(1+G184)*((8-1)/(MaxLevel-1))^(2^F184)))</f>
        <v>315.55555555555554</v>
      </c>
      <c r="P184" s="12">
        <f>IF(OR(D184="",E184=""),"",IF(IFERROR(INDEX(Stats!$D:$D,MATCH($C184,Stats!$A:$A,0)),FALSE),ROUND(D184+(E184-D184)*(1+G184)*((9-1)/(MaxLevel-1))^(2^F184),0),D184+(E184-D184)*(1+G184)*((9-1)/(MaxLevel-1))^(2^F184)))</f>
        <v>317.77777777777777</v>
      </c>
      <c r="Q184" s="12">
        <f>IF(OR(D184="",E184=""),"",IF(IFERROR(INDEX(Stats!$D:$D,MATCH($C184,Stats!$A:$A,0)),FALSE),ROUND(D184+(E184-D184)*(1+G184)*((10-1)/(MaxLevel-1))^(2^F184),0),D184+(E184-D184)*(1+G184)*((10-1)/(MaxLevel-1))^(2^F184)))</f>
        <v>320</v>
      </c>
    </row>
    <row r="185" spans="1:17" x14ac:dyDescent="0.25">
      <c r="A185" s="4" t="s">
        <v>185</v>
      </c>
      <c r="B185" s="4" t="s">
        <v>195</v>
      </c>
      <c r="C185" s="4" t="s">
        <v>48</v>
      </c>
      <c r="D185" s="5"/>
      <c r="E185" s="5"/>
      <c r="F185" s="5"/>
      <c r="G185" s="5"/>
      <c r="H185" s="12" t="str">
        <f>IF(OR(D185="",E185=""),"",IF(IFERROR(INDEX(Stats!$D:$D,MATCH($C185,Stats!$A:$A,0)),FALSE),ROUND(D185+(E185-D185)*(1+G185)*((1-1)/(MaxLevel-1))^(2^F185),0),D185+(E185-D185)*(1+G185)*((1-1)/(MaxLevel-1))^(2^F185)))</f>
        <v/>
      </c>
      <c r="I185" s="12" t="str">
        <f>IF(OR(D185="",E185=""),"",IF(IFERROR(INDEX(Stats!$D:$D,MATCH($C185,Stats!$A:$A,0)),FALSE),ROUND(D185+(E185-D185)*(1+G185)*((2-1)/(MaxLevel-1))^(2^F185),0),D185+(E185-D185)*(1+G185)*((2-1)/(MaxLevel-1))^(2^F185)))</f>
        <v/>
      </c>
      <c r="J185" s="12" t="str">
        <f>IF(OR(D185="",E185=""),"",IF(IFERROR(INDEX(Stats!$D:$D,MATCH($C185,Stats!$A:$A,0)),FALSE),ROUND(D185+(E185-D185)*(1+G185)*((3-1)/(MaxLevel-1))^(2^F185),0),D185+(E185-D185)*(1+G185)*((3-1)/(MaxLevel-1))^(2^F185)))</f>
        <v/>
      </c>
      <c r="K185" s="12" t="str">
        <f>IF(OR(D185="",E185=""),"",IF(IFERROR(INDEX(Stats!$D:$D,MATCH($C185,Stats!$A:$A,0)),FALSE),ROUND(D185+(E185-D185)*(1+G185)*((4-1)/(MaxLevel-1))^(2^F185),0),D185+(E185-D185)*(1+G185)*((4-1)/(MaxLevel-1))^(2^F185)))</f>
        <v/>
      </c>
      <c r="L185" s="12" t="str">
        <f>IF(OR(D185="",E185=""),"",IF(IFERROR(INDEX(Stats!$D:$D,MATCH($C185,Stats!$A:$A,0)),FALSE),ROUND(D185+(E185-D185)*(1+G185)*((5-1)/(MaxLevel-1))^(2^F185),0),D185+(E185-D185)*(1+G185)*((5-1)/(MaxLevel-1))^(2^F185)))</f>
        <v/>
      </c>
      <c r="M185" s="12" t="str">
        <f>IF(OR(D185="",E185=""),"",IF(IFERROR(INDEX(Stats!$D:$D,MATCH($C185,Stats!$A:$A,0)),FALSE),ROUND(D185+(E185-D185)*(1+G185)*((6-1)/(MaxLevel-1))^(2^F185),0),D185+(E185-D185)*(1+G185)*((6-1)/(MaxLevel-1))^(2^F185)))</f>
        <v/>
      </c>
      <c r="N185" s="12" t="str">
        <f>IF(OR(D185="",E185=""),"",IF(IFERROR(INDEX(Stats!$D:$D,MATCH($C185,Stats!$A:$A,0)),FALSE),ROUND(D185+(E185-D185)*(1+G185)*((7-1)/(MaxLevel-1))^(2^F185),0),D185+(E185-D185)*(1+G185)*((7-1)/(MaxLevel-1))^(2^F185)))</f>
        <v/>
      </c>
      <c r="O185" s="12" t="str">
        <f>IF(OR(D185="",E185=""),"",IF(IFERROR(INDEX(Stats!$D:$D,MATCH($C185,Stats!$A:$A,0)),FALSE),ROUND(D185+(E185-D185)*(1+G185)*((8-1)/(MaxLevel-1))^(2^F185),0),D185+(E185-D185)*(1+G185)*((8-1)/(MaxLevel-1))^(2^F185)))</f>
        <v/>
      </c>
      <c r="P185" s="12" t="str">
        <f>IF(OR(D185="",E185=""),"",IF(IFERROR(INDEX(Stats!$D:$D,MATCH($C185,Stats!$A:$A,0)),FALSE),ROUND(D185+(E185-D185)*(1+G185)*((9-1)/(MaxLevel-1))^(2^F185),0),D185+(E185-D185)*(1+G185)*((9-1)/(MaxLevel-1))^(2^F185)))</f>
        <v/>
      </c>
      <c r="Q185" s="12" t="str">
        <f>IF(OR(D185="",E185=""),"",IF(IFERROR(INDEX(Stats!$D:$D,MATCH($C185,Stats!$A:$A,0)),FALSE),ROUND(D185+(E185-D185)*(1+G185)*((10-1)/(MaxLevel-1))^(2^F185),0),D185+(E185-D185)*(1+G185)*((10-1)/(MaxLevel-1))^(2^F185)))</f>
        <v/>
      </c>
    </row>
    <row r="186" spans="1:17" x14ac:dyDescent="0.25">
      <c r="A186" s="4" t="s">
        <v>185</v>
      </c>
      <c r="B186" s="4" t="s">
        <v>195</v>
      </c>
      <c r="C186" s="4" t="s">
        <v>50</v>
      </c>
      <c r="D186" s="5"/>
      <c r="E186" s="5"/>
      <c r="F186" s="5"/>
      <c r="G186" s="5"/>
      <c r="H186" s="12" t="str">
        <f>IF(OR(D186="",E186=""),"",IF(IFERROR(INDEX(Stats!$D:$D,MATCH($C186,Stats!$A:$A,0)),FALSE),ROUND(D186+(E186-D186)*(1+G186)*((1-1)/(MaxLevel-1))^(2^F186),0),D186+(E186-D186)*(1+G186)*((1-1)/(MaxLevel-1))^(2^F186)))</f>
        <v/>
      </c>
      <c r="I186" s="12" t="str">
        <f>IF(OR(D186="",E186=""),"",IF(IFERROR(INDEX(Stats!$D:$D,MATCH($C186,Stats!$A:$A,0)),FALSE),ROUND(D186+(E186-D186)*(1+G186)*((2-1)/(MaxLevel-1))^(2^F186),0),D186+(E186-D186)*(1+G186)*((2-1)/(MaxLevel-1))^(2^F186)))</f>
        <v/>
      </c>
      <c r="J186" s="12" t="str">
        <f>IF(OR(D186="",E186=""),"",IF(IFERROR(INDEX(Stats!$D:$D,MATCH($C186,Stats!$A:$A,0)),FALSE),ROUND(D186+(E186-D186)*(1+G186)*((3-1)/(MaxLevel-1))^(2^F186),0),D186+(E186-D186)*(1+G186)*((3-1)/(MaxLevel-1))^(2^F186)))</f>
        <v/>
      </c>
      <c r="K186" s="12" t="str">
        <f>IF(OR(D186="",E186=""),"",IF(IFERROR(INDEX(Stats!$D:$D,MATCH($C186,Stats!$A:$A,0)),FALSE),ROUND(D186+(E186-D186)*(1+G186)*((4-1)/(MaxLevel-1))^(2^F186),0),D186+(E186-D186)*(1+G186)*((4-1)/(MaxLevel-1))^(2^F186)))</f>
        <v/>
      </c>
      <c r="L186" s="12" t="str">
        <f>IF(OR(D186="",E186=""),"",IF(IFERROR(INDEX(Stats!$D:$D,MATCH($C186,Stats!$A:$A,0)),FALSE),ROUND(D186+(E186-D186)*(1+G186)*((5-1)/(MaxLevel-1))^(2^F186),0),D186+(E186-D186)*(1+G186)*((5-1)/(MaxLevel-1))^(2^F186)))</f>
        <v/>
      </c>
      <c r="M186" s="12" t="str">
        <f>IF(OR(D186="",E186=""),"",IF(IFERROR(INDEX(Stats!$D:$D,MATCH($C186,Stats!$A:$A,0)),FALSE),ROUND(D186+(E186-D186)*(1+G186)*((6-1)/(MaxLevel-1))^(2^F186),0),D186+(E186-D186)*(1+G186)*((6-1)/(MaxLevel-1))^(2^F186)))</f>
        <v/>
      </c>
      <c r="N186" s="12" t="str">
        <f>IF(OR(D186="",E186=""),"",IF(IFERROR(INDEX(Stats!$D:$D,MATCH($C186,Stats!$A:$A,0)),FALSE),ROUND(D186+(E186-D186)*(1+G186)*((7-1)/(MaxLevel-1))^(2^F186),0),D186+(E186-D186)*(1+G186)*((7-1)/(MaxLevel-1))^(2^F186)))</f>
        <v/>
      </c>
      <c r="O186" s="12" t="str">
        <f>IF(OR(D186="",E186=""),"",IF(IFERROR(INDEX(Stats!$D:$D,MATCH($C186,Stats!$A:$A,0)),FALSE),ROUND(D186+(E186-D186)*(1+G186)*((8-1)/(MaxLevel-1))^(2^F186),0),D186+(E186-D186)*(1+G186)*((8-1)/(MaxLevel-1))^(2^F186)))</f>
        <v/>
      </c>
      <c r="P186" s="12" t="str">
        <f>IF(OR(D186="",E186=""),"",IF(IFERROR(INDEX(Stats!$D:$D,MATCH($C186,Stats!$A:$A,0)),FALSE),ROUND(D186+(E186-D186)*(1+G186)*((9-1)/(MaxLevel-1))^(2^F186),0),D186+(E186-D186)*(1+G186)*((9-1)/(MaxLevel-1))^(2^F186)))</f>
        <v/>
      </c>
      <c r="Q186" s="12" t="str">
        <f>IF(OR(D186="",E186=""),"",IF(IFERROR(INDEX(Stats!$D:$D,MATCH($C186,Stats!$A:$A,0)),FALSE),ROUND(D186+(E186-D186)*(1+G186)*((10-1)/(MaxLevel-1))^(2^F186),0),D186+(E186-D186)*(1+G186)*((10-1)/(MaxLevel-1))^(2^F186)))</f>
        <v/>
      </c>
    </row>
    <row r="187" spans="1:17" x14ac:dyDescent="0.25">
      <c r="A187" s="4" t="s">
        <v>185</v>
      </c>
      <c r="B187" s="4" t="s">
        <v>195</v>
      </c>
      <c r="C187" s="4" t="s">
        <v>52</v>
      </c>
      <c r="D187" s="5"/>
      <c r="E187" s="5"/>
      <c r="F187" s="5"/>
      <c r="G187" s="5"/>
      <c r="H187" s="12" t="str">
        <f>IF(OR(D187="",E187=""),"",IF(IFERROR(INDEX(Stats!$D:$D,MATCH($C187,Stats!$A:$A,0)),FALSE),ROUND(D187+(E187-D187)*(1+G187)*((1-1)/(MaxLevel-1))^(2^F187),0),D187+(E187-D187)*(1+G187)*((1-1)/(MaxLevel-1))^(2^F187)))</f>
        <v/>
      </c>
      <c r="I187" s="12" t="str">
        <f>IF(OR(D187="",E187=""),"",IF(IFERROR(INDEX(Stats!$D:$D,MATCH($C187,Stats!$A:$A,0)),FALSE),ROUND(D187+(E187-D187)*(1+G187)*((2-1)/(MaxLevel-1))^(2^F187),0),D187+(E187-D187)*(1+G187)*((2-1)/(MaxLevel-1))^(2^F187)))</f>
        <v/>
      </c>
      <c r="J187" s="12" t="str">
        <f>IF(OR(D187="",E187=""),"",IF(IFERROR(INDEX(Stats!$D:$D,MATCH($C187,Stats!$A:$A,0)),FALSE),ROUND(D187+(E187-D187)*(1+G187)*((3-1)/(MaxLevel-1))^(2^F187),0),D187+(E187-D187)*(1+G187)*((3-1)/(MaxLevel-1))^(2^F187)))</f>
        <v/>
      </c>
      <c r="K187" s="12" t="str">
        <f>IF(OR(D187="",E187=""),"",IF(IFERROR(INDEX(Stats!$D:$D,MATCH($C187,Stats!$A:$A,0)),FALSE),ROUND(D187+(E187-D187)*(1+G187)*((4-1)/(MaxLevel-1))^(2^F187),0),D187+(E187-D187)*(1+G187)*((4-1)/(MaxLevel-1))^(2^F187)))</f>
        <v/>
      </c>
      <c r="L187" s="12" t="str">
        <f>IF(OR(D187="",E187=""),"",IF(IFERROR(INDEX(Stats!$D:$D,MATCH($C187,Stats!$A:$A,0)),FALSE),ROUND(D187+(E187-D187)*(1+G187)*((5-1)/(MaxLevel-1))^(2^F187),0),D187+(E187-D187)*(1+G187)*((5-1)/(MaxLevel-1))^(2^F187)))</f>
        <v/>
      </c>
      <c r="M187" s="12" t="str">
        <f>IF(OR(D187="",E187=""),"",IF(IFERROR(INDEX(Stats!$D:$D,MATCH($C187,Stats!$A:$A,0)),FALSE),ROUND(D187+(E187-D187)*(1+G187)*((6-1)/(MaxLevel-1))^(2^F187),0),D187+(E187-D187)*(1+G187)*((6-1)/(MaxLevel-1))^(2^F187)))</f>
        <v/>
      </c>
      <c r="N187" s="12" t="str">
        <f>IF(OR(D187="",E187=""),"",IF(IFERROR(INDEX(Stats!$D:$D,MATCH($C187,Stats!$A:$A,0)),FALSE),ROUND(D187+(E187-D187)*(1+G187)*((7-1)/(MaxLevel-1))^(2^F187),0),D187+(E187-D187)*(1+G187)*((7-1)/(MaxLevel-1))^(2^F187)))</f>
        <v/>
      </c>
      <c r="O187" s="12" t="str">
        <f>IF(OR(D187="",E187=""),"",IF(IFERROR(INDEX(Stats!$D:$D,MATCH($C187,Stats!$A:$A,0)),FALSE),ROUND(D187+(E187-D187)*(1+G187)*((8-1)/(MaxLevel-1))^(2^F187),0),D187+(E187-D187)*(1+G187)*((8-1)/(MaxLevel-1))^(2^F187)))</f>
        <v/>
      </c>
      <c r="P187" s="12" t="str">
        <f>IF(OR(D187="",E187=""),"",IF(IFERROR(INDEX(Stats!$D:$D,MATCH($C187,Stats!$A:$A,0)),FALSE),ROUND(D187+(E187-D187)*(1+G187)*((9-1)/(MaxLevel-1))^(2^F187),0),D187+(E187-D187)*(1+G187)*((9-1)/(MaxLevel-1))^(2^F187)))</f>
        <v/>
      </c>
      <c r="Q187" s="12" t="str">
        <f>IF(OR(D187="",E187=""),"",IF(IFERROR(INDEX(Stats!$D:$D,MATCH($C187,Stats!$A:$A,0)),FALSE),ROUND(D187+(E187-D187)*(1+G187)*((10-1)/(MaxLevel-1))^(2^F187),0),D187+(E187-D187)*(1+G187)*((10-1)/(MaxLevel-1))^(2^F187)))</f>
        <v/>
      </c>
    </row>
    <row r="188" spans="1:17" x14ac:dyDescent="0.25">
      <c r="A188" s="4" t="s">
        <v>185</v>
      </c>
      <c r="B188" s="4" t="s">
        <v>195</v>
      </c>
      <c r="C188" s="4" t="s">
        <v>54</v>
      </c>
      <c r="D188" s="5"/>
      <c r="E188" s="5"/>
      <c r="F188" s="5"/>
      <c r="G188" s="5"/>
      <c r="H188" s="12" t="str">
        <f>IF(OR(D188="",E188=""),"",IF(IFERROR(INDEX(Stats!$D:$D,MATCH($C188,Stats!$A:$A,0)),FALSE),ROUND(D188+(E188-D188)*(1+G188)*((1-1)/(MaxLevel-1))^(2^F188),0),D188+(E188-D188)*(1+G188)*((1-1)/(MaxLevel-1))^(2^F188)))</f>
        <v/>
      </c>
      <c r="I188" s="12" t="str">
        <f>IF(OR(D188="",E188=""),"",IF(IFERROR(INDEX(Stats!$D:$D,MATCH($C188,Stats!$A:$A,0)),FALSE),ROUND(D188+(E188-D188)*(1+G188)*((2-1)/(MaxLevel-1))^(2^F188),0),D188+(E188-D188)*(1+G188)*((2-1)/(MaxLevel-1))^(2^F188)))</f>
        <v/>
      </c>
      <c r="J188" s="12" t="str">
        <f>IF(OR(D188="",E188=""),"",IF(IFERROR(INDEX(Stats!$D:$D,MATCH($C188,Stats!$A:$A,0)),FALSE),ROUND(D188+(E188-D188)*(1+G188)*((3-1)/(MaxLevel-1))^(2^F188),0),D188+(E188-D188)*(1+G188)*((3-1)/(MaxLevel-1))^(2^F188)))</f>
        <v/>
      </c>
      <c r="K188" s="12" t="str">
        <f>IF(OR(D188="",E188=""),"",IF(IFERROR(INDEX(Stats!$D:$D,MATCH($C188,Stats!$A:$A,0)),FALSE),ROUND(D188+(E188-D188)*(1+G188)*((4-1)/(MaxLevel-1))^(2^F188),0),D188+(E188-D188)*(1+G188)*((4-1)/(MaxLevel-1))^(2^F188)))</f>
        <v/>
      </c>
      <c r="L188" s="12" t="str">
        <f>IF(OR(D188="",E188=""),"",IF(IFERROR(INDEX(Stats!$D:$D,MATCH($C188,Stats!$A:$A,0)),FALSE),ROUND(D188+(E188-D188)*(1+G188)*((5-1)/(MaxLevel-1))^(2^F188),0),D188+(E188-D188)*(1+G188)*((5-1)/(MaxLevel-1))^(2^F188)))</f>
        <v/>
      </c>
      <c r="M188" s="12" t="str">
        <f>IF(OR(D188="",E188=""),"",IF(IFERROR(INDEX(Stats!$D:$D,MATCH($C188,Stats!$A:$A,0)),FALSE),ROUND(D188+(E188-D188)*(1+G188)*((6-1)/(MaxLevel-1))^(2^F188),0),D188+(E188-D188)*(1+G188)*((6-1)/(MaxLevel-1))^(2^F188)))</f>
        <v/>
      </c>
      <c r="N188" s="12" t="str">
        <f>IF(OR(D188="",E188=""),"",IF(IFERROR(INDEX(Stats!$D:$D,MATCH($C188,Stats!$A:$A,0)),FALSE),ROUND(D188+(E188-D188)*(1+G188)*((7-1)/(MaxLevel-1))^(2^F188),0),D188+(E188-D188)*(1+G188)*((7-1)/(MaxLevel-1))^(2^F188)))</f>
        <v/>
      </c>
      <c r="O188" s="12" t="str">
        <f>IF(OR(D188="",E188=""),"",IF(IFERROR(INDEX(Stats!$D:$D,MATCH($C188,Stats!$A:$A,0)),FALSE),ROUND(D188+(E188-D188)*(1+G188)*((8-1)/(MaxLevel-1))^(2^F188),0),D188+(E188-D188)*(1+G188)*((8-1)/(MaxLevel-1))^(2^F188)))</f>
        <v/>
      </c>
      <c r="P188" s="12" t="str">
        <f>IF(OR(D188="",E188=""),"",IF(IFERROR(INDEX(Stats!$D:$D,MATCH($C188,Stats!$A:$A,0)),FALSE),ROUND(D188+(E188-D188)*(1+G188)*((9-1)/(MaxLevel-1))^(2^F188),0),D188+(E188-D188)*(1+G188)*((9-1)/(MaxLevel-1))^(2^F188)))</f>
        <v/>
      </c>
      <c r="Q188" s="12" t="str">
        <f>IF(OR(D188="",E188=""),"",IF(IFERROR(INDEX(Stats!$D:$D,MATCH($C188,Stats!$A:$A,0)),FALSE),ROUND(D188+(E188-D188)*(1+G188)*((10-1)/(MaxLevel-1))^(2^F188),0),D188+(E188-D188)*(1+G188)*((10-1)/(MaxLevel-1))^(2^F188)))</f>
        <v/>
      </c>
    </row>
    <row r="189" spans="1:17" x14ac:dyDescent="0.25">
      <c r="A189" s="4" t="s">
        <v>185</v>
      </c>
      <c r="B189" s="4" t="s">
        <v>195</v>
      </c>
      <c r="C189" s="4" t="s">
        <v>56</v>
      </c>
      <c r="D189" s="5"/>
      <c r="E189" s="5"/>
      <c r="F189" s="5"/>
      <c r="G189" s="5"/>
      <c r="H189" s="12" t="str">
        <f>IF(OR(D189="",E189=""),"",IF(IFERROR(INDEX(Stats!$D:$D,MATCH($C189,Stats!$A:$A,0)),FALSE),ROUND(D189+(E189-D189)*(1+G189)*((1-1)/(MaxLevel-1))^(2^F189),0),D189+(E189-D189)*(1+G189)*((1-1)/(MaxLevel-1))^(2^F189)))</f>
        <v/>
      </c>
      <c r="I189" s="12" t="str">
        <f>IF(OR(D189="",E189=""),"",IF(IFERROR(INDEX(Stats!$D:$D,MATCH($C189,Stats!$A:$A,0)),FALSE),ROUND(D189+(E189-D189)*(1+G189)*((2-1)/(MaxLevel-1))^(2^F189),0),D189+(E189-D189)*(1+G189)*((2-1)/(MaxLevel-1))^(2^F189)))</f>
        <v/>
      </c>
      <c r="J189" s="12" t="str">
        <f>IF(OR(D189="",E189=""),"",IF(IFERROR(INDEX(Stats!$D:$D,MATCH($C189,Stats!$A:$A,0)),FALSE),ROUND(D189+(E189-D189)*(1+G189)*((3-1)/(MaxLevel-1))^(2^F189),0),D189+(E189-D189)*(1+G189)*((3-1)/(MaxLevel-1))^(2^F189)))</f>
        <v/>
      </c>
      <c r="K189" s="12" t="str">
        <f>IF(OR(D189="",E189=""),"",IF(IFERROR(INDEX(Stats!$D:$D,MATCH($C189,Stats!$A:$A,0)),FALSE),ROUND(D189+(E189-D189)*(1+G189)*((4-1)/(MaxLevel-1))^(2^F189),0),D189+(E189-D189)*(1+G189)*((4-1)/(MaxLevel-1))^(2^F189)))</f>
        <v/>
      </c>
      <c r="L189" s="12" t="str">
        <f>IF(OR(D189="",E189=""),"",IF(IFERROR(INDEX(Stats!$D:$D,MATCH($C189,Stats!$A:$A,0)),FALSE),ROUND(D189+(E189-D189)*(1+G189)*((5-1)/(MaxLevel-1))^(2^F189),0),D189+(E189-D189)*(1+G189)*((5-1)/(MaxLevel-1))^(2^F189)))</f>
        <v/>
      </c>
      <c r="M189" s="12" t="str">
        <f>IF(OR(D189="",E189=""),"",IF(IFERROR(INDEX(Stats!$D:$D,MATCH($C189,Stats!$A:$A,0)),FALSE),ROUND(D189+(E189-D189)*(1+G189)*((6-1)/(MaxLevel-1))^(2^F189),0),D189+(E189-D189)*(1+G189)*((6-1)/(MaxLevel-1))^(2^F189)))</f>
        <v/>
      </c>
      <c r="N189" s="12" t="str">
        <f>IF(OR(D189="",E189=""),"",IF(IFERROR(INDEX(Stats!$D:$D,MATCH($C189,Stats!$A:$A,0)),FALSE),ROUND(D189+(E189-D189)*(1+G189)*((7-1)/(MaxLevel-1))^(2^F189),0),D189+(E189-D189)*(1+G189)*((7-1)/(MaxLevel-1))^(2^F189)))</f>
        <v/>
      </c>
      <c r="O189" s="12" t="str">
        <f>IF(OR(D189="",E189=""),"",IF(IFERROR(INDEX(Stats!$D:$D,MATCH($C189,Stats!$A:$A,0)),FALSE),ROUND(D189+(E189-D189)*(1+G189)*((8-1)/(MaxLevel-1))^(2^F189),0),D189+(E189-D189)*(1+G189)*((8-1)/(MaxLevel-1))^(2^F189)))</f>
        <v/>
      </c>
      <c r="P189" s="12" t="str">
        <f>IF(OR(D189="",E189=""),"",IF(IFERROR(INDEX(Stats!$D:$D,MATCH($C189,Stats!$A:$A,0)),FALSE),ROUND(D189+(E189-D189)*(1+G189)*((9-1)/(MaxLevel-1))^(2^F189),0),D189+(E189-D189)*(1+G189)*((9-1)/(MaxLevel-1))^(2^F189)))</f>
        <v/>
      </c>
      <c r="Q189" s="12" t="str">
        <f>IF(OR(D189="",E189=""),"",IF(IFERROR(INDEX(Stats!$D:$D,MATCH($C189,Stats!$A:$A,0)),FALSE),ROUND(D189+(E189-D189)*(1+G189)*((10-1)/(MaxLevel-1))^(2^F189),0),D189+(E189-D189)*(1+G189)*((10-1)/(MaxLevel-1))^(2^F189)))</f>
        <v/>
      </c>
    </row>
    <row r="190" spans="1:17" x14ac:dyDescent="0.25">
      <c r="A190" s="4" t="s">
        <v>185</v>
      </c>
      <c r="B190" s="4" t="s">
        <v>195</v>
      </c>
      <c r="C190" s="4" t="s">
        <v>58</v>
      </c>
      <c r="D190" s="5"/>
      <c r="E190" s="5"/>
      <c r="F190" s="5"/>
      <c r="G190" s="5"/>
      <c r="H190" s="12" t="str">
        <f>IF(OR(D190="",E190=""),"",IF(IFERROR(INDEX(Stats!$D:$D,MATCH($C190,Stats!$A:$A,0)),FALSE),ROUND(D190+(E190-D190)*(1+G190)*((1-1)/(MaxLevel-1))^(2^F190),0),D190+(E190-D190)*(1+G190)*((1-1)/(MaxLevel-1))^(2^F190)))</f>
        <v/>
      </c>
      <c r="I190" s="12" t="str">
        <f>IF(OR(D190="",E190=""),"",IF(IFERROR(INDEX(Stats!$D:$D,MATCH($C190,Stats!$A:$A,0)),FALSE),ROUND(D190+(E190-D190)*(1+G190)*((2-1)/(MaxLevel-1))^(2^F190),0),D190+(E190-D190)*(1+G190)*((2-1)/(MaxLevel-1))^(2^F190)))</f>
        <v/>
      </c>
      <c r="J190" s="12" t="str">
        <f>IF(OR(D190="",E190=""),"",IF(IFERROR(INDEX(Stats!$D:$D,MATCH($C190,Stats!$A:$A,0)),FALSE),ROUND(D190+(E190-D190)*(1+G190)*((3-1)/(MaxLevel-1))^(2^F190),0),D190+(E190-D190)*(1+G190)*((3-1)/(MaxLevel-1))^(2^F190)))</f>
        <v/>
      </c>
      <c r="K190" s="12" t="str">
        <f>IF(OR(D190="",E190=""),"",IF(IFERROR(INDEX(Stats!$D:$D,MATCH($C190,Stats!$A:$A,0)),FALSE),ROUND(D190+(E190-D190)*(1+G190)*((4-1)/(MaxLevel-1))^(2^F190),0),D190+(E190-D190)*(1+G190)*((4-1)/(MaxLevel-1))^(2^F190)))</f>
        <v/>
      </c>
      <c r="L190" s="12" t="str">
        <f>IF(OR(D190="",E190=""),"",IF(IFERROR(INDEX(Stats!$D:$D,MATCH($C190,Stats!$A:$A,0)),FALSE),ROUND(D190+(E190-D190)*(1+G190)*((5-1)/(MaxLevel-1))^(2^F190),0),D190+(E190-D190)*(1+G190)*((5-1)/(MaxLevel-1))^(2^F190)))</f>
        <v/>
      </c>
      <c r="M190" s="12" t="str">
        <f>IF(OR(D190="",E190=""),"",IF(IFERROR(INDEX(Stats!$D:$D,MATCH($C190,Stats!$A:$A,0)),FALSE),ROUND(D190+(E190-D190)*(1+G190)*((6-1)/(MaxLevel-1))^(2^F190),0),D190+(E190-D190)*(1+G190)*((6-1)/(MaxLevel-1))^(2^F190)))</f>
        <v/>
      </c>
      <c r="N190" s="12" t="str">
        <f>IF(OR(D190="",E190=""),"",IF(IFERROR(INDEX(Stats!$D:$D,MATCH($C190,Stats!$A:$A,0)),FALSE),ROUND(D190+(E190-D190)*(1+G190)*((7-1)/(MaxLevel-1))^(2^F190),0),D190+(E190-D190)*(1+G190)*((7-1)/(MaxLevel-1))^(2^F190)))</f>
        <v/>
      </c>
      <c r="O190" s="12" t="str">
        <f>IF(OR(D190="",E190=""),"",IF(IFERROR(INDEX(Stats!$D:$D,MATCH($C190,Stats!$A:$A,0)),FALSE),ROUND(D190+(E190-D190)*(1+G190)*((8-1)/(MaxLevel-1))^(2^F190),0),D190+(E190-D190)*(1+G190)*((8-1)/(MaxLevel-1))^(2^F190)))</f>
        <v/>
      </c>
      <c r="P190" s="12" t="str">
        <f>IF(OR(D190="",E190=""),"",IF(IFERROR(INDEX(Stats!$D:$D,MATCH($C190,Stats!$A:$A,0)),FALSE),ROUND(D190+(E190-D190)*(1+G190)*((9-1)/(MaxLevel-1))^(2^F190),0),D190+(E190-D190)*(1+G190)*((9-1)/(MaxLevel-1))^(2^F190)))</f>
        <v/>
      </c>
      <c r="Q190" s="12" t="str">
        <f>IF(OR(D190="",E190=""),"",IF(IFERROR(INDEX(Stats!$D:$D,MATCH($C190,Stats!$A:$A,0)),FALSE),ROUND(D190+(E190-D190)*(1+G190)*((10-1)/(MaxLevel-1))^(2^F190),0),D190+(E190-D190)*(1+G190)*((10-1)/(MaxLevel-1))^(2^F190)))</f>
        <v/>
      </c>
    </row>
    <row r="191" spans="1:17" x14ac:dyDescent="0.25">
      <c r="A191" s="4" t="s">
        <v>185</v>
      </c>
      <c r="B191" s="4" t="s">
        <v>195</v>
      </c>
      <c r="C191" s="4" t="s">
        <v>60</v>
      </c>
      <c r="D191" s="5"/>
      <c r="E191" s="5"/>
      <c r="F191" s="5"/>
      <c r="G191" s="5"/>
      <c r="H191" s="12" t="str">
        <f>IF(OR(D191="",E191=""),"",IF(IFERROR(INDEX(Stats!$D:$D,MATCH($C191,Stats!$A:$A,0)),FALSE),ROUND(D191+(E191-D191)*(1+G191)*((1-1)/(MaxLevel-1))^(2^F191),0),D191+(E191-D191)*(1+G191)*((1-1)/(MaxLevel-1))^(2^F191)))</f>
        <v/>
      </c>
      <c r="I191" s="12" t="str">
        <f>IF(OR(D191="",E191=""),"",IF(IFERROR(INDEX(Stats!$D:$D,MATCH($C191,Stats!$A:$A,0)),FALSE),ROUND(D191+(E191-D191)*(1+G191)*((2-1)/(MaxLevel-1))^(2^F191),0),D191+(E191-D191)*(1+G191)*((2-1)/(MaxLevel-1))^(2^F191)))</f>
        <v/>
      </c>
      <c r="J191" s="12" t="str">
        <f>IF(OR(D191="",E191=""),"",IF(IFERROR(INDEX(Stats!$D:$D,MATCH($C191,Stats!$A:$A,0)),FALSE),ROUND(D191+(E191-D191)*(1+G191)*((3-1)/(MaxLevel-1))^(2^F191),0),D191+(E191-D191)*(1+G191)*((3-1)/(MaxLevel-1))^(2^F191)))</f>
        <v/>
      </c>
      <c r="K191" s="12" t="str">
        <f>IF(OR(D191="",E191=""),"",IF(IFERROR(INDEX(Stats!$D:$D,MATCH($C191,Stats!$A:$A,0)),FALSE),ROUND(D191+(E191-D191)*(1+G191)*((4-1)/(MaxLevel-1))^(2^F191),0),D191+(E191-D191)*(1+G191)*((4-1)/(MaxLevel-1))^(2^F191)))</f>
        <v/>
      </c>
      <c r="L191" s="12" t="str">
        <f>IF(OR(D191="",E191=""),"",IF(IFERROR(INDEX(Stats!$D:$D,MATCH($C191,Stats!$A:$A,0)),FALSE),ROUND(D191+(E191-D191)*(1+G191)*((5-1)/(MaxLevel-1))^(2^F191),0),D191+(E191-D191)*(1+G191)*((5-1)/(MaxLevel-1))^(2^F191)))</f>
        <v/>
      </c>
      <c r="M191" s="12" t="str">
        <f>IF(OR(D191="",E191=""),"",IF(IFERROR(INDEX(Stats!$D:$D,MATCH($C191,Stats!$A:$A,0)),FALSE),ROUND(D191+(E191-D191)*(1+G191)*((6-1)/(MaxLevel-1))^(2^F191),0),D191+(E191-D191)*(1+G191)*((6-1)/(MaxLevel-1))^(2^F191)))</f>
        <v/>
      </c>
      <c r="N191" s="12" t="str">
        <f>IF(OR(D191="",E191=""),"",IF(IFERROR(INDEX(Stats!$D:$D,MATCH($C191,Stats!$A:$A,0)),FALSE),ROUND(D191+(E191-D191)*(1+G191)*((7-1)/(MaxLevel-1))^(2^F191),0),D191+(E191-D191)*(1+G191)*((7-1)/(MaxLevel-1))^(2^F191)))</f>
        <v/>
      </c>
      <c r="O191" s="12" t="str">
        <f>IF(OR(D191="",E191=""),"",IF(IFERROR(INDEX(Stats!$D:$D,MATCH($C191,Stats!$A:$A,0)),FALSE),ROUND(D191+(E191-D191)*(1+G191)*((8-1)/(MaxLevel-1))^(2^F191),0),D191+(E191-D191)*(1+G191)*((8-1)/(MaxLevel-1))^(2^F191)))</f>
        <v/>
      </c>
      <c r="P191" s="12" t="str">
        <f>IF(OR(D191="",E191=""),"",IF(IFERROR(INDEX(Stats!$D:$D,MATCH($C191,Stats!$A:$A,0)),FALSE),ROUND(D191+(E191-D191)*(1+G191)*((9-1)/(MaxLevel-1))^(2^F191),0),D191+(E191-D191)*(1+G191)*((9-1)/(MaxLevel-1))^(2^F191)))</f>
        <v/>
      </c>
      <c r="Q191" s="12" t="str">
        <f>IF(OR(D191="",E191=""),"",IF(IFERROR(INDEX(Stats!$D:$D,MATCH($C191,Stats!$A:$A,0)),FALSE),ROUND(D191+(E191-D191)*(1+G191)*((10-1)/(MaxLevel-1))^(2^F191),0),D191+(E191-D191)*(1+G191)*((10-1)/(MaxLevel-1))^(2^F191)))</f>
        <v/>
      </c>
    </row>
    <row r="192" spans="1:17" x14ac:dyDescent="0.25">
      <c r="A192" s="4" t="s">
        <v>185</v>
      </c>
      <c r="B192" s="19" t="s">
        <v>225</v>
      </c>
      <c r="C192" s="4" t="s">
        <v>24</v>
      </c>
      <c r="D192" s="5">
        <v>0</v>
      </c>
      <c r="E192" s="5">
        <v>5000</v>
      </c>
      <c r="F192" s="5">
        <v>1</v>
      </c>
      <c r="G192" s="5">
        <v>0</v>
      </c>
      <c r="H192" s="12">
        <f>IF(OR(D192="",E192=""),"",IF(IFERROR(INDEX(Stats!$D:$D,MATCH($C192,Stats!$A:$A,0)),FALSE),ROUND(D192+(E192-D192)*(1+G192)*((1-1)/(MaxLevel-1))^(2^F192),0),D192+(E192-D192)*(1+G192)*((1-1)/(MaxLevel-1))^(2^F192)))</f>
        <v>0</v>
      </c>
      <c r="I192" s="12">
        <f>IF(OR(D192="",E192=""),"",IF(IFERROR(INDEX(Stats!$D:$D,MATCH($C192,Stats!$A:$A,0)),FALSE),ROUND(D192+(E192-D192)*(1+G192)*((2-1)/(MaxLevel-1))^(2^F192),0),D192+(E192-D192)*(1+G192)*((2-1)/(MaxLevel-1))^(2^F192)))</f>
        <v>62</v>
      </c>
      <c r="J192" s="12">
        <f>IF(OR(D192="",E192=""),"",IF(IFERROR(INDEX(Stats!$D:$D,MATCH($C192,Stats!$A:$A,0)),FALSE),ROUND(D192+(E192-D192)*(1+G192)*((3-1)/(MaxLevel-1))^(2^F192),0),D192+(E192-D192)*(1+G192)*((3-1)/(MaxLevel-1))^(2^F192)))</f>
        <v>247</v>
      </c>
      <c r="K192" s="12">
        <f>IF(OR(D192="",E192=""),"",IF(IFERROR(INDEX(Stats!$D:$D,MATCH($C192,Stats!$A:$A,0)),FALSE),ROUND(D192+(E192-D192)*(1+G192)*((4-1)/(MaxLevel-1))^(2^F192),0),D192+(E192-D192)*(1+G192)*((4-1)/(MaxLevel-1))^(2^F192)))</f>
        <v>556</v>
      </c>
      <c r="L192" s="12">
        <f>IF(OR(D192="",E192=""),"",IF(IFERROR(INDEX(Stats!$D:$D,MATCH($C192,Stats!$A:$A,0)),FALSE),ROUND(D192+(E192-D192)*(1+G192)*((5-1)/(MaxLevel-1))^(2^F192),0),D192+(E192-D192)*(1+G192)*((5-1)/(MaxLevel-1))^(2^F192)))</f>
        <v>988</v>
      </c>
      <c r="M192" s="12">
        <f>IF(OR(D192="",E192=""),"",IF(IFERROR(INDEX(Stats!$D:$D,MATCH($C192,Stats!$A:$A,0)),FALSE),ROUND(D192+(E192-D192)*(1+G192)*((6-1)/(MaxLevel-1))^(2^F192),0),D192+(E192-D192)*(1+G192)*((6-1)/(MaxLevel-1))^(2^F192)))</f>
        <v>1543</v>
      </c>
      <c r="N192" s="12">
        <f>IF(OR(D192="",E192=""),"",IF(IFERROR(INDEX(Stats!$D:$D,MATCH($C192,Stats!$A:$A,0)),FALSE),ROUND(D192+(E192-D192)*(1+G192)*((7-1)/(MaxLevel-1))^(2^F192),0),D192+(E192-D192)*(1+G192)*((7-1)/(MaxLevel-1))^(2^F192)))</f>
        <v>2222</v>
      </c>
      <c r="O192" s="12">
        <f>IF(OR(D192="",E192=""),"",IF(IFERROR(INDEX(Stats!$D:$D,MATCH($C192,Stats!$A:$A,0)),FALSE),ROUND(D192+(E192-D192)*(1+G192)*((8-1)/(MaxLevel-1))^(2^F192),0),D192+(E192-D192)*(1+G192)*((8-1)/(MaxLevel-1))^(2^F192)))</f>
        <v>3025</v>
      </c>
      <c r="P192" s="12">
        <f>IF(OR(D192="",E192=""),"",IF(IFERROR(INDEX(Stats!$D:$D,MATCH($C192,Stats!$A:$A,0)),FALSE),ROUND(D192+(E192-D192)*(1+G192)*((9-1)/(MaxLevel-1))^(2^F192),0),D192+(E192-D192)*(1+G192)*((9-1)/(MaxLevel-1))^(2^F192)))</f>
        <v>3951</v>
      </c>
      <c r="Q192" s="12">
        <f>IF(OR(D192="",E192=""),"",IF(IFERROR(INDEX(Stats!$D:$D,MATCH($C192,Stats!$A:$A,0)),FALSE),ROUND(D192+(E192-D192)*(1+G192)*((10-1)/(MaxLevel-1))^(2^F192),0),D192+(E192-D192)*(1+G192)*((10-1)/(MaxLevel-1))^(2^F192)))</f>
        <v>5000</v>
      </c>
    </row>
    <row r="193" spans="1:17" x14ac:dyDescent="0.25">
      <c r="A193" s="4" t="s">
        <v>185</v>
      </c>
      <c r="B193" s="19" t="s">
        <v>225</v>
      </c>
      <c r="C193" s="4" t="s">
        <v>26</v>
      </c>
      <c r="D193" s="5">
        <v>10</v>
      </c>
      <c r="E193" s="5">
        <v>80</v>
      </c>
      <c r="F193" s="5">
        <v>0</v>
      </c>
      <c r="G193" s="5">
        <v>0</v>
      </c>
      <c r="H193" s="12">
        <f>IF(OR(D193="",E193=""),"",IF(IFERROR(INDEX(Stats!$D:$D,MATCH($C193,Stats!$A:$A,0)),FALSE),ROUND(D193+(E193-D193)*(1+G193)*((1-1)/(MaxLevel-1))^(2^F193),0),D193+(E193-D193)*(1+G193)*((1-1)/(MaxLevel-1))^(2^F193)))</f>
        <v>10</v>
      </c>
      <c r="I193" s="12">
        <f>IF(OR(D193="",E193=""),"",IF(IFERROR(INDEX(Stats!$D:$D,MATCH($C193,Stats!$A:$A,0)),FALSE),ROUND(D193+(E193-D193)*(1+G193)*((2-1)/(MaxLevel-1))^(2^F193),0),D193+(E193-D193)*(1+G193)*((2-1)/(MaxLevel-1))^(2^F193)))</f>
        <v>18</v>
      </c>
      <c r="J193" s="12">
        <f>IF(OR(D193="",E193=""),"",IF(IFERROR(INDEX(Stats!$D:$D,MATCH($C193,Stats!$A:$A,0)),FALSE),ROUND(D193+(E193-D193)*(1+G193)*((3-1)/(MaxLevel-1))^(2^F193),0),D193+(E193-D193)*(1+G193)*((3-1)/(MaxLevel-1))^(2^F193)))</f>
        <v>26</v>
      </c>
      <c r="K193" s="12">
        <f>IF(OR(D193="",E193=""),"",IF(IFERROR(INDEX(Stats!$D:$D,MATCH($C193,Stats!$A:$A,0)),FALSE),ROUND(D193+(E193-D193)*(1+G193)*((4-1)/(MaxLevel-1))^(2^F193),0),D193+(E193-D193)*(1+G193)*((4-1)/(MaxLevel-1))^(2^F193)))</f>
        <v>33</v>
      </c>
      <c r="L193" s="12">
        <f>IF(OR(D193="",E193=""),"",IF(IFERROR(INDEX(Stats!$D:$D,MATCH($C193,Stats!$A:$A,0)),FALSE),ROUND(D193+(E193-D193)*(1+G193)*((5-1)/(MaxLevel-1))^(2^F193),0),D193+(E193-D193)*(1+G193)*((5-1)/(MaxLevel-1))^(2^F193)))</f>
        <v>41</v>
      </c>
      <c r="M193" s="12">
        <f>IF(OR(D193="",E193=""),"",IF(IFERROR(INDEX(Stats!$D:$D,MATCH($C193,Stats!$A:$A,0)),FALSE),ROUND(D193+(E193-D193)*(1+G193)*((6-1)/(MaxLevel-1))^(2^F193),0),D193+(E193-D193)*(1+G193)*((6-1)/(MaxLevel-1))^(2^F193)))</f>
        <v>49</v>
      </c>
      <c r="N193" s="12">
        <f>IF(OR(D193="",E193=""),"",IF(IFERROR(INDEX(Stats!$D:$D,MATCH($C193,Stats!$A:$A,0)),FALSE),ROUND(D193+(E193-D193)*(1+G193)*((7-1)/(MaxLevel-1))^(2^F193),0),D193+(E193-D193)*(1+G193)*((7-1)/(MaxLevel-1))^(2^F193)))</f>
        <v>57</v>
      </c>
      <c r="O193" s="12">
        <f>IF(OR(D193="",E193=""),"",IF(IFERROR(INDEX(Stats!$D:$D,MATCH($C193,Stats!$A:$A,0)),FALSE),ROUND(D193+(E193-D193)*(1+G193)*((8-1)/(MaxLevel-1))^(2^F193),0),D193+(E193-D193)*(1+G193)*((8-1)/(MaxLevel-1))^(2^F193)))</f>
        <v>64</v>
      </c>
      <c r="P193" s="12">
        <f>IF(OR(D193="",E193=""),"",IF(IFERROR(INDEX(Stats!$D:$D,MATCH($C193,Stats!$A:$A,0)),FALSE),ROUND(D193+(E193-D193)*(1+G193)*((9-1)/(MaxLevel-1))^(2^F193),0),D193+(E193-D193)*(1+G193)*((9-1)/(MaxLevel-1))^(2^F193)))</f>
        <v>72</v>
      </c>
      <c r="Q193" s="12">
        <f>IF(OR(D193="",E193=""),"",IF(IFERROR(INDEX(Stats!$D:$D,MATCH($C193,Stats!$A:$A,0)),FALSE),ROUND(D193+(E193-D193)*(1+G193)*((10-1)/(MaxLevel-1))^(2^F193),0),D193+(E193-D193)*(1+G193)*((10-1)/(MaxLevel-1))^(2^F193)))</f>
        <v>80</v>
      </c>
    </row>
    <row r="194" spans="1:17" x14ac:dyDescent="0.25">
      <c r="A194" s="4" t="s">
        <v>185</v>
      </c>
      <c r="B194" s="19" t="s">
        <v>225</v>
      </c>
      <c r="C194" s="4" t="s">
        <v>28</v>
      </c>
      <c r="D194" s="5">
        <v>80</v>
      </c>
      <c r="E194" s="5">
        <v>400</v>
      </c>
      <c r="F194" s="5">
        <v>-0.5</v>
      </c>
      <c r="G194" s="5">
        <v>0</v>
      </c>
      <c r="H194" s="12">
        <f>IF(OR(D194="",E194=""),"",IF(IFERROR(INDEX(Stats!$D:$D,MATCH($C194,Stats!$A:$A,0)),FALSE),ROUND(D194+(E194-D194)*(1+G194)*((1-1)/(MaxLevel-1))^(2^F194),0),D194+(E194-D194)*(1+G194)*((1-1)/(MaxLevel-1))^(2^F194)))</f>
        <v>80</v>
      </c>
      <c r="I194" s="12">
        <f>IF(OR(D194="",E194=""),"",IF(IFERROR(INDEX(Stats!$D:$D,MATCH($C194,Stats!$A:$A,0)),FALSE),ROUND(D194+(E194-D194)*(1+G194)*((2-1)/(MaxLevel-1))^(2^F194),0),D194+(E194-D194)*(1+G194)*((2-1)/(MaxLevel-1))^(2^F194)))</f>
        <v>148</v>
      </c>
      <c r="J194" s="12">
        <f>IF(OR(D194="",E194=""),"",IF(IFERROR(INDEX(Stats!$D:$D,MATCH($C194,Stats!$A:$A,0)),FALSE),ROUND(D194+(E194-D194)*(1+G194)*((3-1)/(MaxLevel-1))^(2^F194),0),D194+(E194-D194)*(1+G194)*((3-1)/(MaxLevel-1))^(2^F194)))</f>
        <v>190</v>
      </c>
      <c r="K194" s="12">
        <f>IF(OR(D194="",E194=""),"",IF(IFERROR(INDEX(Stats!$D:$D,MATCH($C194,Stats!$A:$A,0)),FALSE),ROUND(D194+(E194-D194)*(1+G194)*((4-1)/(MaxLevel-1))^(2^F194),0),D194+(E194-D194)*(1+G194)*((4-1)/(MaxLevel-1))^(2^F194)))</f>
        <v>227</v>
      </c>
      <c r="L194" s="12">
        <f>IF(OR(D194="",E194=""),"",IF(IFERROR(INDEX(Stats!$D:$D,MATCH($C194,Stats!$A:$A,0)),FALSE),ROUND(D194+(E194-D194)*(1+G194)*((5-1)/(MaxLevel-1))^(2^F194),0),D194+(E194-D194)*(1+G194)*((5-1)/(MaxLevel-1))^(2^F194)))</f>
        <v>260</v>
      </c>
      <c r="M194" s="12">
        <f>IF(OR(D194="",E194=""),"",IF(IFERROR(INDEX(Stats!$D:$D,MATCH($C194,Stats!$A:$A,0)),FALSE),ROUND(D194+(E194-D194)*(1+G194)*((6-1)/(MaxLevel-1))^(2^F194),0),D194+(E194-D194)*(1+G194)*((6-1)/(MaxLevel-1))^(2^F194)))</f>
        <v>291</v>
      </c>
      <c r="N194" s="12">
        <f>IF(OR(D194="",E194=""),"",IF(IFERROR(INDEX(Stats!$D:$D,MATCH($C194,Stats!$A:$A,0)),FALSE),ROUND(D194+(E194-D194)*(1+G194)*((7-1)/(MaxLevel-1))^(2^F194),0),D194+(E194-D194)*(1+G194)*((7-1)/(MaxLevel-1))^(2^F194)))</f>
        <v>320</v>
      </c>
      <c r="O194" s="12">
        <f>IF(OR(D194="",E194=""),"",IF(IFERROR(INDEX(Stats!$D:$D,MATCH($C194,Stats!$A:$A,0)),FALSE),ROUND(D194+(E194-D194)*(1+G194)*((8-1)/(MaxLevel-1))^(2^F194),0),D194+(E194-D194)*(1+G194)*((8-1)/(MaxLevel-1))^(2^F194)))</f>
        <v>348</v>
      </c>
      <c r="P194" s="12">
        <f>IF(OR(D194="",E194=""),"",IF(IFERROR(INDEX(Stats!$D:$D,MATCH($C194,Stats!$A:$A,0)),FALSE),ROUND(D194+(E194-D194)*(1+G194)*((9-1)/(MaxLevel-1))^(2^F194),0),D194+(E194-D194)*(1+G194)*((9-1)/(MaxLevel-1))^(2^F194)))</f>
        <v>374</v>
      </c>
      <c r="Q194" s="12">
        <f>IF(OR(D194="",E194=""),"",IF(IFERROR(INDEX(Stats!$D:$D,MATCH($C194,Stats!$A:$A,0)),FALSE),ROUND(D194+(E194-D194)*(1+G194)*((10-1)/(MaxLevel-1))^(2^F194),0),D194+(E194-D194)*(1+G194)*((10-1)/(MaxLevel-1))^(2^F194)))</f>
        <v>400</v>
      </c>
    </row>
    <row r="195" spans="1:17" x14ac:dyDescent="0.25">
      <c r="A195" s="4" t="s">
        <v>185</v>
      </c>
      <c r="B195" s="19" t="s">
        <v>225</v>
      </c>
      <c r="C195" s="4" t="s">
        <v>30</v>
      </c>
      <c r="D195" s="5"/>
      <c r="E195" s="5"/>
      <c r="F195" s="5"/>
      <c r="G195" s="5"/>
      <c r="H195" s="12" t="str">
        <f>IF(OR(D195="",E195=""),"",IF(IFERROR(INDEX(Stats!$D:$D,MATCH($C195,Stats!$A:$A,0)),FALSE),ROUND(D195+(E195-D195)*(1+G195)*((1-1)/(MaxLevel-1))^(2^F195),0),D195+(E195-D195)*(1+G195)*((1-1)/(MaxLevel-1))^(2^F195)))</f>
        <v/>
      </c>
      <c r="I195" s="12" t="str">
        <f>IF(OR(D195="",E195=""),"",IF(IFERROR(INDEX(Stats!$D:$D,MATCH($C195,Stats!$A:$A,0)),FALSE),ROUND(D195+(E195-D195)*(1+G195)*((2-1)/(MaxLevel-1))^(2^F195),0),D195+(E195-D195)*(1+G195)*((2-1)/(MaxLevel-1))^(2^F195)))</f>
        <v/>
      </c>
      <c r="J195" s="12" t="str">
        <f>IF(OR(D195="",E195=""),"",IF(IFERROR(INDEX(Stats!$D:$D,MATCH($C195,Stats!$A:$A,0)),FALSE),ROUND(D195+(E195-D195)*(1+G195)*((3-1)/(MaxLevel-1))^(2^F195),0),D195+(E195-D195)*(1+G195)*((3-1)/(MaxLevel-1))^(2^F195)))</f>
        <v/>
      </c>
      <c r="K195" s="12" t="str">
        <f>IF(OR(D195="",E195=""),"",IF(IFERROR(INDEX(Stats!$D:$D,MATCH($C195,Stats!$A:$A,0)),FALSE),ROUND(D195+(E195-D195)*(1+G195)*((4-1)/(MaxLevel-1))^(2^F195),0),D195+(E195-D195)*(1+G195)*((4-1)/(MaxLevel-1))^(2^F195)))</f>
        <v/>
      </c>
      <c r="L195" s="12" t="str">
        <f>IF(OR(D195="",E195=""),"",IF(IFERROR(INDEX(Stats!$D:$D,MATCH($C195,Stats!$A:$A,0)),FALSE),ROUND(D195+(E195-D195)*(1+G195)*((5-1)/(MaxLevel-1))^(2^F195),0),D195+(E195-D195)*(1+G195)*((5-1)/(MaxLevel-1))^(2^F195)))</f>
        <v/>
      </c>
      <c r="M195" s="12" t="str">
        <f>IF(OR(D195="",E195=""),"",IF(IFERROR(INDEX(Stats!$D:$D,MATCH($C195,Stats!$A:$A,0)),FALSE),ROUND(D195+(E195-D195)*(1+G195)*((6-1)/(MaxLevel-1))^(2^F195),0),D195+(E195-D195)*(1+G195)*((6-1)/(MaxLevel-1))^(2^F195)))</f>
        <v/>
      </c>
      <c r="N195" s="12" t="str">
        <f>IF(OR(D195="",E195=""),"",IF(IFERROR(INDEX(Stats!$D:$D,MATCH($C195,Stats!$A:$A,0)),FALSE),ROUND(D195+(E195-D195)*(1+G195)*((7-1)/(MaxLevel-1))^(2^F195),0),D195+(E195-D195)*(1+G195)*((7-1)/(MaxLevel-1))^(2^F195)))</f>
        <v/>
      </c>
      <c r="O195" s="12" t="str">
        <f>IF(OR(D195="",E195=""),"",IF(IFERROR(INDEX(Stats!$D:$D,MATCH($C195,Stats!$A:$A,0)),FALSE),ROUND(D195+(E195-D195)*(1+G195)*((8-1)/(MaxLevel-1))^(2^F195),0),D195+(E195-D195)*(1+G195)*((8-1)/(MaxLevel-1))^(2^F195)))</f>
        <v/>
      </c>
      <c r="P195" s="12" t="str">
        <f>IF(OR(D195="",E195=""),"",IF(IFERROR(INDEX(Stats!$D:$D,MATCH($C195,Stats!$A:$A,0)),FALSE),ROUND(D195+(E195-D195)*(1+G195)*((9-1)/(MaxLevel-1))^(2^F195),0),D195+(E195-D195)*(1+G195)*((9-1)/(MaxLevel-1))^(2^F195)))</f>
        <v/>
      </c>
      <c r="Q195" s="12" t="str">
        <f>IF(OR(D195="",E195=""),"",IF(IFERROR(INDEX(Stats!$D:$D,MATCH($C195,Stats!$A:$A,0)),FALSE),ROUND(D195+(E195-D195)*(1+G195)*((10-1)/(MaxLevel-1))^(2^F195),0),D195+(E195-D195)*(1+G195)*((10-1)/(MaxLevel-1))^(2^F195)))</f>
        <v/>
      </c>
    </row>
    <row r="196" spans="1:17" x14ac:dyDescent="0.25">
      <c r="A196" s="4" t="s">
        <v>185</v>
      </c>
      <c r="B196" s="19" t="s">
        <v>225</v>
      </c>
      <c r="C196" s="4" t="s">
        <v>32</v>
      </c>
      <c r="D196" s="5"/>
      <c r="E196" s="5"/>
      <c r="F196" s="5"/>
      <c r="G196" s="5"/>
      <c r="H196" s="12" t="str">
        <f>IF(OR(D196="",E196=""),"",IF(IFERROR(INDEX(Stats!$D:$D,MATCH($C196,Stats!$A:$A,0)),FALSE),ROUND(D196+(E196-D196)*(1+G196)*((1-1)/(MaxLevel-1))^(2^F196),0),D196+(E196-D196)*(1+G196)*((1-1)/(MaxLevel-1))^(2^F196)))</f>
        <v/>
      </c>
      <c r="I196" s="12" t="str">
        <f>IF(OR(D196="",E196=""),"",IF(IFERROR(INDEX(Stats!$D:$D,MATCH($C196,Stats!$A:$A,0)),FALSE),ROUND(D196+(E196-D196)*(1+G196)*((2-1)/(MaxLevel-1))^(2^F196),0),D196+(E196-D196)*(1+G196)*((2-1)/(MaxLevel-1))^(2^F196)))</f>
        <v/>
      </c>
      <c r="J196" s="12" t="str">
        <f>IF(OR(D196="",E196=""),"",IF(IFERROR(INDEX(Stats!$D:$D,MATCH($C196,Stats!$A:$A,0)),FALSE),ROUND(D196+(E196-D196)*(1+G196)*((3-1)/(MaxLevel-1))^(2^F196),0),D196+(E196-D196)*(1+G196)*((3-1)/(MaxLevel-1))^(2^F196)))</f>
        <v/>
      </c>
      <c r="K196" s="12" t="str">
        <f>IF(OR(D196="",E196=""),"",IF(IFERROR(INDEX(Stats!$D:$D,MATCH($C196,Stats!$A:$A,0)),FALSE),ROUND(D196+(E196-D196)*(1+G196)*((4-1)/(MaxLevel-1))^(2^F196),0),D196+(E196-D196)*(1+G196)*((4-1)/(MaxLevel-1))^(2^F196)))</f>
        <v/>
      </c>
      <c r="L196" s="12" t="str">
        <f>IF(OR(D196="",E196=""),"",IF(IFERROR(INDEX(Stats!$D:$D,MATCH($C196,Stats!$A:$A,0)),FALSE),ROUND(D196+(E196-D196)*(1+G196)*((5-1)/(MaxLevel-1))^(2^F196),0),D196+(E196-D196)*(1+G196)*((5-1)/(MaxLevel-1))^(2^F196)))</f>
        <v/>
      </c>
      <c r="M196" s="12" t="str">
        <f>IF(OR(D196="",E196=""),"",IF(IFERROR(INDEX(Stats!$D:$D,MATCH($C196,Stats!$A:$A,0)),FALSE),ROUND(D196+(E196-D196)*(1+G196)*((6-1)/(MaxLevel-1))^(2^F196),0),D196+(E196-D196)*(1+G196)*((6-1)/(MaxLevel-1))^(2^F196)))</f>
        <v/>
      </c>
      <c r="N196" s="12" t="str">
        <f>IF(OR(D196="",E196=""),"",IF(IFERROR(INDEX(Stats!$D:$D,MATCH($C196,Stats!$A:$A,0)),FALSE),ROUND(D196+(E196-D196)*(1+G196)*((7-1)/(MaxLevel-1))^(2^F196),0),D196+(E196-D196)*(1+G196)*((7-1)/(MaxLevel-1))^(2^F196)))</f>
        <v/>
      </c>
      <c r="O196" s="12" t="str">
        <f>IF(OR(D196="",E196=""),"",IF(IFERROR(INDEX(Stats!$D:$D,MATCH($C196,Stats!$A:$A,0)),FALSE),ROUND(D196+(E196-D196)*(1+G196)*((8-1)/(MaxLevel-1))^(2^F196),0),D196+(E196-D196)*(1+G196)*((8-1)/(MaxLevel-1))^(2^F196)))</f>
        <v/>
      </c>
      <c r="P196" s="12" t="str">
        <f>IF(OR(D196="",E196=""),"",IF(IFERROR(INDEX(Stats!$D:$D,MATCH($C196,Stats!$A:$A,0)),FALSE),ROUND(D196+(E196-D196)*(1+G196)*((9-1)/(MaxLevel-1))^(2^F196),0),D196+(E196-D196)*(1+G196)*((9-1)/(MaxLevel-1))^(2^F196)))</f>
        <v/>
      </c>
      <c r="Q196" s="12" t="str">
        <f>IF(OR(D196="",E196=""),"",IF(IFERROR(INDEX(Stats!$D:$D,MATCH($C196,Stats!$A:$A,0)),FALSE),ROUND(D196+(E196-D196)*(1+G196)*((10-1)/(MaxLevel-1))^(2^F196),0),D196+(E196-D196)*(1+G196)*((10-1)/(MaxLevel-1))^(2^F196)))</f>
        <v/>
      </c>
    </row>
    <row r="197" spans="1:17" x14ac:dyDescent="0.25">
      <c r="A197" s="4" t="s">
        <v>185</v>
      </c>
      <c r="B197" s="19" t="s">
        <v>225</v>
      </c>
      <c r="C197" s="4" t="s">
        <v>34</v>
      </c>
      <c r="D197" s="5"/>
      <c r="E197" s="5"/>
      <c r="F197" s="5"/>
      <c r="G197" s="5"/>
      <c r="H197" s="12" t="str">
        <f>IF(OR(D197="",E197=""),"",IF(IFERROR(INDEX(Stats!$D:$D,MATCH($C197,Stats!$A:$A,0)),FALSE),ROUND(D197+(E197-D197)*(1+G197)*((1-1)/(MaxLevel-1))^(2^F197),0),D197+(E197-D197)*(1+G197)*((1-1)/(MaxLevel-1))^(2^F197)))</f>
        <v/>
      </c>
      <c r="I197" s="12" t="str">
        <f>IF(OR(D197="",E197=""),"",IF(IFERROR(INDEX(Stats!$D:$D,MATCH($C197,Stats!$A:$A,0)),FALSE),ROUND(D197+(E197-D197)*(1+G197)*((2-1)/(MaxLevel-1))^(2^F197),0),D197+(E197-D197)*(1+G197)*((2-1)/(MaxLevel-1))^(2^F197)))</f>
        <v/>
      </c>
      <c r="J197" s="12" t="str">
        <f>IF(OR(D197="",E197=""),"",IF(IFERROR(INDEX(Stats!$D:$D,MATCH($C197,Stats!$A:$A,0)),FALSE),ROUND(D197+(E197-D197)*(1+G197)*((3-1)/(MaxLevel-1))^(2^F197),0),D197+(E197-D197)*(1+G197)*((3-1)/(MaxLevel-1))^(2^F197)))</f>
        <v/>
      </c>
      <c r="K197" s="12" t="str">
        <f>IF(OR(D197="",E197=""),"",IF(IFERROR(INDEX(Stats!$D:$D,MATCH($C197,Stats!$A:$A,0)),FALSE),ROUND(D197+(E197-D197)*(1+G197)*((4-1)/(MaxLevel-1))^(2^F197),0),D197+(E197-D197)*(1+G197)*((4-1)/(MaxLevel-1))^(2^F197)))</f>
        <v/>
      </c>
      <c r="L197" s="12" t="str">
        <f>IF(OR(D197="",E197=""),"",IF(IFERROR(INDEX(Stats!$D:$D,MATCH($C197,Stats!$A:$A,0)),FALSE),ROUND(D197+(E197-D197)*(1+G197)*((5-1)/(MaxLevel-1))^(2^F197),0),D197+(E197-D197)*(1+G197)*((5-1)/(MaxLevel-1))^(2^F197)))</f>
        <v/>
      </c>
      <c r="M197" s="12" t="str">
        <f>IF(OR(D197="",E197=""),"",IF(IFERROR(INDEX(Stats!$D:$D,MATCH($C197,Stats!$A:$A,0)),FALSE),ROUND(D197+(E197-D197)*(1+G197)*((6-1)/(MaxLevel-1))^(2^F197),0),D197+(E197-D197)*(1+G197)*((6-1)/(MaxLevel-1))^(2^F197)))</f>
        <v/>
      </c>
      <c r="N197" s="12" t="str">
        <f>IF(OR(D197="",E197=""),"",IF(IFERROR(INDEX(Stats!$D:$D,MATCH($C197,Stats!$A:$A,0)),FALSE),ROUND(D197+(E197-D197)*(1+G197)*((7-1)/(MaxLevel-1))^(2^F197),0),D197+(E197-D197)*(1+G197)*((7-1)/(MaxLevel-1))^(2^F197)))</f>
        <v/>
      </c>
      <c r="O197" s="12" t="str">
        <f>IF(OR(D197="",E197=""),"",IF(IFERROR(INDEX(Stats!$D:$D,MATCH($C197,Stats!$A:$A,0)),FALSE),ROUND(D197+(E197-D197)*(1+G197)*((8-1)/(MaxLevel-1))^(2^F197),0),D197+(E197-D197)*(1+G197)*((8-1)/(MaxLevel-1))^(2^F197)))</f>
        <v/>
      </c>
      <c r="P197" s="12" t="str">
        <f>IF(OR(D197="",E197=""),"",IF(IFERROR(INDEX(Stats!$D:$D,MATCH($C197,Stats!$A:$A,0)),FALSE),ROUND(D197+(E197-D197)*(1+G197)*((9-1)/(MaxLevel-1))^(2^F197),0),D197+(E197-D197)*(1+G197)*((9-1)/(MaxLevel-1))^(2^F197)))</f>
        <v/>
      </c>
      <c r="Q197" s="12" t="str">
        <f>IF(OR(D197="",E197=""),"",IF(IFERROR(INDEX(Stats!$D:$D,MATCH($C197,Stats!$A:$A,0)),FALSE),ROUND(D197+(E197-D197)*(1+G197)*((10-1)/(MaxLevel-1))^(2^F197),0),D197+(E197-D197)*(1+G197)*((10-1)/(MaxLevel-1))^(2^F197)))</f>
        <v/>
      </c>
    </row>
    <row r="198" spans="1:17" x14ac:dyDescent="0.25">
      <c r="A198" s="4" t="s">
        <v>185</v>
      </c>
      <c r="B198" s="19" t="s">
        <v>225</v>
      </c>
      <c r="C198" s="4" t="s">
        <v>36</v>
      </c>
      <c r="D198" s="5"/>
      <c r="E198" s="5"/>
      <c r="F198" s="5"/>
      <c r="G198" s="5"/>
      <c r="H198" s="12" t="str">
        <f>IF(OR(D198="",E198=""),"",IF(IFERROR(INDEX(Stats!$D:$D,MATCH($C198,Stats!$A:$A,0)),FALSE),ROUND(D198+(E198-D198)*(1+G198)*((1-1)/(MaxLevel-1))^(2^F198),0),D198+(E198-D198)*(1+G198)*((1-1)/(MaxLevel-1))^(2^F198)))</f>
        <v/>
      </c>
      <c r="I198" s="12" t="str">
        <f>IF(OR(D198="",E198=""),"",IF(IFERROR(INDEX(Stats!$D:$D,MATCH($C198,Stats!$A:$A,0)),FALSE),ROUND(D198+(E198-D198)*(1+G198)*((2-1)/(MaxLevel-1))^(2^F198),0),D198+(E198-D198)*(1+G198)*((2-1)/(MaxLevel-1))^(2^F198)))</f>
        <v/>
      </c>
      <c r="J198" s="12" t="str">
        <f>IF(OR(D198="",E198=""),"",IF(IFERROR(INDEX(Stats!$D:$D,MATCH($C198,Stats!$A:$A,0)),FALSE),ROUND(D198+(E198-D198)*(1+G198)*((3-1)/(MaxLevel-1))^(2^F198),0),D198+(E198-D198)*(1+G198)*((3-1)/(MaxLevel-1))^(2^F198)))</f>
        <v/>
      </c>
      <c r="K198" s="12" t="str">
        <f>IF(OR(D198="",E198=""),"",IF(IFERROR(INDEX(Stats!$D:$D,MATCH($C198,Stats!$A:$A,0)),FALSE),ROUND(D198+(E198-D198)*(1+G198)*((4-1)/(MaxLevel-1))^(2^F198),0),D198+(E198-D198)*(1+G198)*((4-1)/(MaxLevel-1))^(2^F198)))</f>
        <v/>
      </c>
      <c r="L198" s="12" t="str">
        <f>IF(OR(D198="",E198=""),"",IF(IFERROR(INDEX(Stats!$D:$D,MATCH($C198,Stats!$A:$A,0)),FALSE),ROUND(D198+(E198-D198)*(1+G198)*((5-1)/(MaxLevel-1))^(2^F198),0),D198+(E198-D198)*(1+G198)*((5-1)/(MaxLevel-1))^(2^F198)))</f>
        <v/>
      </c>
      <c r="M198" s="12" t="str">
        <f>IF(OR(D198="",E198=""),"",IF(IFERROR(INDEX(Stats!$D:$D,MATCH($C198,Stats!$A:$A,0)),FALSE),ROUND(D198+(E198-D198)*(1+G198)*((6-1)/(MaxLevel-1))^(2^F198),0),D198+(E198-D198)*(1+G198)*((6-1)/(MaxLevel-1))^(2^F198)))</f>
        <v/>
      </c>
      <c r="N198" s="12" t="str">
        <f>IF(OR(D198="",E198=""),"",IF(IFERROR(INDEX(Stats!$D:$D,MATCH($C198,Stats!$A:$A,0)),FALSE),ROUND(D198+(E198-D198)*(1+G198)*((7-1)/(MaxLevel-1))^(2^F198),0),D198+(E198-D198)*(1+G198)*((7-1)/(MaxLevel-1))^(2^F198)))</f>
        <v/>
      </c>
      <c r="O198" s="12" t="str">
        <f>IF(OR(D198="",E198=""),"",IF(IFERROR(INDEX(Stats!$D:$D,MATCH($C198,Stats!$A:$A,0)),FALSE),ROUND(D198+(E198-D198)*(1+G198)*((8-1)/(MaxLevel-1))^(2^F198),0),D198+(E198-D198)*(1+G198)*((8-1)/(MaxLevel-1))^(2^F198)))</f>
        <v/>
      </c>
      <c r="P198" s="12" t="str">
        <f>IF(OR(D198="",E198=""),"",IF(IFERROR(INDEX(Stats!$D:$D,MATCH($C198,Stats!$A:$A,0)),FALSE),ROUND(D198+(E198-D198)*(1+G198)*((9-1)/(MaxLevel-1))^(2^F198),0),D198+(E198-D198)*(1+G198)*((9-1)/(MaxLevel-1))^(2^F198)))</f>
        <v/>
      </c>
      <c r="Q198" s="12" t="str">
        <f>IF(OR(D198="",E198=""),"",IF(IFERROR(INDEX(Stats!$D:$D,MATCH($C198,Stats!$A:$A,0)),FALSE),ROUND(D198+(E198-D198)*(1+G198)*((10-1)/(MaxLevel-1))^(2^F198),0),D198+(E198-D198)*(1+G198)*((10-1)/(MaxLevel-1))^(2^F198)))</f>
        <v/>
      </c>
    </row>
    <row r="199" spans="1:17" x14ac:dyDescent="0.25">
      <c r="A199" s="4" t="s">
        <v>185</v>
      </c>
      <c r="B199" s="19" t="s">
        <v>225</v>
      </c>
      <c r="C199" s="4" t="s">
        <v>38</v>
      </c>
      <c r="D199" s="5">
        <v>1.5</v>
      </c>
      <c r="E199" s="5">
        <v>2</v>
      </c>
      <c r="F199" s="5">
        <v>-1</v>
      </c>
      <c r="G199" s="5">
        <v>0</v>
      </c>
      <c r="H199" s="12">
        <f>IF(OR(D199="",E199=""),"",IF(IFERROR(INDEX(Stats!$D:$D,MATCH($C199,Stats!$A:$A,0)),FALSE),ROUND(D199+(E199-D199)*(1+G199)*((1-1)/(MaxLevel-1))^(2^F199),0),D199+(E199-D199)*(1+G199)*((1-1)/(MaxLevel-1))^(2^F199)))</f>
        <v>1.5</v>
      </c>
      <c r="I199" s="12">
        <f>IF(OR(D199="",E199=""),"",IF(IFERROR(INDEX(Stats!$D:$D,MATCH($C199,Stats!$A:$A,0)),FALSE),ROUND(D199+(E199-D199)*(1+G199)*((2-1)/(MaxLevel-1))^(2^F199),0),D199+(E199-D199)*(1+G199)*((2-1)/(MaxLevel-1))^(2^F199)))</f>
        <v>1.6666666666666667</v>
      </c>
      <c r="J199" s="12">
        <f>IF(OR(D199="",E199=""),"",IF(IFERROR(INDEX(Stats!$D:$D,MATCH($C199,Stats!$A:$A,0)),FALSE),ROUND(D199+(E199-D199)*(1+G199)*((3-1)/(MaxLevel-1))^(2^F199),0),D199+(E199-D199)*(1+G199)*((3-1)/(MaxLevel-1))^(2^F199)))</f>
        <v>1.7357022603955159</v>
      </c>
      <c r="K199" s="12">
        <f>IF(OR(D199="",E199=""),"",IF(IFERROR(INDEX(Stats!$D:$D,MATCH($C199,Stats!$A:$A,0)),FALSE),ROUND(D199+(E199-D199)*(1+G199)*((4-1)/(MaxLevel-1))^(2^F199),0),D199+(E199-D199)*(1+G199)*((4-1)/(MaxLevel-1))^(2^F199)))</f>
        <v>1.7886751345948129</v>
      </c>
      <c r="L199" s="12">
        <f>IF(OR(D199="",E199=""),"",IF(IFERROR(INDEX(Stats!$D:$D,MATCH($C199,Stats!$A:$A,0)),FALSE),ROUND(D199+(E199-D199)*(1+G199)*((5-1)/(MaxLevel-1))^(2^F199),0),D199+(E199-D199)*(1+G199)*((5-1)/(MaxLevel-1))^(2^F199)))</f>
        <v>1.8333333333333333</v>
      </c>
      <c r="M199" s="12">
        <f>IF(OR(D199="",E199=""),"",IF(IFERROR(INDEX(Stats!$D:$D,MATCH($C199,Stats!$A:$A,0)),FALSE),ROUND(D199+(E199-D199)*(1+G199)*((6-1)/(MaxLevel-1))^(2^F199),0),D199+(E199-D199)*(1+G199)*((6-1)/(MaxLevel-1))^(2^F199)))</f>
        <v>1.8726779962499649</v>
      </c>
      <c r="N199" s="12">
        <f>IF(OR(D199="",E199=""),"",IF(IFERROR(INDEX(Stats!$D:$D,MATCH($C199,Stats!$A:$A,0)),FALSE),ROUND(D199+(E199-D199)*(1+G199)*((7-1)/(MaxLevel-1))^(2^F199),0),D199+(E199-D199)*(1+G199)*((7-1)/(MaxLevel-1))^(2^F199)))</f>
        <v>1.9082482904638631</v>
      </c>
      <c r="O199" s="12">
        <f>IF(OR(D199="",E199=""),"",IF(IFERROR(INDEX(Stats!$D:$D,MATCH($C199,Stats!$A:$A,0)),FALSE),ROUND(D199+(E199-D199)*(1+G199)*((8-1)/(MaxLevel-1))^(2^F199),0),D199+(E199-D199)*(1+G199)*((8-1)/(MaxLevel-1))^(2^F199)))</f>
        <v>1.9409585518440984</v>
      </c>
      <c r="P199" s="12">
        <f>IF(OR(D199="",E199=""),"",IF(IFERROR(INDEX(Stats!$D:$D,MATCH($C199,Stats!$A:$A,0)),FALSE),ROUND(D199+(E199-D199)*(1+G199)*((9-1)/(MaxLevel-1))^(2^F199),0),D199+(E199-D199)*(1+G199)*((9-1)/(MaxLevel-1))^(2^F199)))</f>
        <v>1.9714045207910318</v>
      </c>
      <c r="Q199" s="12">
        <f>IF(OR(D199="",E199=""),"",IF(IFERROR(INDEX(Stats!$D:$D,MATCH($C199,Stats!$A:$A,0)),FALSE),ROUND(D199+(E199-D199)*(1+G199)*((10-1)/(MaxLevel-1))^(2^F199),0),D199+(E199-D199)*(1+G199)*((10-1)/(MaxLevel-1))^(2^F199)))</f>
        <v>2</v>
      </c>
    </row>
    <row r="200" spans="1:17" x14ac:dyDescent="0.25">
      <c r="A200" s="4" t="s">
        <v>185</v>
      </c>
      <c r="B200" s="19" t="s">
        <v>225</v>
      </c>
      <c r="C200" s="4" t="s">
        <v>40</v>
      </c>
      <c r="D200" s="5">
        <v>20</v>
      </c>
      <c r="E200" s="5">
        <v>100</v>
      </c>
      <c r="F200" s="5">
        <v>1</v>
      </c>
      <c r="G200" s="5">
        <v>0.1</v>
      </c>
      <c r="H200" s="12">
        <f>IF(OR(D200="",E200=""),"",IF(IFERROR(INDEX(Stats!$D:$D,MATCH($C200,Stats!$A:$A,0)),FALSE),ROUND(D200+(E200-D200)*(1+G200)*((1-1)/(MaxLevel-1))^(2^F200),0),D200+(E200-D200)*(1+G200)*((1-1)/(MaxLevel-1))^(2^F200)))</f>
        <v>20</v>
      </c>
      <c r="I200" s="12">
        <f>IF(OR(D200="",E200=""),"",IF(IFERROR(INDEX(Stats!$D:$D,MATCH($C200,Stats!$A:$A,0)),FALSE),ROUND(D200+(E200-D200)*(1+G200)*((2-1)/(MaxLevel-1))^(2^F200),0),D200+(E200-D200)*(1+G200)*((2-1)/(MaxLevel-1))^(2^F200)))</f>
        <v>21</v>
      </c>
      <c r="J200" s="12">
        <f>IF(OR(D200="",E200=""),"",IF(IFERROR(INDEX(Stats!$D:$D,MATCH($C200,Stats!$A:$A,0)),FALSE),ROUND(D200+(E200-D200)*(1+G200)*((3-1)/(MaxLevel-1))^(2^F200),0),D200+(E200-D200)*(1+G200)*((3-1)/(MaxLevel-1))^(2^F200)))</f>
        <v>24</v>
      </c>
      <c r="K200" s="12">
        <f>IF(OR(D200="",E200=""),"",IF(IFERROR(INDEX(Stats!$D:$D,MATCH($C200,Stats!$A:$A,0)),FALSE),ROUND(D200+(E200-D200)*(1+G200)*((4-1)/(MaxLevel-1))^(2^F200),0),D200+(E200-D200)*(1+G200)*((4-1)/(MaxLevel-1))^(2^F200)))</f>
        <v>30</v>
      </c>
      <c r="L200" s="12">
        <f>IF(OR(D200="",E200=""),"",IF(IFERROR(INDEX(Stats!$D:$D,MATCH($C200,Stats!$A:$A,0)),FALSE),ROUND(D200+(E200-D200)*(1+G200)*((5-1)/(MaxLevel-1))^(2^F200),0),D200+(E200-D200)*(1+G200)*((5-1)/(MaxLevel-1))^(2^F200)))</f>
        <v>37</v>
      </c>
      <c r="M200" s="12">
        <f>IF(OR(D200="",E200=""),"",IF(IFERROR(INDEX(Stats!$D:$D,MATCH($C200,Stats!$A:$A,0)),FALSE),ROUND(D200+(E200-D200)*(1+G200)*((6-1)/(MaxLevel-1))^(2^F200),0),D200+(E200-D200)*(1+G200)*((6-1)/(MaxLevel-1))^(2^F200)))</f>
        <v>47</v>
      </c>
      <c r="N200" s="12">
        <f>IF(OR(D200="",E200=""),"",IF(IFERROR(INDEX(Stats!$D:$D,MATCH($C200,Stats!$A:$A,0)),FALSE),ROUND(D200+(E200-D200)*(1+G200)*((7-1)/(MaxLevel-1))^(2^F200),0),D200+(E200-D200)*(1+G200)*((7-1)/(MaxLevel-1))^(2^F200)))</f>
        <v>59</v>
      </c>
      <c r="O200" s="12">
        <f>IF(OR(D200="",E200=""),"",IF(IFERROR(INDEX(Stats!$D:$D,MATCH($C200,Stats!$A:$A,0)),FALSE),ROUND(D200+(E200-D200)*(1+G200)*((8-1)/(MaxLevel-1))^(2^F200),0),D200+(E200-D200)*(1+G200)*((8-1)/(MaxLevel-1))^(2^F200)))</f>
        <v>73</v>
      </c>
      <c r="P200" s="12">
        <f>IF(OR(D200="",E200=""),"",IF(IFERROR(INDEX(Stats!$D:$D,MATCH($C200,Stats!$A:$A,0)),FALSE),ROUND(D200+(E200-D200)*(1+G200)*((9-1)/(MaxLevel-1))^(2^F200),0),D200+(E200-D200)*(1+G200)*((9-1)/(MaxLevel-1))^(2^F200)))</f>
        <v>90</v>
      </c>
      <c r="Q200" s="12">
        <f>IF(OR(D200="",E200=""),"",IF(IFERROR(INDEX(Stats!$D:$D,MATCH($C200,Stats!$A:$A,0)),FALSE),ROUND(D200+(E200-D200)*(1+G200)*((10-1)/(MaxLevel-1))^(2^F200),0),D200+(E200-D200)*(1+G200)*((10-1)/(MaxLevel-1))^(2^F200)))</f>
        <v>108</v>
      </c>
    </row>
    <row r="201" spans="1:17" x14ac:dyDescent="0.25">
      <c r="A201" s="4" t="s">
        <v>185</v>
      </c>
      <c r="B201" s="19" t="s">
        <v>225</v>
      </c>
      <c r="C201" s="4" t="s">
        <v>42</v>
      </c>
      <c r="D201" s="5"/>
      <c r="E201" s="5"/>
      <c r="F201" s="5"/>
      <c r="G201" s="5"/>
      <c r="H201" s="12" t="str">
        <f>IF(OR(D201="",E201=""),"",IF(IFERROR(INDEX(Stats!$D:$D,MATCH($C201,Stats!$A:$A,0)),FALSE),ROUND(D201+(E201-D201)*(1+G201)*((1-1)/(MaxLevel-1))^(2^F201),0),D201+(E201-D201)*(1+G201)*((1-1)/(MaxLevel-1))^(2^F201)))</f>
        <v/>
      </c>
      <c r="I201" s="12" t="str">
        <f>IF(OR(D201="",E201=""),"",IF(IFERROR(INDEX(Stats!$D:$D,MATCH($C201,Stats!$A:$A,0)),FALSE),ROUND(D201+(E201-D201)*(1+G201)*((2-1)/(MaxLevel-1))^(2^F201),0),D201+(E201-D201)*(1+G201)*((2-1)/(MaxLevel-1))^(2^F201)))</f>
        <v/>
      </c>
      <c r="J201" s="12" t="str">
        <f>IF(OR(D201="",E201=""),"",IF(IFERROR(INDEX(Stats!$D:$D,MATCH($C201,Stats!$A:$A,0)),FALSE),ROUND(D201+(E201-D201)*(1+G201)*((3-1)/(MaxLevel-1))^(2^F201),0),D201+(E201-D201)*(1+G201)*((3-1)/(MaxLevel-1))^(2^F201)))</f>
        <v/>
      </c>
      <c r="K201" s="12" t="str">
        <f>IF(OR(D201="",E201=""),"",IF(IFERROR(INDEX(Stats!$D:$D,MATCH($C201,Stats!$A:$A,0)),FALSE),ROUND(D201+(E201-D201)*(1+G201)*((4-1)/(MaxLevel-1))^(2^F201),0),D201+(E201-D201)*(1+G201)*((4-1)/(MaxLevel-1))^(2^F201)))</f>
        <v/>
      </c>
      <c r="L201" s="12" t="str">
        <f>IF(OR(D201="",E201=""),"",IF(IFERROR(INDEX(Stats!$D:$D,MATCH($C201,Stats!$A:$A,0)),FALSE),ROUND(D201+(E201-D201)*(1+G201)*((5-1)/(MaxLevel-1))^(2^F201),0),D201+(E201-D201)*(1+G201)*((5-1)/(MaxLevel-1))^(2^F201)))</f>
        <v/>
      </c>
      <c r="M201" s="12" t="str">
        <f>IF(OR(D201="",E201=""),"",IF(IFERROR(INDEX(Stats!$D:$D,MATCH($C201,Stats!$A:$A,0)),FALSE),ROUND(D201+(E201-D201)*(1+G201)*((6-1)/(MaxLevel-1))^(2^F201),0),D201+(E201-D201)*(1+G201)*((6-1)/(MaxLevel-1))^(2^F201)))</f>
        <v/>
      </c>
      <c r="N201" s="12" t="str">
        <f>IF(OR(D201="",E201=""),"",IF(IFERROR(INDEX(Stats!$D:$D,MATCH($C201,Stats!$A:$A,0)),FALSE),ROUND(D201+(E201-D201)*(1+G201)*((7-1)/(MaxLevel-1))^(2^F201),0),D201+(E201-D201)*(1+G201)*((7-1)/(MaxLevel-1))^(2^F201)))</f>
        <v/>
      </c>
      <c r="O201" s="12" t="str">
        <f>IF(OR(D201="",E201=""),"",IF(IFERROR(INDEX(Stats!$D:$D,MATCH($C201,Stats!$A:$A,0)),FALSE),ROUND(D201+(E201-D201)*(1+G201)*((8-1)/(MaxLevel-1))^(2^F201),0),D201+(E201-D201)*(1+G201)*((8-1)/(MaxLevel-1))^(2^F201)))</f>
        <v/>
      </c>
      <c r="P201" s="12" t="str">
        <f>IF(OR(D201="",E201=""),"",IF(IFERROR(INDEX(Stats!$D:$D,MATCH($C201,Stats!$A:$A,0)),FALSE),ROUND(D201+(E201-D201)*(1+G201)*((9-1)/(MaxLevel-1))^(2^F201),0),D201+(E201-D201)*(1+G201)*((9-1)/(MaxLevel-1))^(2^F201)))</f>
        <v/>
      </c>
      <c r="Q201" s="12" t="str">
        <f>IF(OR(D201="",E201=""),"",IF(IFERROR(INDEX(Stats!$D:$D,MATCH($C201,Stats!$A:$A,0)),FALSE),ROUND(D201+(E201-D201)*(1+G201)*((10-1)/(MaxLevel-1))^(2^F201),0),D201+(E201-D201)*(1+G201)*((10-1)/(MaxLevel-1))^(2^F201)))</f>
        <v/>
      </c>
    </row>
    <row r="202" spans="1:17" x14ac:dyDescent="0.25">
      <c r="A202" s="4" t="s">
        <v>185</v>
      </c>
      <c r="B202" s="19" t="s">
        <v>225</v>
      </c>
      <c r="C202" s="4" t="s">
        <v>44</v>
      </c>
      <c r="D202" s="5"/>
      <c r="E202" s="5"/>
      <c r="F202" s="5"/>
      <c r="G202" s="5"/>
      <c r="H202" s="12" t="str">
        <f>IF(OR(D202="",E202=""),"",IF(IFERROR(INDEX(Stats!$D:$D,MATCH($C202,Stats!$A:$A,0)),FALSE),ROUND(D202+(E202-D202)*(1+G202)*((1-1)/(MaxLevel-1))^(2^F202),0),D202+(E202-D202)*(1+G202)*((1-1)/(MaxLevel-1))^(2^F202)))</f>
        <v/>
      </c>
      <c r="I202" s="12" t="str">
        <f>IF(OR(D202="",E202=""),"",IF(IFERROR(INDEX(Stats!$D:$D,MATCH($C202,Stats!$A:$A,0)),FALSE),ROUND(D202+(E202-D202)*(1+G202)*((2-1)/(MaxLevel-1))^(2^F202),0),D202+(E202-D202)*(1+G202)*((2-1)/(MaxLevel-1))^(2^F202)))</f>
        <v/>
      </c>
      <c r="J202" s="12" t="str">
        <f>IF(OR(D202="",E202=""),"",IF(IFERROR(INDEX(Stats!$D:$D,MATCH($C202,Stats!$A:$A,0)),FALSE),ROUND(D202+(E202-D202)*(1+G202)*((3-1)/(MaxLevel-1))^(2^F202),0),D202+(E202-D202)*(1+G202)*((3-1)/(MaxLevel-1))^(2^F202)))</f>
        <v/>
      </c>
      <c r="K202" s="12" t="str">
        <f>IF(OR(D202="",E202=""),"",IF(IFERROR(INDEX(Stats!$D:$D,MATCH($C202,Stats!$A:$A,0)),FALSE),ROUND(D202+(E202-D202)*(1+G202)*((4-1)/(MaxLevel-1))^(2^F202),0),D202+(E202-D202)*(1+G202)*((4-1)/(MaxLevel-1))^(2^F202)))</f>
        <v/>
      </c>
      <c r="L202" s="12" t="str">
        <f>IF(OR(D202="",E202=""),"",IF(IFERROR(INDEX(Stats!$D:$D,MATCH($C202,Stats!$A:$A,0)),FALSE),ROUND(D202+(E202-D202)*(1+G202)*((5-1)/(MaxLevel-1))^(2^F202),0),D202+(E202-D202)*(1+G202)*((5-1)/(MaxLevel-1))^(2^F202)))</f>
        <v/>
      </c>
      <c r="M202" s="12" t="str">
        <f>IF(OR(D202="",E202=""),"",IF(IFERROR(INDEX(Stats!$D:$D,MATCH($C202,Stats!$A:$A,0)),FALSE),ROUND(D202+(E202-D202)*(1+G202)*((6-1)/(MaxLevel-1))^(2^F202),0),D202+(E202-D202)*(1+G202)*((6-1)/(MaxLevel-1))^(2^F202)))</f>
        <v/>
      </c>
      <c r="N202" s="12" t="str">
        <f>IF(OR(D202="",E202=""),"",IF(IFERROR(INDEX(Stats!$D:$D,MATCH($C202,Stats!$A:$A,0)),FALSE),ROUND(D202+(E202-D202)*(1+G202)*((7-1)/(MaxLevel-1))^(2^F202),0),D202+(E202-D202)*(1+G202)*((7-1)/(MaxLevel-1))^(2^F202)))</f>
        <v/>
      </c>
      <c r="O202" s="12" t="str">
        <f>IF(OR(D202="",E202=""),"",IF(IFERROR(INDEX(Stats!$D:$D,MATCH($C202,Stats!$A:$A,0)),FALSE),ROUND(D202+(E202-D202)*(1+G202)*((8-1)/(MaxLevel-1))^(2^F202),0),D202+(E202-D202)*(1+G202)*((8-1)/(MaxLevel-1))^(2^F202)))</f>
        <v/>
      </c>
      <c r="P202" s="12" t="str">
        <f>IF(OR(D202="",E202=""),"",IF(IFERROR(INDEX(Stats!$D:$D,MATCH($C202,Stats!$A:$A,0)),FALSE),ROUND(D202+(E202-D202)*(1+G202)*((9-1)/(MaxLevel-1))^(2^F202),0),D202+(E202-D202)*(1+G202)*((9-1)/(MaxLevel-1))^(2^F202)))</f>
        <v/>
      </c>
      <c r="Q202" s="12" t="str">
        <f>IF(OR(D202="",E202=""),"",IF(IFERROR(INDEX(Stats!$D:$D,MATCH($C202,Stats!$A:$A,0)),FALSE),ROUND(D202+(E202-D202)*(1+G202)*((10-1)/(MaxLevel-1))^(2^F202),0),D202+(E202-D202)*(1+G202)*((10-1)/(MaxLevel-1))^(2^F202)))</f>
        <v/>
      </c>
    </row>
    <row r="203" spans="1:17" x14ac:dyDescent="0.25">
      <c r="A203" s="4" t="s">
        <v>185</v>
      </c>
      <c r="B203" s="19" t="s">
        <v>225</v>
      </c>
      <c r="C203" s="4" t="s">
        <v>46</v>
      </c>
      <c r="D203" s="5"/>
      <c r="E203" s="5"/>
      <c r="F203" s="5"/>
      <c r="G203" s="5"/>
      <c r="H203" s="12" t="str">
        <f>IF(OR(D203="",E203=""),"",IF(IFERROR(INDEX(Stats!$D:$D,MATCH($C203,Stats!$A:$A,0)),FALSE),ROUND(D203+(E203-D203)*(1+G203)*((1-1)/(MaxLevel-1))^(2^F203),0),D203+(E203-D203)*(1+G203)*((1-1)/(MaxLevel-1))^(2^F203)))</f>
        <v/>
      </c>
      <c r="I203" s="12" t="str">
        <f>IF(OR(D203="",E203=""),"",IF(IFERROR(INDEX(Stats!$D:$D,MATCH($C203,Stats!$A:$A,0)),FALSE),ROUND(D203+(E203-D203)*(1+G203)*((2-1)/(MaxLevel-1))^(2^F203),0),D203+(E203-D203)*(1+G203)*((2-1)/(MaxLevel-1))^(2^F203)))</f>
        <v/>
      </c>
      <c r="J203" s="12" t="str">
        <f>IF(OR(D203="",E203=""),"",IF(IFERROR(INDEX(Stats!$D:$D,MATCH($C203,Stats!$A:$A,0)),FALSE),ROUND(D203+(E203-D203)*(1+G203)*((3-1)/(MaxLevel-1))^(2^F203),0),D203+(E203-D203)*(1+G203)*((3-1)/(MaxLevel-1))^(2^F203)))</f>
        <v/>
      </c>
      <c r="K203" s="12" t="str">
        <f>IF(OR(D203="",E203=""),"",IF(IFERROR(INDEX(Stats!$D:$D,MATCH($C203,Stats!$A:$A,0)),FALSE),ROUND(D203+(E203-D203)*(1+G203)*((4-1)/(MaxLevel-1))^(2^F203),0),D203+(E203-D203)*(1+G203)*((4-1)/(MaxLevel-1))^(2^F203)))</f>
        <v/>
      </c>
      <c r="L203" s="12" t="str">
        <f>IF(OR(D203="",E203=""),"",IF(IFERROR(INDEX(Stats!$D:$D,MATCH($C203,Stats!$A:$A,0)),FALSE),ROUND(D203+(E203-D203)*(1+G203)*((5-1)/(MaxLevel-1))^(2^F203),0),D203+(E203-D203)*(1+G203)*((5-1)/(MaxLevel-1))^(2^F203)))</f>
        <v/>
      </c>
      <c r="M203" s="12" t="str">
        <f>IF(OR(D203="",E203=""),"",IF(IFERROR(INDEX(Stats!$D:$D,MATCH($C203,Stats!$A:$A,0)),FALSE),ROUND(D203+(E203-D203)*(1+G203)*((6-1)/(MaxLevel-1))^(2^F203),0),D203+(E203-D203)*(1+G203)*((6-1)/(MaxLevel-1))^(2^F203)))</f>
        <v/>
      </c>
      <c r="N203" s="12" t="str">
        <f>IF(OR(D203="",E203=""),"",IF(IFERROR(INDEX(Stats!$D:$D,MATCH($C203,Stats!$A:$A,0)),FALSE),ROUND(D203+(E203-D203)*(1+G203)*((7-1)/(MaxLevel-1))^(2^F203),0),D203+(E203-D203)*(1+G203)*((7-1)/(MaxLevel-1))^(2^F203)))</f>
        <v/>
      </c>
      <c r="O203" s="12" t="str">
        <f>IF(OR(D203="",E203=""),"",IF(IFERROR(INDEX(Stats!$D:$D,MATCH($C203,Stats!$A:$A,0)),FALSE),ROUND(D203+(E203-D203)*(1+G203)*((8-1)/(MaxLevel-1))^(2^F203),0),D203+(E203-D203)*(1+G203)*((8-1)/(MaxLevel-1))^(2^F203)))</f>
        <v/>
      </c>
      <c r="P203" s="12" t="str">
        <f>IF(OR(D203="",E203=""),"",IF(IFERROR(INDEX(Stats!$D:$D,MATCH($C203,Stats!$A:$A,0)),FALSE),ROUND(D203+(E203-D203)*(1+G203)*((9-1)/(MaxLevel-1))^(2^F203),0),D203+(E203-D203)*(1+G203)*((9-1)/(MaxLevel-1))^(2^F203)))</f>
        <v/>
      </c>
      <c r="Q203" s="12" t="str">
        <f>IF(OR(D203="",E203=""),"",IF(IFERROR(INDEX(Stats!$D:$D,MATCH($C203,Stats!$A:$A,0)),FALSE),ROUND(D203+(E203-D203)*(1+G203)*((10-1)/(MaxLevel-1))^(2^F203),0),D203+(E203-D203)*(1+G203)*((10-1)/(MaxLevel-1))^(2^F203)))</f>
        <v/>
      </c>
    </row>
    <row r="204" spans="1:17" x14ac:dyDescent="0.25">
      <c r="A204" s="4" t="s">
        <v>185</v>
      </c>
      <c r="B204" s="19" t="s">
        <v>225</v>
      </c>
      <c r="C204" s="4" t="s">
        <v>48</v>
      </c>
      <c r="D204" s="5"/>
      <c r="E204" s="5"/>
      <c r="F204" s="5"/>
      <c r="G204" s="5"/>
      <c r="H204" s="12" t="str">
        <f>IF(OR(D204="",E204=""),"",IF(IFERROR(INDEX(Stats!$D:$D,MATCH($C204,Stats!$A:$A,0)),FALSE),ROUND(D204+(E204-D204)*(1+G204)*((1-1)/(MaxLevel-1))^(2^F204),0),D204+(E204-D204)*(1+G204)*((1-1)/(MaxLevel-1))^(2^F204)))</f>
        <v/>
      </c>
      <c r="I204" s="12" t="str">
        <f>IF(OR(D204="",E204=""),"",IF(IFERROR(INDEX(Stats!$D:$D,MATCH($C204,Stats!$A:$A,0)),FALSE),ROUND(D204+(E204-D204)*(1+G204)*((2-1)/(MaxLevel-1))^(2^F204),0),D204+(E204-D204)*(1+G204)*((2-1)/(MaxLevel-1))^(2^F204)))</f>
        <v/>
      </c>
      <c r="J204" s="12" t="str">
        <f>IF(OR(D204="",E204=""),"",IF(IFERROR(INDEX(Stats!$D:$D,MATCH($C204,Stats!$A:$A,0)),FALSE),ROUND(D204+(E204-D204)*(1+G204)*((3-1)/(MaxLevel-1))^(2^F204),0),D204+(E204-D204)*(1+G204)*((3-1)/(MaxLevel-1))^(2^F204)))</f>
        <v/>
      </c>
      <c r="K204" s="12" t="str">
        <f>IF(OR(D204="",E204=""),"",IF(IFERROR(INDEX(Stats!$D:$D,MATCH($C204,Stats!$A:$A,0)),FALSE),ROUND(D204+(E204-D204)*(1+G204)*((4-1)/(MaxLevel-1))^(2^F204),0),D204+(E204-D204)*(1+G204)*((4-1)/(MaxLevel-1))^(2^F204)))</f>
        <v/>
      </c>
      <c r="L204" s="12" t="str">
        <f>IF(OR(D204="",E204=""),"",IF(IFERROR(INDEX(Stats!$D:$D,MATCH($C204,Stats!$A:$A,0)),FALSE),ROUND(D204+(E204-D204)*(1+G204)*((5-1)/(MaxLevel-1))^(2^F204),0),D204+(E204-D204)*(1+G204)*((5-1)/(MaxLevel-1))^(2^F204)))</f>
        <v/>
      </c>
      <c r="M204" s="12" t="str">
        <f>IF(OR(D204="",E204=""),"",IF(IFERROR(INDEX(Stats!$D:$D,MATCH($C204,Stats!$A:$A,0)),FALSE),ROUND(D204+(E204-D204)*(1+G204)*((6-1)/(MaxLevel-1))^(2^F204),0),D204+(E204-D204)*(1+G204)*((6-1)/(MaxLevel-1))^(2^F204)))</f>
        <v/>
      </c>
      <c r="N204" s="12" t="str">
        <f>IF(OR(D204="",E204=""),"",IF(IFERROR(INDEX(Stats!$D:$D,MATCH($C204,Stats!$A:$A,0)),FALSE),ROUND(D204+(E204-D204)*(1+G204)*((7-1)/(MaxLevel-1))^(2^F204),0),D204+(E204-D204)*(1+G204)*((7-1)/(MaxLevel-1))^(2^F204)))</f>
        <v/>
      </c>
      <c r="O204" s="12" t="str">
        <f>IF(OR(D204="",E204=""),"",IF(IFERROR(INDEX(Stats!$D:$D,MATCH($C204,Stats!$A:$A,0)),FALSE),ROUND(D204+(E204-D204)*(1+G204)*((8-1)/(MaxLevel-1))^(2^F204),0),D204+(E204-D204)*(1+G204)*((8-1)/(MaxLevel-1))^(2^F204)))</f>
        <v/>
      </c>
      <c r="P204" s="12" t="str">
        <f>IF(OR(D204="",E204=""),"",IF(IFERROR(INDEX(Stats!$D:$D,MATCH($C204,Stats!$A:$A,0)),FALSE),ROUND(D204+(E204-D204)*(1+G204)*((9-1)/(MaxLevel-1))^(2^F204),0),D204+(E204-D204)*(1+G204)*((9-1)/(MaxLevel-1))^(2^F204)))</f>
        <v/>
      </c>
      <c r="Q204" s="12" t="str">
        <f>IF(OR(D204="",E204=""),"",IF(IFERROR(INDEX(Stats!$D:$D,MATCH($C204,Stats!$A:$A,0)),FALSE),ROUND(D204+(E204-D204)*(1+G204)*((10-1)/(MaxLevel-1))^(2^F204),0),D204+(E204-D204)*(1+G204)*((10-1)/(MaxLevel-1))^(2^F204)))</f>
        <v/>
      </c>
    </row>
    <row r="205" spans="1:17" x14ac:dyDescent="0.25">
      <c r="A205" s="4" t="s">
        <v>185</v>
      </c>
      <c r="B205" s="19" t="s">
        <v>225</v>
      </c>
      <c r="C205" s="4" t="s">
        <v>50</v>
      </c>
      <c r="D205" s="5"/>
      <c r="E205" s="5"/>
      <c r="F205" s="5"/>
      <c r="G205" s="5"/>
      <c r="H205" s="12" t="str">
        <f>IF(OR(D205="",E205=""),"",IF(IFERROR(INDEX(Stats!$D:$D,MATCH($C205,Stats!$A:$A,0)),FALSE),ROUND(D205+(E205-D205)*(1+G205)*((1-1)/(MaxLevel-1))^(2^F205),0),D205+(E205-D205)*(1+G205)*((1-1)/(MaxLevel-1))^(2^F205)))</f>
        <v/>
      </c>
      <c r="I205" s="12" t="str">
        <f>IF(OR(D205="",E205=""),"",IF(IFERROR(INDEX(Stats!$D:$D,MATCH($C205,Stats!$A:$A,0)),FALSE),ROUND(D205+(E205-D205)*(1+G205)*((2-1)/(MaxLevel-1))^(2^F205),0),D205+(E205-D205)*(1+G205)*((2-1)/(MaxLevel-1))^(2^F205)))</f>
        <v/>
      </c>
      <c r="J205" s="12" t="str">
        <f>IF(OR(D205="",E205=""),"",IF(IFERROR(INDEX(Stats!$D:$D,MATCH($C205,Stats!$A:$A,0)),FALSE),ROUND(D205+(E205-D205)*(1+G205)*((3-1)/(MaxLevel-1))^(2^F205),0),D205+(E205-D205)*(1+G205)*((3-1)/(MaxLevel-1))^(2^F205)))</f>
        <v/>
      </c>
      <c r="K205" s="12" t="str">
        <f>IF(OR(D205="",E205=""),"",IF(IFERROR(INDEX(Stats!$D:$D,MATCH($C205,Stats!$A:$A,0)),FALSE),ROUND(D205+(E205-D205)*(1+G205)*((4-1)/(MaxLevel-1))^(2^F205),0),D205+(E205-D205)*(1+G205)*((4-1)/(MaxLevel-1))^(2^F205)))</f>
        <v/>
      </c>
      <c r="L205" s="12" t="str">
        <f>IF(OR(D205="",E205=""),"",IF(IFERROR(INDEX(Stats!$D:$D,MATCH($C205,Stats!$A:$A,0)),FALSE),ROUND(D205+(E205-D205)*(1+G205)*((5-1)/(MaxLevel-1))^(2^F205),0),D205+(E205-D205)*(1+G205)*((5-1)/(MaxLevel-1))^(2^F205)))</f>
        <v/>
      </c>
      <c r="M205" s="12" t="str">
        <f>IF(OR(D205="",E205=""),"",IF(IFERROR(INDEX(Stats!$D:$D,MATCH($C205,Stats!$A:$A,0)),FALSE),ROUND(D205+(E205-D205)*(1+G205)*((6-1)/(MaxLevel-1))^(2^F205),0),D205+(E205-D205)*(1+G205)*((6-1)/(MaxLevel-1))^(2^F205)))</f>
        <v/>
      </c>
      <c r="N205" s="12" t="str">
        <f>IF(OR(D205="",E205=""),"",IF(IFERROR(INDEX(Stats!$D:$D,MATCH($C205,Stats!$A:$A,0)),FALSE),ROUND(D205+(E205-D205)*(1+G205)*((7-1)/(MaxLevel-1))^(2^F205),0),D205+(E205-D205)*(1+G205)*((7-1)/(MaxLevel-1))^(2^F205)))</f>
        <v/>
      </c>
      <c r="O205" s="12" t="str">
        <f>IF(OR(D205="",E205=""),"",IF(IFERROR(INDEX(Stats!$D:$D,MATCH($C205,Stats!$A:$A,0)),FALSE),ROUND(D205+(E205-D205)*(1+G205)*((8-1)/(MaxLevel-1))^(2^F205),0),D205+(E205-D205)*(1+G205)*((8-1)/(MaxLevel-1))^(2^F205)))</f>
        <v/>
      </c>
      <c r="P205" s="12" t="str">
        <f>IF(OR(D205="",E205=""),"",IF(IFERROR(INDEX(Stats!$D:$D,MATCH($C205,Stats!$A:$A,0)),FALSE),ROUND(D205+(E205-D205)*(1+G205)*((9-1)/(MaxLevel-1))^(2^F205),0),D205+(E205-D205)*(1+G205)*((9-1)/(MaxLevel-1))^(2^F205)))</f>
        <v/>
      </c>
      <c r="Q205" s="12" t="str">
        <f>IF(OR(D205="",E205=""),"",IF(IFERROR(INDEX(Stats!$D:$D,MATCH($C205,Stats!$A:$A,0)),FALSE),ROUND(D205+(E205-D205)*(1+G205)*((10-1)/(MaxLevel-1))^(2^F205),0),D205+(E205-D205)*(1+G205)*((10-1)/(MaxLevel-1))^(2^F205)))</f>
        <v/>
      </c>
    </row>
    <row r="206" spans="1:17" x14ac:dyDescent="0.25">
      <c r="A206" s="4" t="s">
        <v>185</v>
      </c>
      <c r="B206" s="19" t="s">
        <v>225</v>
      </c>
      <c r="C206" s="4" t="s">
        <v>52</v>
      </c>
      <c r="D206" s="5"/>
      <c r="E206" s="5"/>
      <c r="F206" s="5"/>
      <c r="G206" s="5"/>
      <c r="H206" s="12" t="str">
        <f>IF(OR(D206="",E206=""),"",IF(IFERROR(INDEX(Stats!$D:$D,MATCH($C206,Stats!$A:$A,0)),FALSE),ROUND(D206+(E206-D206)*(1+G206)*((1-1)/(MaxLevel-1))^(2^F206),0),D206+(E206-D206)*(1+G206)*((1-1)/(MaxLevel-1))^(2^F206)))</f>
        <v/>
      </c>
      <c r="I206" s="12" t="str">
        <f>IF(OR(D206="",E206=""),"",IF(IFERROR(INDEX(Stats!$D:$D,MATCH($C206,Stats!$A:$A,0)),FALSE),ROUND(D206+(E206-D206)*(1+G206)*((2-1)/(MaxLevel-1))^(2^F206),0),D206+(E206-D206)*(1+G206)*((2-1)/(MaxLevel-1))^(2^F206)))</f>
        <v/>
      </c>
      <c r="J206" s="12" t="str">
        <f>IF(OR(D206="",E206=""),"",IF(IFERROR(INDEX(Stats!$D:$D,MATCH($C206,Stats!$A:$A,0)),FALSE),ROUND(D206+(E206-D206)*(1+G206)*((3-1)/(MaxLevel-1))^(2^F206),0),D206+(E206-D206)*(1+G206)*((3-1)/(MaxLevel-1))^(2^F206)))</f>
        <v/>
      </c>
      <c r="K206" s="12" t="str">
        <f>IF(OR(D206="",E206=""),"",IF(IFERROR(INDEX(Stats!$D:$D,MATCH($C206,Stats!$A:$A,0)),FALSE),ROUND(D206+(E206-D206)*(1+G206)*((4-1)/(MaxLevel-1))^(2^F206),0),D206+(E206-D206)*(1+G206)*((4-1)/(MaxLevel-1))^(2^F206)))</f>
        <v/>
      </c>
      <c r="L206" s="12" t="str">
        <f>IF(OR(D206="",E206=""),"",IF(IFERROR(INDEX(Stats!$D:$D,MATCH($C206,Stats!$A:$A,0)),FALSE),ROUND(D206+(E206-D206)*(1+G206)*((5-1)/(MaxLevel-1))^(2^F206),0),D206+(E206-D206)*(1+G206)*((5-1)/(MaxLevel-1))^(2^F206)))</f>
        <v/>
      </c>
      <c r="M206" s="12" t="str">
        <f>IF(OR(D206="",E206=""),"",IF(IFERROR(INDEX(Stats!$D:$D,MATCH($C206,Stats!$A:$A,0)),FALSE),ROUND(D206+(E206-D206)*(1+G206)*((6-1)/(MaxLevel-1))^(2^F206),0),D206+(E206-D206)*(1+G206)*((6-1)/(MaxLevel-1))^(2^F206)))</f>
        <v/>
      </c>
      <c r="N206" s="12" t="str">
        <f>IF(OR(D206="",E206=""),"",IF(IFERROR(INDEX(Stats!$D:$D,MATCH($C206,Stats!$A:$A,0)),FALSE),ROUND(D206+(E206-D206)*(1+G206)*((7-1)/(MaxLevel-1))^(2^F206),0),D206+(E206-D206)*(1+G206)*((7-1)/(MaxLevel-1))^(2^F206)))</f>
        <v/>
      </c>
      <c r="O206" s="12" t="str">
        <f>IF(OR(D206="",E206=""),"",IF(IFERROR(INDEX(Stats!$D:$D,MATCH($C206,Stats!$A:$A,0)),FALSE),ROUND(D206+(E206-D206)*(1+G206)*((8-1)/(MaxLevel-1))^(2^F206),0),D206+(E206-D206)*(1+G206)*((8-1)/(MaxLevel-1))^(2^F206)))</f>
        <v/>
      </c>
      <c r="P206" s="12" t="str">
        <f>IF(OR(D206="",E206=""),"",IF(IFERROR(INDEX(Stats!$D:$D,MATCH($C206,Stats!$A:$A,0)),FALSE),ROUND(D206+(E206-D206)*(1+G206)*((9-1)/(MaxLevel-1))^(2^F206),0),D206+(E206-D206)*(1+G206)*((9-1)/(MaxLevel-1))^(2^F206)))</f>
        <v/>
      </c>
      <c r="Q206" s="12" t="str">
        <f>IF(OR(D206="",E206=""),"",IF(IFERROR(INDEX(Stats!$D:$D,MATCH($C206,Stats!$A:$A,0)),FALSE),ROUND(D206+(E206-D206)*(1+G206)*((10-1)/(MaxLevel-1))^(2^F206),0),D206+(E206-D206)*(1+G206)*((10-1)/(MaxLevel-1))^(2^F206)))</f>
        <v/>
      </c>
    </row>
    <row r="207" spans="1:17" x14ac:dyDescent="0.25">
      <c r="A207" s="4" t="s">
        <v>185</v>
      </c>
      <c r="B207" s="19" t="s">
        <v>225</v>
      </c>
      <c r="C207" s="4" t="s">
        <v>54</v>
      </c>
      <c r="D207" s="5"/>
      <c r="E207" s="5"/>
      <c r="F207" s="5"/>
      <c r="G207" s="5"/>
      <c r="H207" s="12" t="str">
        <f>IF(OR(D207="",E207=""),"",IF(IFERROR(INDEX(Stats!$D:$D,MATCH($C207,Stats!$A:$A,0)),FALSE),ROUND(D207+(E207-D207)*(1+G207)*((1-1)/(MaxLevel-1))^(2^F207),0),D207+(E207-D207)*(1+G207)*((1-1)/(MaxLevel-1))^(2^F207)))</f>
        <v/>
      </c>
      <c r="I207" s="12" t="str">
        <f>IF(OR(D207="",E207=""),"",IF(IFERROR(INDEX(Stats!$D:$D,MATCH($C207,Stats!$A:$A,0)),FALSE),ROUND(D207+(E207-D207)*(1+G207)*((2-1)/(MaxLevel-1))^(2^F207),0),D207+(E207-D207)*(1+G207)*((2-1)/(MaxLevel-1))^(2^F207)))</f>
        <v/>
      </c>
      <c r="J207" s="12" t="str">
        <f>IF(OR(D207="",E207=""),"",IF(IFERROR(INDEX(Stats!$D:$D,MATCH($C207,Stats!$A:$A,0)),FALSE),ROUND(D207+(E207-D207)*(1+G207)*((3-1)/(MaxLevel-1))^(2^F207),0),D207+(E207-D207)*(1+G207)*((3-1)/(MaxLevel-1))^(2^F207)))</f>
        <v/>
      </c>
      <c r="K207" s="12" t="str">
        <f>IF(OR(D207="",E207=""),"",IF(IFERROR(INDEX(Stats!$D:$D,MATCH($C207,Stats!$A:$A,0)),FALSE),ROUND(D207+(E207-D207)*(1+G207)*((4-1)/(MaxLevel-1))^(2^F207),0),D207+(E207-D207)*(1+G207)*((4-1)/(MaxLevel-1))^(2^F207)))</f>
        <v/>
      </c>
      <c r="L207" s="12" t="str">
        <f>IF(OR(D207="",E207=""),"",IF(IFERROR(INDEX(Stats!$D:$D,MATCH($C207,Stats!$A:$A,0)),FALSE),ROUND(D207+(E207-D207)*(1+G207)*((5-1)/(MaxLevel-1))^(2^F207),0),D207+(E207-D207)*(1+G207)*((5-1)/(MaxLevel-1))^(2^F207)))</f>
        <v/>
      </c>
      <c r="M207" s="12" t="str">
        <f>IF(OR(D207="",E207=""),"",IF(IFERROR(INDEX(Stats!$D:$D,MATCH($C207,Stats!$A:$A,0)),FALSE),ROUND(D207+(E207-D207)*(1+G207)*((6-1)/(MaxLevel-1))^(2^F207),0),D207+(E207-D207)*(1+G207)*((6-1)/(MaxLevel-1))^(2^F207)))</f>
        <v/>
      </c>
      <c r="N207" s="12" t="str">
        <f>IF(OR(D207="",E207=""),"",IF(IFERROR(INDEX(Stats!$D:$D,MATCH($C207,Stats!$A:$A,0)),FALSE),ROUND(D207+(E207-D207)*(1+G207)*((7-1)/(MaxLevel-1))^(2^F207),0),D207+(E207-D207)*(1+G207)*((7-1)/(MaxLevel-1))^(2^F207)))</f>
        <v/>
      </c>
      <c r="O207" s="12" t="str">
        <f>IF(OR(D207="",E207=""),"",IF(IFERROR(INDEX(Stats!$D:$D,MATCH($C207,Stats!$A:$A,0)),FALSE),ROUND(D207+(E207-D207)*(1+G207)*((8-1)/(MaxLevel-1))^(2^F207),0),D207+(E207-D207)*(1+G207)*((8-1)/(MaxLevel-1))^(2^F207)))</f>
        <v/>
      </c>
      <c r="P207" s="12" t="str">
        <f>IF(OR(D207="",E207=""),"",IF(IFERROR(INDEX(Stats!$D:$D,MATCH($C207,Stats!$A:$A,0)),FALSE),ROUND(D207+(E207-D207)*(1+G207)*((9-1)/(MaxLevel-1))^(2^F207),0),D207+(E207-D207)*(1+G207)*((9-1)/(MaxLevel-1))^(2^F207)))</f>
        <v/>
      </c>
      <c r="Q207" s="12" t="str">
        <f>IF(OR(D207="",E207=""),"",IF(IFERROR(INDEX(Stats!$D:$D,MATCH($C207,Stats!$A:$A,0)),FALSE),ROUND(D207+(E207-D207)*(1+G207)*((10-1)/(MaxLevel-1))^(2^F207),0),D207+(E207-D207)*(1+G207)*((10-1)/(MaxLevel-1))^(2^F207)))</f>
        <v/>
      </c>
    </row>
    <row r="208" spans="1:17" x14ac:dyDescent="0.25">
      <c r="A208" s="4" t="s">
        <v>185</v>
      </c>
      <c r="B208" s="19" t="s">
        <v>225</v>
      </c>
      <c r="C208" s="4" t="s">
        <v>56</v>
      </c>
      <c r="D208" s="5"/>
      <c r="E208" s="5"/>
      <c r="F208" s="5"/>
      <c r="G208" s="5"/>
      <c r="H208" s="12" t="str">
        <f>IF(OR(D208="",E208=""),"",IF(IFERROR(INDEX(Stats!$D:$D,MATCH($C208,Stats!$A:$A,0)),FALSE),ROUND(D208+(E208-D208)*(1+G208)*((1-1)/(MaxLevel-1))^(2^F208),0),D208+(E208-D208)*(1+G208)*((1-1)/(MaxLevel-1))^(2^F208)))</f>
        <v/>
      </c>
      <c r="I208" s="12" t="str">
        <f>IF(OR(D208="",E208=""),"",IF(IFERROR(INDEX(Stats!$D:$D,MATCH($C208,Stats!$A:$A,0)),FALSE),ROUND(D208+(E208-D208)*(1+G208)*((2-1)/(MaxLevel-1))^(2^F208),0),D208+(E208-D208)*(1+G208)*((2-1)/(MaxLevel-1))^(2^F208)))</f>
        <v/>
      </c>
      <c r="J208" s="12" t="str">
        <f>IF(OR(D208="",E208=""),"",IF(IFERROR(INDEX(Stats!$D:$D,MATCH($C208,Stats!$A:$A,0)),FALSE),ROUND(D208+(E208-D208)*(1+G208)*((3-1)/(MaxLevel-1))^(2^F208),0),D208+(E208-D208)*(1+G208)*((3-1)/(MaxLevel-1))^(2^F208)))</f>
        <v/>
      </c>
      <c r="K208" s="12" t="str">
        <f>IF(OR(D208="",E208=""),"",IF(IFERROR(INDEX(Stats!$D:$D,MATCH($C208,Stats!$A:$A,0)),FALSE),ROUND(D208+(E208-D208)*(1+G208)*((4-1)/(MaxLevel-1))^(2^F208),0),D208+(E208-D208)*(1+G208)*((4-1)/(MaxLevel-1))^(2^F208)))</f>
        <v/>
      </c>
      <c r="L208" s="12" t="str">
        <f>IF(OR(D208="",E208=""),"",IF(IFERROR(INDEX(Stats!$D:$D,MATCH($C208,Stats!$A:$A,0)),FALSE),ROUND(D208+(E208-D208)*(1+G208)*((5-1)/(MaxLevel-1))^(2^F208),0),D208+(E208-D208)*(1+G208)*((5-1)/(MaxLevel-1))^(2^F208)))</f>
        <v/>
      </c>
      <c r="M208" s="12" t="str">
        <f>IF(OR(D208="",E208=""),"",IF(IFERROR(INDEX(Stats!$D:$D,MATCH($C208,Stats!$A:$A,0)),FALSE),ROUND(D208+(E208-D208)*(1+G208)*((6-1)/(MaxLevel-1))^(2^F208),0),D208+(E208-D208)*(1+G208)*((6-1)/(MaxLevel-1))^(2^F208)))</f>
        <v/>
      </c>
      <c r="N208" s="12" t="str">
        <f>IF(OR(D208="",E208=""),"",IF(IFERROR(INDEX(Stats!$D:$D,MATCH($C208,Stats!$A:$A,0)),FALSE),ROUND(D208+(E208-D208)*(1+G208)*((7-1)/(MaxLevel-1))^(2^F208),0),D208+(E208-D208)*(1+G208)*((7-1)/(MaxLevel-1))^(2^F208)))</f>
        <v/>
      </c>
      <c r="O208" s="12" t="str">
        <f>IF(OR(D208="",E208=""),"",IF(IFERROR(INDEX(Stats!$D:$D,MATCH($C208,Stats!$A:$A,0)),FALSE),ROUND(D208+(E208-D208)*(1+G208)*((8-1)/(MaxLevel-1))^(2^F208),0),D208+(E208-D208)*(1+G208)*((8-1)/(MaxLevel-1))^(2^F208)))</f>
        <v/>
      </c>
      <c r="P208" s="12" t="str">
        <f>IF(OR(D208="",E208=""),"",IF(IFERROR(INDEX(Stats!$D:$D,MATCH($C208,Stats!$A:$A,0)),FALSE),ROUND(D208+(E208-D208)*(1+G208)*((9-1)/(MaxLevel-1))^(2^F208),0),D208+(E208-D208)*(1+G208)*((9-1)/(MaxLevel-1))^(2^F208)))</f>
        <v/>
      </c>
      <c r="Q208" s="12" t="str">
        <f>IF(OR(D208="",E208=""),"",IF(IFERROR(INDEX(Stats!$D:$D,MATCH($C208,Stats!$A:$A,0)),FALSE),ROUND(D208+(E208-D208)*(1+G208)*((10-1)/(MaxLevel-1))^(2^F208),0),D208+(E208-D208)*(1+G208)*((10-1)/(MaxLevel-1))^(2^F208)))</f>
        <v/>
      </c>
    </row>
    <row r="209" spans="1:17" x14ac:dyDescent="0.25">
      <c r="A209" s="4" t="s">
        <v>185</v>
      </c>
      <c r="B209" s="19" t="s">
        <v>225</v>
      </c>
      <c r="C209" s="4" t="s">
        <v>58</v>
      </c>
      <c r="D209" s="5"/>
      <c r="E209" s="5"/>
      <c r="F209" s="5"/>
      <c r="G209" s="5"/>
      <c r="H209" s="12" t="str">
        <f>IF(OR(D209="",E209=""),"",IF(IFERROR(INDEX(Stats!$D:$D,MATCH($C209,Stats!$A:$A,0)),FALSE),ROUND(D209+(E209-D209)*(1+G209)*((1-1)/(MaxLevel-1))^(2^F209),0),D209+(E209-D209)*(1+G209)*((1-1)/(MaxLevel-1))^(2^F209)))</f>
        <v/>
      </c>
      <c r="I209" s="12" t="str">
        <f>IF(OR(D209="",E209=""),"",IF(IFERROR(INDEX(Stats!$D:$D,MATCH($C209,Stats!$A:$A,0)),FALSE),ROUND(D209+(E209-D209)*(1+G209)*((2-1)/(MaxLevel-1))^(2^F209),0),D209+(E209-D209)*(1+G209)*((2-1)/(MaxLevel-1))^(2^F209)))</f>
        <v/>
      </c>
      <c r="J209" s="12" t="str">
        <f>IF(OR(D209="",E209=""),"",IF(IFERROR(INDEX(Stats!$D:$D,MATCH($C209,Stats!$A:$A,0)),FALSE),ROUND(D209+(E209-D209)*(1+G209)*((3-1)/(MaxLevel-1))^(2^F209),0),D209+(E209-D209)*(1+G209)*((3-1)/(MaxLevel-1))^(2^F209)))</f>
        <v/>
      </c>
      <c r="K209" s="12" t="str">
        <f>IF(OR(D209="",E209=""),"",IF(IFERROR(INDEX(Stats!$D:$D,MATCH($C209,Stats!$A:$A,0)),FALSE),ROUND(D209+(E209-D209)*(1+G209)*((4-1)/(MaxLevel-1))^(2^F209),0),D209+(E209-D209)*(1+G209)*((4-1)/(MaxLevel-1))^(2^F209)))</f>
        <v/>
      </c>
      <c r="L209" s="12" t="str">
        <f>IF(OR(D209="",E209=""),"",IF(IFERROR(INDEX(Stats!$D:$D,MATCH($C209,Stats!$A:$A,0)),FALSE),ROUND(D209+(E209-D209)*(1+G209)*((5-1)/(MaxLevel-1))^(2^F209),0),D209+(E209-D209)*(1+G209)*((5-1)/(MaxLevel-1))^(2^F209)))</f>
        <v/>
      </c>
      <c r="M209" s="12" t="str">
        <f>IF(OR(D209="",E209=""),"",IF(IFERROR(INDEX(Stats!$D:$D,MATCH($C209,Stats!$A:$A,0)),FALSE),ROUND(D209+(E209-D209)*(1+G209)*((6-1)/(MaxLevel-1))^(2^F209),0),D209+(E209-D209)*(1+G209)*((6-1)/(MaxLevel-1))^(2^F209)))</f>
        <v/>
      </c>
      <c r="N209" s="12" t="str">
        <f>IF(OR(D209="",E209=""),"",IF(IFERROR(INDEX(Stats!$D:$D,MATCH($C209,Stats!$A:$A,0)),FALSE),ROUND(D209+(E209-D209)*(1+G209)*((7-1)/(MaxLevel-1))^(2^F209),0),D209+(E209-D209)*(1+G209)*((7-1)/(MaxLevel-1))^(2^F209)))</f>
        <v/>
      </c>
      <c r="O209" s="12" t="str">
        <f>IF(OR(D209="",E209=""),"",IF(IFERROR(INDEX(Stats!$D:$D,MATCH($C209,Stats!$A:$A,0)),FALSE),ROUND(D209+(E209-D209)*(1+G209)*((8-1)/(MaxLevel-1))^(2^F209),0),D209+(E209-D209)*(1+G209)*((8-1)/(MaxLevel-1))^(2^F209)))</f>
        <v/>
      </c>
      <c r="P209" s="12" t="str">
        <f>IF(OR(D209="",E209=""),"",IF(IFERROR(INDEX(Stats!$D:$D,MATCH($C209,Stats!$A:$A,0)),FALSE),ROUND(D209+(E209-D209)*(1+G209)*((9-1)/(MaxLevel-1))^(2^F209),0),D209+(E209-D209)*(1+G209)*((9-1)/(MaxLevel-1))^(2^F209)))</f>
        <v/>
      </c>
      <c r="Q209" s="12" t="str">
        <f>IF(OR(D209="",E209=""),"",IF(IFERROR(INDEX(Stats!$D:$D,MATCH($C209,Stats!$A:$A,0)),FALSE),ROUND(D209+(E209-D209)*(1+G209)*((10-1)/(MaxLevel-1))^(2^F209),0),D209+(E209-D209)*(1+G209)*((10-1)/(MaxLevel-1))^(2^F209)))</f>
        <v/>
      </c>
    </row>
    <row r="210" spans="1:17" x14ac:dyDescent="0.25">
      <c r="A210" s="4" t="s">
        <v>185</v>
      </c>
      <c r="B210" s="19" t="s">
        <v>225</v>
      </c>
      <c r="C210" s="4" t="s">
        <v>60</v>
      </c>
      <c r="D210" s="5"/>
      <c r="E210" s="5"/>
      <c r="F210" s="5"/>
      <c r="G210" s="5"/>
      <c r="H210" s="12" t="str">
        <f>IF(OR(D210="",E210=""),"",IF(IFERROR(INDEX(Stats!$D:$D,MATCH($C210,Stats!$A:$A,0)),FALSE),ROUND(D210+(E210-D210)*(1+G210)*((1-1)/(MaxLevel-1))^(2^F210),0),D210+(E210-D210)*(1+G210)*((1-1)/(MaxLevel-1))^(2^F210)))</f>
        <v/>
      </c>
      <c r="I210" s="12" t="str">
        <f>IF(OR(D210="",E210=""),"",IF(IFERROR(INDEX(Stats!$D:$D,MATCH($C210,Stats!$A:$A,0)),FALSE),ROUND(D210+(E210-D210)*(1+G210)*((2-1)/(MaxLevel-1))^(2^F210),0),D210+(E210-D210)*(1+G210)*((2-1)/(MaxLevel-1))^(2^F210)))</f>
        <v/>
      </c>
      <c r="J210" s="12" t="str">
        <f>IF(OR(D210="",E210=""),"",IF(IFERROR(INDEX(Stats!$D:$D,MATCH($C210,Stats!$A:$A,0)),FALSE),ROUND(D210+(E210-D210)*(1+G210)*((3-1)/(MaxLevel-1))^(2^F210),0),D210+(E210-D210)*(1+G210)*((3-1)/(MaxLevel-1))^(2^F210)))</f>
        <v/>
      </c>
      <c r="K210" s="12" t="str">
        <f>IF(OR(D210="",E210=""),"",IF(IFERROR(INDEX(Stats!$D:$D,MATCH($C210,Stats!$A:$A,0)),FALSE),ROUND(D210+(E210-D210)*(1+G210)*((4-1)/(MaxLevel-1))^(2^F210),0),D210+(E210-D210)*(1+G210)*((4-1)/(MaxLevel-1))^(2^F210)))</f>
        <v/>
      </c>
      <c r="L210" s="12" t="str">
        <f>IF(OR(D210="",E210=""),"",IF(IFERROR(INDEX(Stats!$D:$D,MATCH($C210,Stats!$A:$A,0)),FALSE),ROUND(D210+(E210-D210)*(1+G210)*((5-1)/(MaxLevel-1))^(2^F210),0),D210+(E210-D210)*(1+G210)*((5-1)/(MaxLevel-1))^(2^F210)))</f>
        <v/>
      </c>
      <c r="M210" s="12" t="str">
        <f>IF(OR(D210="",E210=""),"",IF(IFERROR(INDEX(Stats!$D:$D,MATCH($C210,Stats!$A:$A,0)),FALSE),ROUND(D210+(E210-D210)*(1+G210)*((6-1)/(MaxLevel-1))^(2^F210),0),D210+(E210-D210)*(1+G210)*((6-1)/(MaxLevel-1))^(2^F210)))</f>
        <v/>
      </c>
      <c r="N210" s="12" t="str">
        <f>IF(OR(D210="",E210=""),"",IF(IFERROR(INDEX(Stats!$D:$D,MATCH($C210,Stats!$A:$A,0)),FALSE),ROUND(D210+(E210-D210)*(1+G210)*((7-1)/(MaxLevel-1))^(2^F210),0),D210+(E210-D210)*(1+G210)*((7-1)/(MaxLevel-1))^(2^F210)))</f>
        <v/>
      </c>
      <c r="O210" s="12" t="str">
        <f>IF(OR(D210="",E210=""),"",IF(IFERROR(INDEX(Stats!$D:$D,MATCH($C210,Stats!$A:$A,0)),FALSE),ROUND(D210+(E210-D210)*(1+G210)*((8-1)/(MaxLevel-1))^(2^F210),0),D210+(E210-D210)*(1+G210)*((8-1)/(MaxLevel-1))^(2^F210)))</f>
        <v/>
      </c>
      <c r="P210" s="12" t="str">
        <f>IF(OR(D210="",E210=""),"",IF(IFERROR(INDEX(Stats!$D:$D,MATCH($C210,Stats!$A:$A,0)),FALSE),ROUND(D210+(E210-D210)*(1+G210)*((9-1)/(MaxLevel-1))^(2^F210),0),D210+(E210-D210)*(1+G210)*((9-1)/(MaxLevel-1))^(2^F210)))</f>
        <v/>
      </c>
      <c r="Q210" s="12" t="str">
        <f>IF(OR(D210="",E210=""),"",IF(IFERROR(INDEX(Stats!$D:$D,MATCH($C210,Stats!$A:$A,0)),FALSE),ROUND(D210+(E210-D210)*(1+G210)*((10-1)/(MaxLevel-1))^(2^F210),0),D210+(E210-D210)*(1+G210)*((10-1)/(MaxLevel-1))^(2^F210)))</f>
        <v/>
      </c>
    </row>
    <row r="211" spans="1:17" x14ac:dyDescent="0.25">
      <c r="A211" s="4" t="s">
        <v>185</v>
      </c>
      <c r="B211" s="19" t="s">
        <v>226</v>
      </c>
      <c r="C211" s="4" t="s">
        <v>24</v>
      </c>
      <c r="D211" s="5">
        <v>0</v>
      </c>
      <c r="E211" s="5">
        <v>10000</v>
      </c>
      <c r="F211" s="5">
        <v>1</v>
      </c>
      <c r="G211" s="5">
        <v>0</v>
      </c>
      <c r="H211" s="12">
        <f>IF(OR(D211="",E211=""),"",IF(IFERROR(INDEX(Stats!$D:$D,MATCH($C211,Stats!$A:$A,0)),FALSE),ROUND(D211+(E211-D211)*(1+G211)*((1-1)/(MaxLevel-1))^(2^F211),0),D211+(E211-D211)*(1+G211)*((1-1)/(MaxLevel-1))^(2^F211)))</f>
        <v>0</v>
      </c>
      <c r="I211" s="12">
        <f>IF(OR(D211="",E211=""),"",IF(IFERROR(INDEX(Stats!$D:$D,MATCH($C211,Stats!$A:$A,0)),FALSE),ROUND(D211+(E211-D211)*(1+G211)*((2-1)/(MaxLevel-1))^(2^F211),0),D211+(E211-D211)*(1+G211)*((2-1)/(MaxLevel-1))^(2^F211)))</f>
        <v>123</v>
      </c>
      <c r="J211" s="12">
        <f>IF(OR(D211="",E211=""),"",IF(IFERROR(INDEX(Stats!$D:$D,MATCH($C211,Stats!$A:$A,0)),FALSE),ROUND(D211+(E211-D211)*(1+G211)*((3-1)/(MaxLevel-1))^(2^F211),0),D211+(E211-D211)*(1+G211)*((3-1)/(MaxLevel-1))^(2^F211)))</f>
        <v>494</v>
      </c>
      <c r="K211" s="12">
        <f>IF(OR(D211="",E211=""),"",IF(IFERROR(INDEX(Stats!$D:$D,MATCH($C211,Stats!$A:$A,0)),FALSE),ROUND(D211+(E211-D211)*(1+G211)*((4-1)/(MaxLevel-1))^(2^F211),0),D211+(E211-D211)*(1+G211)*((4-1)/(MaxLevel-1))^(2^F211)))</f>
        <v>1111</v>
      </c>
      <c r="L211" s="12">
        <f>IF(OR(D211="",E211=""),"",IF(IFERROR(INDEX(Stats!$D:$D,MATCH($C211,Stats!$A:$A,0)),FALSE),ROUND(D211+(E211-D211)*(1+G211)*((5-1)/(MaxLevel-1))^(2^F211),0),D211+(E211-D211)*(1+G211)*((5-1)/(MaxLevel-1))^(2^F211)))</f>
        <v>1975</v>
      </c>
      <c r="M211" s="12">
        <f>IF(OR(D211="",E211=""),"",IF(IFERROR(INDEX(Stats!$D:$D,MATCH($C211,Stats!$A:$A,0)),FALSE),ROUND(D211+(E211-D211)*(1+G211)*((6-1)/(MaxLevel-1))^(2^F211),0),D211+(E211-D211)*(1+G211)*((6-1)/(MaxLevel-1))^(2^F211)))</f>
        <v>3086</v>
      </c>
      <c r="N211" s="12">
        <f>IF(OR(D211="",E211=""),"",IF(IFERROR(INDEX(Stats!$D:$D,MATCH($C211,Stats!$A:$A,0)),FALSE),ROUND(D211+(E211-D211)*(1+G211)*((7-1)/(MaxLevel-1))^(2^F211),0),D211+(E211-D211)*(1+G211)*((7-1)/(MaxLevel-1))^(2^F211)))</f>
        <v>4444</v>
      </c>
      <c r="O211" s="12">
        <f>IF(OR(D211="",E211=""),"",IF(IFERROR(INDEX(Stats!$D:$D,MATCH($C211,Stats!$A:$A,0)),FALSE),ROUND(D211+(E211-D211)*(1+G211)*((8-1)/(MaxLevel-1))^(2^F211),0),D211+(E211-D211)*(1+G211)*((8-1)/(MaxLevel-1))^(2^F211)))</f>
        <v>6049</v>
      </c>
      <c r="P211" s="12">
        <f>IF(OR(D211="",E211=""),"",IF(IFERROR(INDEX(Stats!$D:$D,MATCH($C211,Stats!$A:$A,0)),FALSE),ROUND(D211+(E211-D211)*(1+G211)*((9-1)/(MaxLevel-1))^(2^F211),0),D211+(E211-D211)*(1+G211)*((9-1)/(MaxLevel-1))^(2^F211)))</f>
        <v>7901</v>
      </c>
      <c r="Q211" s="12">
        <f>IF(OR(D211="",E211=""),"",IF(IFERROR(INDEX(Stats!$D:$D,MATCH($C211,Stats!$A:$A,0)),FALSE),ROUND(D211+(E211-D211)*(1+G211)*((10-1)/(MaxLevel-1))^(2^F211),0),D211+(E211-D211)*(1+G211)*((10-1)/(MaxLevel-1))^(2^F211)))</f>
        <v>10000</v>
      </c>
    </row>
    <row r="212" spans="1:17" x14ac:dyDescent="0.25">
      <c r="A212" s="4" t="s">
        <v>185</v>
      </c>
      <c r="B212" s="19" t="s">
        <v>226</v>
      </c>
      <c r="C212" s="4" t="s">
        <v>26</v>
      </c>
      <c r="D212" s="5">
        <v>25</v>
      </c>
      <c r="E212" s="5">
        <v>150</v>
      </c>
      <c r="F212" s="5">
        <v>0</v>
      </c>
      <c r="G212" s="5">
        <v>0</v>
      </c>
      <c r="H212" s="12">
        <f>IF(OR(D212="",E212=""),"",IF(IFERROR(INDEX(Stats!$D:$D,MATCH($C212,Stats!$A:$A,0)),FALSE),ROUND(D212+(E212-D212)*(1+G212)*((1-1)/(MaxLevel-1))^(2^F212),0),D212+(E212-D212)*(1+G212)*((1-1)/(MaxLevel-1))^(2^F212)))</f>
        <v>25</v>
      </c>
      <c r="I212" s="12">
        <f>IF(OR(D212="",E212=""),"",IF(IFERROR(INDEX(Stats!$D:$D,MATCH($C212,Stats!$A:$A,0)),FALSE),ROUND(D212+(E212-D212)*(1+G212)*((2-1)/(MaxLevel-1))^(2^F212),0),D212+(E212-D212)*(1+G212)*((2-1)/(MaxLevel-1))^(2^F212)))</f>
        <v>39</v>
      </c>
      <c r="J212" s="12">
        <f>IF(OR(D212="",E212=""),"",IF(IFERROR(INDEX(Stats!$D:$D,MATCH($C212,Stats!$A:$A,0)),FALSE),ROUND(D212+(E212-D212)*(1+G212)*((3-1)/(MaxLevel-1))^(2^F212),0),D212+(E212-D212)*(1+G212)*((3-1)/(MaxLevel-1))^(2^F212)))</f>
        <v>53</v>
      </c>
      <c r="K212" s="12">
        <f>IF(OR(D212="",E212=""),"",IF(IFERROR(INDEX(Stats!$D:$D,MATCH($C212,Stats!$A:$A,0)),FALSE),ROUND(D212+(E212-D212)*(1+G212)*((4-1)/(MaxLevel-1))^(2^F212),0),D212+(E212-D212)*(1+G212)*((4-1)/(MaxLevel-1))^(2^F212)))</f>
        <v>67</v>
      </c>
      <c r="L212" s="12">
        <f>IF(OR(D212="",E212=""),"",IF(IFERROR(INDEX(Stats!$D:$D,MATCH($C212,Stats!$A:$A,0)),FALSE),ROUND(D212+(E212-D212)*(1+G212)*((5-1)/(MaxLevel-1))^(2^F212),0),D212+(E212-D212)*(1+G212)*((5-1)/(MaxLevel-1))^(2^F212)))</f>
        <v>81</v>
      </c>
      <c r="M212" s="12">
        <f>IF(OR(D212="",E212=""),"",IF(IFERROR(INDEX(Stats!$D:$D,MATCH($C212,Stats!$A:$A,0)),FALSE),ROUND(D212+(E212-D212)*(1+G212)*((6-1)/(MaxLevel-1))^(2^F212),0),D212+(E212-D212)*(1+G212)*((6-1)/(MaxLevel-1))^(2^F212)))</f>
        <v>94</v>
      </c>
      <c r="N212" s="12">
        <f>IF(OR(D212="",E212=""),"",IF(IFERROR(INDEX(Stats!$D:$D,MATCH($C212,Stats!$A:$A,0)),FALSE),ROUND(D212+(E212-D212)*(1+G212)*((7-1)/(MaxLevel-1))^(2^F212),0),D212+(E212-D212)*(1+G212)*((7-1)/(MaxLevel-1))^(2^F212)))</f>
        <v>108</v>
      </c>
      <c r="O212" s="12">
        <f>IF(OR(D212="",E212=""),"",IF(IFERROR(INDEX(Stats!$D:$D,MATCH($C212,Stats!$A:$A,0)),FALSE),ROUND(D212+(E212-D212)*(1+G212)*((8-1)/(MaxLevel-1))^(2^F212),0),D212+(E212-D212)*(1+G212)*((8-1)/(MaxLevel-1))^(2^F212)))</f>
        <v>122</v>
      </c>
      <c r="P212" s="12">
        <f>IF(OR(D212="",E212=""),"",IF(IFERROR(INDEX(Stats!$D:$D,MATCH($C212,Stats!$A:$A,0)),FALSE),ROUND(D212+(E212-D212)*(1+G212)*((9-1)/(MaxLevel-1))^(2^F212),0),D212+(E212-D212)*(1+G212)*((9-1)/(MaxLevel-1))^(2^F212)))</f>
        <v>136</v>
      </c>
      <c r="Q212" s="12">
        <f>IF(OR(D212="",E212=""),"",IF(IFERROR(INDEX(Stats!$D:$D,MATCH($C212,Stats!$A:$A,0)),FALSE),ROUND(D212+(E212-D212)*(1+G212)*((10-1)/(MaxLevel-1))^(2^F212),0),D212+(E212-D212)*(1+G212)*((10-1)/(MaxLevel-1))^(2^F212)))</f>
        <v>150</v>
      </c>
    </row>
    <row r="213" spans="1:17" x14ac:dyDescent="0.25">
      <c r="A213" s="4" t="s">
        <v>185</v>
      </c>
      <c r="B213" s="19" t="s">
        <v>226</v>
      </c>
      <c r="C213" s="4" t="s">
        <v>28</v>
      </c>
      <c r="D213" s="5">
        <v>300</v>
      </c>
      <c r="E213" s="5">
        <v>1200</v>
      </c>
      <c r="F213" s="5">
        <v>0</v>
      </c>
      <c r="G213" s="5">
        <v>-0.1</v>
      </c>
      <c r="H213" s="12">
        <f>IF(OR(D213="",E213=""),"",IF(IFERROR(INDEX(Stats!$D:$D,MATCH($C213,Stats!$A:$A,0)),FALSE),ROUND(D213+(E213-D213)*(1+G213)*((1-1)/(MaxLevel-1))^(2^F213),0),D213+(E213-D213)*(1+G213)*((1-1)/(MaxLevel-1))^(2^F213)))</f>
        <v>300</v>
      </c>
      <c r="I213" s="12">
        <f>IF(OR(D213="",E213=""),"",IF(IFERROR(INDEX(Stats!$D:$D,MATCH($C213,Stats!$A:$A,0)),FALSE),ROUND(D213+(E213-D213)*(1+G213)*((2-1)/(MaxLevel-1))^(2^F213),0),D213+(E213-D213)*(1+G213)*((2-1)/(MaxLevel-1))^(2^F213)))</f>
        <v>390</v>
      </c>
      <c r="J213" s="12">
        <f>IF(OR(D213="",E213=""),"",IF(IFERROR(INDEX(Stats!$D:$D,MATCH($C213,Stats!$A:$A,0)),FALSE),ROUND(D213+(E213-D213)*(1+G213)*((3-1)/(MaxLevel-1))^(2^F213),0),D213+(E213-D213)*(1+G213)*((3-1)/(MaxLevel-1))^(2^F213)))</f>
        <v>480</v>
      </c>
      <c r="K213" s="12">
        <f>IF(OR(D213="",E213=""),"",IF(IFERROR(INDEX(Stats!$D:$D,MATCH($C213,Stats!$A:$A,0)),FALSE),ROUND(D213+(E213-D213)*(1+G213)*((4-1)/(MaxLevel-1))^(2^F213),0),D213+(E213-D213)*(1+G213)*((4-1)/(MaxLevel-1))^(2^F213)))</f>
        <v>570</v>
      </c>
      <c r="L213" s="12">
        <f>IF(OR(D213="",E213=""),"",IF(IFERROR(INDEX(Stats!$D:$D,MATCH($C213,Stats!$A:$A,0)),FALSE),ROUND(D213+(E213-D213)*(1+G213)*((5-1)/(MaxLevel-1))^(2^F213),0),D213+(E213-D213)*(1+G213)*((5-1)/(MaxLevel-1))^(2^F213)))</f>
        <v>660</v>
      </c>
      <c r="M213" s="12">
        <f>IF(OR(D213="",E213=""),"",IF(IFERROR(INDEX(Stats!$D:$D,MATCH($C213,Stats!$A:$A,0)),FALSE),ROUND(D213+(E213-D213)*(1+G213)*((6-1)/(MaxLevel-1))^(2^F213),0),D213+(E213-D213)*(1+G213)*((6-1)/(MaxLevel-1))^(2^F213)))</f>
        <v>750</v>
      </c>
      <c r="N213" s="12">
        <f>IF(OR(D213="",E213=""),"",IF(IFERROR(INDEX(Stats!$D:$D,MATCH($C213,Stats!$A:$A,0)),FALSE),ROUND(D213+(E213-D213)*(1+G213)*((7-1)/(MaxLevel-1))^(2^F213),0),D213+(E213-D213)*(1+G213)*((7-1)/(MaxLevel-1))^(2^F213)))</f>
        <v>840</v>
      </c>
      <c r="O213" s="12">
        <f>IF(OR(D213="",E213=""),"",IF(IFERROR(INDEX(Stats!$D:$D,MATCH($C213,Stats!$A:$A,0)),FALSE),ROUND(D213+(E213-D213)*(1+G213)*((8-1)/(MaxLevel-1))^(2^F213),0),D213+(E213-D213)*(1+G213)*((8-1)/(MaxLevel-1))^(2^F213)))</f>
        <v>930</v>
      </c>
      <c r="P213" s="12">
        <f>IF(OR(D213="",E213=""),"",IF(IFERROR(INDEX(Stats!$D:$D,MATCH($C213,Stats!$A:$A,0)),FALSE),ROUND(D213+(E213-D213)*(1+G213)*((9-1)/(MaxLevel-1))^(2^F213),0),D213+(E213-D213)*(1+G213)*((9-1)/(MaxLevel-1))^(2^F213)))</f>
        <v>1020</v>
      </c>
      <c r="Q213" s="12">
        <f>IF(OR(D213="",E213=""),"",IF(IFERROR(INDEX(Stats!$D:$D,MATCH($C213,Stats!$A:$A,0)),FALSE),ROUND(D213+(E213-D213)*(1+G213)*((10-1)/(MaxLevel-1))^(2^F213),0),D213+(E213-D213)*(1+G213)*((10-1)/(MaxLevel-1))^(2^F213)))</f>
        <v>1110</v>
      </c>
    </row>
    <row r="214" spans="1:17" x14ac:dyDescent="0.25">
      <c r="A214" s="4" t="s">
        <v>185</v>
      </c>
      <c r="B214" s="19" t="s">
        <v>226</v>
      </c>
      <c r="C214" s="4" t="s">
        <v>30</v>
      </c>
      <c r="D214" s="5">
        <v>25</v>
      </c>
      <c r="E214" s="5">
        <v>110</v>
      </c>
      <c r="F214" s="5">
        <v>0.5</v>
      </c>
      <c r="G214" s="5">
        <v>0</v>
      </c>
      <c r="H214" s="12">
        <f>IF(OR(D214="",E214=""),"",IF(IFERROR(INDEX(Stats!$D:$D,MATCH($C214,Stats!$A:$A,0)),FALSE),ROUND(D214+(E214-D214)*(1+G214)*((1-1)/(MaxLevel-1))^(2^F214),0),D214+(E214-D214)*(1+G214)*((1-1)/(MaxLevel-1))^(2^F214)))</f>
        <v>25</v>
      </c>
      <c r="I214" s="12">
        <f>IF(OR(D214="",E214=""),"",IF(IFERROR(INDEX(Stats!$D:$D,MATCH($C214,Stats!$A:$A,0)),FALSE),ROUND(D214+(E214-D214)*(1+G214)*((2-1)/(MaxLevel-1))^(2^F214),0),D214+(E214-D214)*(1+G214)*((2-1)/(MaxLevel-1))^(2^F214)))</f>
        <v>29</v>
      </c>
      <c r="J214" s="12">
        <f>IF(OR(D214="",E214=""),"",IF(IFERROR(INDEX(Stats!$D:$D,MATCH($C214,Stats!$A:$A,0)),FALSE),ROUND(D214+(E214-D214)*(1+G214)*((3-1)/(MaxLevel-1))^(2^F214),0),D214+(E214-D214)*(1+G214)*((3-1)/(MaxLevel-1))^(2^F214)))</f>
        <v>35</v>
      </c>
      <c r="K214" s="12">
        <f>IF(OR(D214="",E214=""),"",IF(IFERROR(INDEX(Stats!$D:$D,MATCH($C214,Stats!$A:$A,0)),FALSE),ROUND(D214+(E214-D214)*(1+G214)*((4-1)/(MaxLevel-1))^(2^F214),0),D214+(E214-D214)*(1+G214)*((4-1)/(MaxLevel-1))^(2^F214)))</f>
        <v>43</v>
      </c>
      <c r="L214" s="12">
        <f>IF(OR(D214="",E214=""),"",IF(IFERROR(INDEX(Stats!$D:$D,MATCH($C214,Stats!$A:$A,0)),FALSE),ROUND(D214+(E214-D214)*(1+G214)*((5-1)/(MaxLevel-1))^(2^F214),0),D214+(E214-D214)*(1+G214)*((5-1)/(MaxLevel-1))^(2^F214)))</f>
        <v>52</v>
      </c>
      <c r="M214" s="12">
        <f>IF(OR(D214="",E214=""),"",IF(IFERROR(INDEX(Stats!$D:$D,MATCH($C214,Stats!$A:$A,0)),FALSE),ROUND(D214+(E214-D214)*(1+G214)*((6-1)/(MaxLevel-1))^(2^F214),0),D214+(E214-D214)*(1+G214)*((6-1)/(MaxLevel-1))^(2^F214)))</f>
        <v>62</v>
      </c>
      <c r="N214" s="12">
        <f>IF(OR(D214="",E214=""),"",IF(IFERROR(INDEX(Stats!$D:$D,MATCH($C214,Stats!$A:$A,0)),FALSE),ROUND(D214+(E214-D214)*(1+G214)*((7-1)/(MaxLevel-1))^(2^F214),0),D214+(E214-D214)*(1+G214)*((7-1)/(MaxLevel-1))^(2^F214)))</f>
        <v>73</v>
      </c>
      <c r="O214" s="12">
        <f>IF(OR(D214="",E214=""),"",IF(IFERROR(INDEX(Stats!$D:$D,MATCH($C214,Stats!$A:$A,0)),FALSE),ROUND(D214+(E214-D214)*(1+G214)*((8-1)/(MaxLevel-1))^(2^F214),0),D214+(E214-D214)*(1+G214)*((8-1)/(MaxLevel-1))^(2^F214)))</f>
        <v>85</v>
      </c>
      <c r="P214" s="12">
        <f>IF(OR(D214="",E214=""),"",IF(IFERROR(INDEX(Stats!$D:$D,MATCH($C214,Stats!$A:$A,0)),FALSE),ROUND(D214+(E214-D214)*(1+G214)*((9-1)/(MaxLevel-1))^(2^F214),0),D214+(E214-D214)*(1+G214)*((9-1)/(MaxLevel-1))^(2^F214)))</f>
        <v>97</v>
      </c>
      <c r="Q214" s="12">
        <f>IF(OR(D214="",E214=""),"",IF(IFERROR(INDEX(Stats!$D:$D,MATCH($C214,Stats!$A:$A,0)),FALSE),ROUND(D214+(E214-D214)*(1+G214)*((10-1)/(MaxLevel-1))^(2^F214),0),D214+(E214-D214)*(1+G214)*((10-1)/(MaxLevel-1))^(2^F214)))</f>
        <v>110</v>
      </c>
    </row>
    <row r="215" spans="1:17" x14ac:dyDescent="0.25">
      <c r="A215" s="4" t="s">
        <v>185</v>
      </c>
      <c r="B215" s="19" t="s">
        <v>226</v>
      </c>
      <c r="C215" s="4" t="s">
        <v>32</v>
      </c>
      <c r="D215" s="5"/>
      <c r="E215" s="5"/>
      <c r="F215" s="5"/>
      <c r="G215" s="5"/>
      <c r="H215" s="12" t="str">
        <f>IF(OR(D215="",E215=""),"",IF(IFERROR(INDEX(Stats!$D:$D,MATCH($C215,Stats!$A:$A,0)),FALSE),ROUND(D215+(E215-D215)*(1+G215)*((1-1)/(MaxLevel-1))^(2^F215),0),D215+(E215-D215)*(1+G215)*((1-1)/(MaxLevel-1))^(2^F215)))</f>
        <v/>
      </c>
      <c r="I215" s="12" t="str">
        <f>IF(OR(D215="",E215=""),"",IF(IFERROR(INDEX(Stats!$D:$D,MATCH($C215,Stats!$A:$A,0)),FALSE),ROUND(D215+(E215-D215)*(1+G215)*((2-1)/(MaxLevel-1))^(2^F215),0),D215+(E215-D215)*(1+G215)*((2-1)/(MaxLevel-1))^(2^F215)))</f>
        <v/>
      </c>
      <c r="J215" s="12" t="str">
        <f>IF(OR(D215="",E215=""),"",IF(IFERROR(INDEX(Stats!$D:$D,MATCH($C215,Stats!$A:$A,0)),FALSE),ROUND(D215+(E215-D215)*(1+G215)*((3-1)/(MaxLevel-1))^(2^F215),0),D215+(E215-D215)*(1+G215)*((3-1)/(MaxLevel-1))^(2^F215)))</f>
        <v/>
      </c>
      <c r="K215" s="12" t="str">
        <f>IF(OR(D215="",E215=""),"",IF(IFERROR(INDEX(Stats!$D:$D,MATCH($C215,Stats!$A:$A,0)),FALSE),ROUND(D215+(E215-D215)*(1+G215)*((4-1)/(MaxLevel-1))^(2^F215),0),D215+(E215-D215)*(1+G215)*((4-1)/(MaxLevel-1))^(2^F215)))</f>
        <v/>
      </c>
      <c r="L215" s="12" t="str">
        <f>IF(OR(D215="",E215=""),"",IF(IFERROR(INDEX(Stats!$D:$D,MATCH($C215,Stats!$A:$A,0)),FALSE),ROUND(D215+(E215-D215)*(1+G215)*((5-1)/(MaxLevel-1))^(2^F215),0),D215+(E215-D215)*(1+G215)*((5-1)/(MaxLevel-1))^(2^F215)))</f>
        <v/>
      </c>
      <c r="M215" s="12" t="str">
        <f>IF(OR(D215="",E215=""),"",IF(IFERROR(INDEX(Stats!$D:$D,MATCH($C215,Stats!$A:$A,0)),FALSE),ROUND(D215+(E215-D215)*(1+G215)*((6-1)/(MaxLevel-1))^(2^F215),0),D215+(E215-D215)*(1+G215)*((6-1)/(MaxLevel-1))^(2^F215)))</f>
        <v/>
      </c>
      <c r="N215" s="12" t="str">
        <f>IF(OR(D215="",E215=""),"",IF(IFERROR(INDEX(Stats!$D:$D,MATCH($C215,Stats!$A:$A,0)),FALSE),ROUND(D215+(E215-D215)*(1+G215)*((7-1)/(MaxLevel-1))^(2^F215),0),D215+(E215-D215)*(1+G215)*((7-1)/(MaxLevel-1))^(2^F215)))</f>
        <v/>
      </c>
      <c r="O215" s="12" t="str">
        <f>IF(OR(D215="",E215=""),"",IF(IFERROR(INDEX(Stats!$D:$D,MATCH($C215,Stats!$A:$A,0)),FALSE),ROUND(D215+(E215-D215)*(1+G215)*((8-1)/(MaxLevel-1))^(2^F215),0),D215+(E215-D215)*(1+G215)*((8-1)/(MaxLevel-1))^(2^F215)))</f>
        <v/>
      </c>
      <c r="P215" s="12" t="str">
        <f>IF(OR(D215="",E215=""),"",IF(IFERROR(INDEX(Stats!$D:$D,MATCH($C215,Stats!$A:$A,0)),FALSE),ROUND(D215+(E215-D215)*(1+G215)*((9-1)/(MaxLevel-1))^(2^F215),0),D215+(E215-D215)*(1+G215)*((9-1)/(MaxLevel-1))^(2^F215)))</f>
        <v/>
      </c>
      <c r="Q215" s="12" t="str">
        <f>IF(OR(D215="",E215=""),"",IF(IFERROR(INDEX(Stats!$D:$D,MATCH($C215,Stats!$A:$A,0)),FALSE),ROUND(D215+(E215-D215)*(1+G215)*((10-1)/(MaxLevel-1))^(2^F215),0),D215+(E215-D215)*(1+G215)*((10-1)/(MaxLevel-1))^(2^F215)))</f>
        <v/>
      </c>
    </row>
    <row r="216" spans="1:17" x14ac:dyDescent="0.25">
      <c r="A216" s="4" t="s">
        <v>185</v>
      </c>
      <c r="B216" s="19" t="s">
        <v>226</v>
      </c>
      <c r="C216" s="4" t="s">
        <v>34</v>
      </c>
      <c r="D216" s="5"/>
      <c r="E216" s="5"/>
      <c r="F216" s="5"/>
      <c r="G216" s="5"/>
      <c r="H216" s="12" t="str">
        <f>IF(OR(D216="",E216=""),"",IF(IFERROR(INDEX(Stats!$D:$D,MATCH($C216,Stats!$A:$A,0)),FALSE),ROUND(D216+(E216-D216)*(1+G216)*((1-1)/(MaxLevel-1))^(2^F216),0),D216+(E216-D216)*(1+G216)*((1-1)/(MaxLevel-1))^(2^F216)))</f>
        <v/>
      </c>
      <c r="I216" s="12" t="str">
        <f>IF(OR(D216="",E216=""),"",IF(IFERROR(INDEX(Stats!$D:$D,MATCH($C216,Stats!$A:$A,0)),FALSE),ROUND(D216+(E216-D216)*(1+G216)*((2-1)/(MaxLevel-1))^(2^F216),0),D216+(E216-D216)*(1+G216)*((2-1)/(MaxLevel-1))^(2^F216)))</f>
        <v/>
      </c>
      <c r="J216" s="12" t="str">
        <f>IF(OR(D216="",E216=""),"",IF(IFERROR(INDEX(Stats!$D:$D,MATCH($C216,Stats!$A:$A,0)),FALSE),ROUND(D216+(E216-D216)*(1+G216)*((3-1)/(MaxLevel-1))^(2^F216),0),D216+(E216-D216)*(1+G216)*((3-1)/(MaxLevel-1))^(2^F216)))</f>
        <v/>
      </c>
      <c r="K216" s="12" t="str">
        <f>IF(OR(D216="",E216=""),"",IF(IFERROR(INDEX(Stats!$D:$D,MATCH($C216,Stats!$A:$A,0)),FALSE),ROUND(D216+(E216-D216)*(1+G216)*((4-1)/(MaxLevel-1))^(2^F216),0),D216+(E216-D216)*(1+G216)*((4-1)/(MaxLevel-1))^(2^F216)))</f>
        <v/>
      </c>
      <c r="L216" s="12" t="str">
        <f>IF(OR(D216="",E216=""),"",IF(IFERROR(INDEX(Stats!$D:$D,MATCH($C216,Stats!$A:$A,0)),FALSE),ROUND(D216+(E216-D216)*(1+G216)*((5-1)/(MaxLevel-1))^(2^F216),0),D216+(E216-D216)*(1+G216)*((5-1)/(MaxLevel-1))^(2^F216)))</f>
        <v/>
      </c>
      <c r="M216" s="12" t="str">
        <f>IF(OR(D216="",E216=""),"",IF(IFERROR(INDEX(Stats!$D:$D,MATCH($C216,Stats!$A:$A,0)),FALSE),ROUND(D216+(E216-D216)*(1+G216)*((6-1)/(MaxLevel-1))^(2^F216),0),D216+(E216-D216)*(1+G216)*((6-1)/(MaxLevel-1))^(2^F216)))</f>
        <v/>
      </c>
      <c r="N216" s="12" t="str">
        <f>IF(OR(D216="",E216=""),"",IF(IFERROR(INDEX(Stats!$D:$D,MATCH($C216,Stats!$A:$A,0)),FALSE),ROUND(D216+(E216-D216)*(1+G216)*((7-1)/(MaxLevel-1))^(2^F216),0),D216+(E216-D216)*(1+G216)*((7-1)/(MaxLevel-1))^(2^F216)))</f>
        <v/>
      </c>
      <c r="O216" s="12" t="str">
        <f>IF(OR(D216="",E216=""),"",IF(IFERROR(INDEX(Stats!$D:$D,MATCH($C216,Stats!$A:$A,0)),FALSE),ROUND(D216+(E216-D216)*(1+G216)*((8-1)/(MaxLevel-1))^(2^F216),0),D216+(E216-D216)*(1+G216)*((8-1)/(MaxLevel-1))^(2^F216)))</f>
        <v/>
      </c>
      <c r="P216" s="12" t="str">
        <f>IF(OR(D216="",E216=""),"",IF(IFERROR(INDEX(Stats!$D:$D,MATCH($C216,Stats!$A:$A,0)),FALSE),ROUND(D216+(E216-D216)*(1+G216)*((9-1)/(MaxLevel-1))^(2^F216),0),D216+(E216-D216)*(1+G216)*((9-1)/(MaxLevel-1))^(2^F216)))</f>
        <v/>
      </c>
      <c r="Q216" s="12" t="str">
        <f>IF(OR(D216="",E216=""),"",IF(IFERROR(INDEX(Stats!$D:$D,MATCH($C216,Stats!$A:$A,0)),FALSE),ROUND(D216+(E216-D216)*(1+G216)*((10-1)/(MaxLevel-1))^(2^F216),0),D216+(E216-D216)*(1+G216)*((10-1)/(MaxLevel-1))^(2^F216)))</f>
        <v/>
      </c>
    </row>
    <row r="217" spans="1:17" x14ac:dyDescent="0.25">
      <c r="A217" s="4" t="s">
        <v>185</v>
      </c>
      <c r="B217" s="19" t="s">
        <v>226</v>
      </c>
      <c r="C217" s="4" t="s">
        <v>36</v>
      </c>
      <c r="D217" s="5"/>
      <c r="E217" s="5"/>
      <c r="F217" s="5"/>
      <c r="G217" s="5"/>
      <c r="H217" s="12" t="str">
        <f>IF(OR(D217="",E217=""),"",IF(IFERROR(INDEX(Stats!$D:$D,MATCH($C217,Stats!$A:$A,0)),FALSE),ROUND(D217+(E217-D217)*(1+G217)*((1-1)/(MaxLevel-1))^(2^F217),0),D217+(E217-D217)*(1+G217)*((1-1)/(MaxLevel-1))^(2^F217)))</f>
        <v/>
      </c>
      <c r="I217" s="12" t="str">
        <f>IF(OR(D217="",E217=""),"",IF(IFERROR(INDEX(Stats!$D:$D,MATCH($C217,Stats!$A:$A,0)),FALSE),ROUND(D217+(E217-D217)*(1+G217)*((2-1)/(MaxLevel-1))^(2^F217),0),D217+(E217-D217)*(1+G217)*((2-1)/(MaxLevel-1))^(2^F217)))</f>
        <v/>
      </c>
      <c r="J217" s="12" t="str">
        <f>IF(OR(D217="",E217=""),"",IF(IFERROR(INDEX(Stats!$D:$D,MATCH($C217,Stats!$A:$A,0)),FALSE),ROUND(D217+(E217-D217)*(1+G217)*((3-1)/(MaxLevel-1))^(2^F217),0),D217+(E217-D217)*(1+G217)*((3-1)/(MaxLevel-1))^(2^F217)))</f>
        <v/>
      </c>
      <c r="K217" s="12" t="str">
        <f>IF(OR(D217="",E217=""),"",IF(IFERROR(INDEX(Stats!$D:$D,MATCH($C217,Stats!$A:$A,0)),FALSE),ROUND(D217+(E217-D217)*(1+G217)*((4-1)/(MaxLevel-1))^(2^F217),0),D217+(E217-D217)*(1+G217)*((4-1)/(MaxLevel-1))^(2^F217)))</f>
        <v/>
      </c>
      <c r="L217" s="12" t="str">
        <f>IF(OR(D217="",E217=""),"",IF(IFERROR(INDEX(Stats!$D:$D,MATCH($C217,Stats!$A:$A,0)),FALSE),ROUND(D217+(E217-D217)*(1+G217)*((5-1)/(MaxLevel-1))^(2^F217),0),D217+(E217-D217)*(1+G217)*((5-1)/(MaxLevel-1))^(2^F217)))</f>
        <v/>
      </c>
      <c r="M217" s="12" t="str">
        <f>IF(OR(D217="",E217=""),"",IF(IFERROR(INDEX(Stats!$D:$D,MATCH($C217,Stats!$A:$A,0)),FALSE),ROUND(D217+(E217-D217)*(1+G217)*((6-1)/(MaxLevel-1))^(2^F217),0),D217+(E217-D217)*(1+G217)*((6-1)/(MaxLevel-1))^(2^F217)))</f>
        <v/>
      </c>
      <c r="N217" s="12" t="str">
        <f>IF(OR(D217="",E217=""),"",IF(IFERROR(INDEX(Stats!$D:$D,MATCH($C217,Stats!$A:$A,0)),FALSE),ROUND(D217+(E217-D217)*(1+G217)*((7-1)/(MaxLevel-1))^(2^F217),0),D217+(E217-D217)*(1+G217)*((7-1)/(MaxLevel-1))^(2^F217)))</f>
        <v/>
      </c>
      <c r="O217" s="12" t="str">
        <f>IF(OR(D217="",E217=""),"",IF(IFERROR(INDEX(Stats!$D:$D,MATCH($C217,Stats!$A:$A,0)),FALSE),ROUND(D217+(E217-D217)*(1+G217)*((8-1)/(MaxLevel-1))^(2^F217),0),D217+(E217-D217)*(1+G217)*((8-1)/(MaxLevel-1))^(2^F217)))</f>
        <v/>
      </c>
      <c r="P217" s="12" t="str">
        <f>IF(OR(D217="",E217=""),"",IF(IFERROR(INDEX(Stats!$D:$D,MATCH($C217,Stats!$A:$A,0)),FALSE),ROUND(D217+(E217-D217)*(1+G217)*((9-1)/(MaxLevel-1))^(2^F217),0),D217+(E217-D217)*(1+G217)*((9-1)/(MaxLevel-1))^(2^F217)))</f>
        <v/>
      </c>
      <c r="Q217" s="12" t="str">
        <f>IF(OR(D217="",E217=""),"",IF(IFERROR(INDEX(Stats!$D:$D,MATCH($C217,Stats!$A:$A,0)),FALSE),ROUND(D217+(E217-D217)*(1+G217)*((10-1)/(MaxLevel-1))^(2^F217),0),D217+(E217-D217)*(1+G217)*((10-1)/(MaxLevel-1))^(2^F217)))</f>
        <v/>
      </c>
    </row>
    <row r="218" spans="1:17" x14ac:dyDescent="0.25">
      <c r="A218" s="4" t="s">
        <v>185</v>
      </c>
      <c r="B218" s="19" t="s">
        <v>226</v>
      </c>
      <c r="C218" s="4" t="s">
        <v>38</v>
      </c>
      <c r="D218" s="5"/>
      <c r="E218" s="5"/>
      <c r="F218" s="5"/>
      <c r="G218" s="5"/>
      <c r="H218" s="12" t="str">
        <f>IF(OR(D218="",E218=""),"",IF(IFERROR(INDEX(Stats!$D:$D,MATCH($C218,Stats!$A:$A,0)),FALSE),ROUND(D218+(E218-D218)*(1+G218)*((1-1)/(MaxLevel-1))^(2^F218),0),D218+(E218-D218)*(1+G218)*((1-1)/(MaxLevel-1))^(2^F218)))</f>
        <v/>
      </c>
      <c r="I218" s="12" t="str">
        <f>IF(OR(D218="",E218=""),"",IF(IFERROR(INDEX(Stats!$D:$D,MATCH($C218,Stats!$A:$A,0)),FALSE),ROUND(D218+(E218-D218)*(1+G218)*((2-1)/(MaxLevel-1))^(2^F218),0),D218+(E218-D218)*(1+G218)*((2-1)/(MaxLevel-1))^(2^F218)))</f>
        <v/>
      </c>
      <c r="J218" s="12" t="str">
        <f>IF(OR(D218="",E218=""),"",IF(IFERROR(INDEX(Stats!$D:$D,MATCH($C218,Stats!$A:$A,0)),FALSE),ROUND(D218+(E218-D218)*(1+G218)*((3-1)/(MaxLevel-1))^(2^F218),0),D218+(E218-D218)*(1+G218)*((3-1)/(MaxLevel-1))^(2^F218)))</f>
        <v/>
      </c>
      <c r="K218" s="12" t="str">
        <f>IF(OR(D218="",E218=""),"",IF(IFERROR(INDEX(Stats!$D:$D,MATCH($C218,Stats!$A:$A,0)),FALSE),ROUND(D218+(E218-D218)*(1+G218)*((4-1)/(MaxLevel-1))^(2^F218),0),D218+(E218-D218)*(1+G218)*((4-1)/(MaxLevel-1))^(2^F218)))</f>
        <v/>
      </c>
      <c r="L218" s="12" t="str">
        <f>IF(OR(D218="",E218=""),"",IF(IFERROR(INDEX(Stats!$D:$D,MATCH($C218,Stats!$A:$A,0)),FALSE),ROUND(D218+(E218-D218)*(1+G218)*((5-1)/(MaxLevel-1))^(2^F218),0),D218+(E218-D218)*(1+G218)*((5-1)/(MaxLevel-1))^(2^F218)))</f>
        <v/>
      </c>
      <c r="M218" s="12" t="str">
        <f>IF(OR(D218="",E218=""),"",IF(IFERROR(INDEX(Stats!$D:$D,MATCH($C218,Stats!$A:$A,0)),FALSE),ROUND(D218+(E218-D218)*(1+G218)*((6-1)/(MaxLevel-1))^(2^F218),0),D218+(E218-D218)*(1+G218)*((6-1)/(MaxLevel-1))^(2^F218)))</f>
        <v/>
      </c>
      <c r="N218" s="12" t="str">
        <f>IF(OR(D218="",E218=""),"",IF(IFERROR(INDEX(Stats!$D:$D,MATCH($C218,Stats!$A:$A,0)),FALSE),ROUND(D218+(E218-D218)*(1+G218)*((7-1)/(MaxLevel-1))^(2^F218),0),D218+(E218-D218)*(1+G218)*((7-1)/(MaxLevel-1))^(2^F218)))</f>
        <v/>
      </c>
      <c r="O218" s="12" t="str">
        <f>IF(OR(D218="",E218=""),"",IF(IFERROR(INDEX(Stats!$D:$D,MATCH($C218,Stats!$A:$A,0)),FALSE),ROUND(D218+(E218-D218)*(1+G218)*((8-1)/(MaxLevel-1))^(2^F218),0),D218+(E218-D218)*(1+G218)*((8-1)/(MaxLevel-1))^(2^F218)))</f>
        <v/>
      </c>
      <c r="P218" s="12" t="str">
        <f>IF(OR(D218="",E218=""),"",IF(IFERROR(INDEX(Stats!$D:$D,MATCH($C218,Stats!$A:$A,0)),FALSE),ROUND(D218+(E218-D218)*(1+G218)*((9-1)/(MaxLevel-1))^(2^F218),0),D218+(E218-D218)*(1+G218)*((9-1)/(MaxLevel-1))^(2^F218)))</f>
        <v/>
      </c>
      <c r="Q218" s="12" t="str">
        <f>IF(OR(D218="",E218=""),"",IF(IFERROR(INDEX(Stats!$D:$D,MATCH($C218,Stats!$A:$A,0)),FALSE),ROUND(D218+(E218-D218)*(1+G218)*((10-1)/(MaxLevel-1))^(2^F218),0),D218+(E218-D218)*(1+G218)*((10-1)/(MaxLevel-1))^(2^F218)))</f>
        <v/>
      </c>
    </row>
    <row r="219" spans="1:17" x14ac:dyDescent="0.25">
      <c r="A219" s="4" t="s">
        <v>185</v>
      </c>
      <c r="B219" s="19" t="s">
        <v>226</v>
      </c>
      <c r="C219" s="4" t="s">
        <v>40</v>
      </c>
      <c r="D219" s="5"/>
      <c r="E219" s="5"/>
      <c r="F219" s="5"/>
      <c r="G219" s="5"/>
      <c r="H219" s="12" t="str">
        <f>IF(OR(D219="",E219=""),"",IF(IFERROR(INDEX(Stats!$D:$D,MATCH($C219,Stats!$A:$A,0)),FALSE),ROUND(D219+(E219-D219)*(1+G219)*((1-1)/(MaxLevel-1))^(2^F219),0),D219+(E219-D219)*(1+G219)*((1-1)/(MaxLevel-1))^(2^F219)))</f>
        <v/>
      </c>
      <c r="I219" s="12" t="str">
        <f>IF(OR(D219="",E219=""),"",IF(IFERROR(INDEX(Stats!$D:$D,MATCH($C219,Stats!$A:$A,0)),FALSE),ROUND(D219+(E219-D219)*(1+G219)*((2-1)/(MaxLevel-1))^(2^F219),0),D219+(E219-D219)*(1+G219)*((2-1)/(MaxLevel-1))^(2^F219)))</f>
        <v/>
      </c>
      <c r="J219" s="12" t="str">
        <f>IF(OR(D219="",E219=""),"",IF(IFERROR(INDEX(Stats!$D:$D,MATCH($C219,Stats!$A:$A,0)),FALSE),ROUND(D219+(E219-D219)*(1+G219)*((3-1)/(MaxLevel-1))^(2^F219),0),D219+(E219-D219)*(1+G219)*((3-1)/(MaxLevel-1))^(2^F219)))</f>
        <v/>
      </c>
      <c r="K219" s="12" t="str">
        <f>IF(OR(D219="",E219=""),"",IF(IFERROR(INDEX(Stats!$D:$D,MATCH($C219,Stats!$A:$A,0)),FALSE),ROUND(D219+(E219-D219)*(1+G219)*((4-1)/(MaxLevel-1))^(2^F219),0),D219+(E219-D219)*(1+G219)*((4-1)/(MaxLevel-1))^(2^F219)))</f>
        <v/>
      </c>
      <c r="L219" s="12" t="str">
        <f>IF(OR(D219="",E219=""),"",IF(IFERROR(INDEX(Stats!$D:$D,MATCH($C219,Stats!$A:$A,0)),FALSE),ROUND(D219+(E219-D219)*(1+G219)*((5-1)/(MaxLevel-1))^(2^F219),0),D219+(E219-D219)*(1+G219)*((5-1)/(MaxLevel-1))^(2^F219)))</f>
        <v/>
      </c>
      <c r="M219" s="12" t="str">
        <f>IF(OR(D219="",E219=""),"",IF(IFERROR(INDEX(Stats!$D:$D,MATCH($C219,Stats!$A:$A,0)),FALSE),ROUND(D219+(E219-D219)*(1+G219)*((6-1)/(MaxLevel-1))^(2^F219),0),D219+(E219-D219)*(1+G219)*((6-1)/(MaxLevel-1))^(2^F219)))</f>
        <v/>
      </c>
      <c r="N219" s="12" t="str">
        <f>IF(OR(D219="",E219=""),"",IF(IFERROR(INDEX(Stats!$D:$D,MATCH($C219,Stats!$A:$A,0)),FALSE),ROUND(D219+(E219-D219)*(1+G219)*((7-1)/(MaxLevel-1))^(2^F219),0),D219+(E219-D219)*(1+G219)*((7-1)/(MaxLevel-1))^(2^F219)))</f>
        <v/>
      </c>
      <c r="O219" s="12" t="str">
        <f>IF(OR(D219="",E219=""),"",IF(IFERROR(INDEX(Stats!$D:$D,MATCH($C219,Stats!$A:$A,0)),FALSE),ROUND(D219+(E219-D219)*(1+G219)*((8-1)/(MaxLevel-1))^(2^F219),0),D219+(E219-D219)*(1+G219)*((8-1)/(MaxLevel-1))^(2^F219)))</f>
        <v/>
      </c>
      <c r="P219" s="12" t="str">
        <f>IF(OR(D219="",E219=""),"",IF(IFERROR(INDEX(Stats!$D:$D,MATCH($C219,Stats!$A:$A,0)),FALSE),ROUND(D219+(E219-D219)*(1+G219)*((9-1)/(MaxLevel-1))^(2^F219),0),D219+(E219-D219)*(1+G219)*((9-1)/(MaxLevel-1))^(2^F219)))</f>
        <v/>
      </c>
      <c r="Q219" s="12" t="str">
        <f>IF(OR(D219="",E219=""),"",IF(IFERROR(INDEX(Stats!$D:$D,MATCH($C219,Stats!$A:$A,0)),FALSE),ROUND(D219+(E219-D219)*(1+G219)*((10-1)/(MaxLevel-1))^(2^F219),0),D219+(E219-D219)*(1+G219)*((10-1)/(MaxLevel-1))^(2^F219)))</f>
        <v/>
      </c>
    </row>
    <row r="220" spans="1:17" x14ac:dyDescent="0.25">
      <c r="A220" s="4" t="s">
        <v>185</v>
      </c>
      <c r="B220" s="19" t="s">
        <v>226</v>
      </c>
      <c r="C220" s="4" t="s">
        <v>42</v>
      </c>
      <c r="D220" s="5"/>
      <c r="E220" s="5"/>
      <c r="F220" s="5"/>
      <c r="G220" s="5"/>
      <c r="H220" s="12" t="str">
        <f>IF(OR(D220="",E220=""),"",IF(IFERROR(INDEX(Stats!$D:$D,MATCH($C220,Stats!$A:$A,0)),FALSE),ROUND(D220+(E220-D220)*(1+G220)*((1-1)/(MaxLevel-1))^(2^F220),0),D220+(E220-D220)*(1+G220)*((1-1)/(MaxLevel-1))^(2^F220)))</f>
        <v/>
      </c>
      <c r="I220" s="12" t="str">
        <f>IF(OR(D220="",E220=""),"",IF(IFERROR(INDEX(Stats!$D:$D,MATCH($C220,Stats!$A:$A,0)),FALSE),ROUND(D220+(E220-D220)*(1+G220)*((2-1)/(MaxLevel-1))^(2^F220),0),D220+(E220-D220)*(1+G220)*((2-1)/(MaxLevel-1))^(2^F220)))</f>
        <v/>
      </c>
      <c r="J220" s="12" t="str">
        <f>IF(OR(D220="",E220=""),"",IF(IFERROR(INDEX(Stats!$D:$D,MATCH($C220,Stats!$A:$A,0)),FALSE),ROUND(D220+(E220-D220)*(1+G220)*((3-1)/(MaxLevel-1))^(2^F220),0),D220+(E220-D220)*(1+G220)*((3-1)/(MaxLevel-1))^(2^F220)))</f>
        <v/>
      </c>
      <c r="K220" s="12" t="str">
        <f>IF(OR(D220="",E220=""),"",IF(IFERROR(INDEX(Stats!$D:$D,MATCH($C220,Stats!$A:$A,0)),FALSE),ROUND(D220+(E220-D220)*(1+G220)*((4-1)/(MaxLevel-1))^(2^F220),0),D220+(E220-D220)*(1+G220)*((4-1)/(MaxLevel-1))^(2^F220)))</f>
        <v/>
      </c>
      <c r="L220" s="12" t="str">
        <f>IF(OR(D220="",E220=""),"",IF(IFERROR(INDEX(Stats!$D:$D,MATCH($C220,Stats!$A:$A,0)),FALSE),ROUND(D220+(E220-D220)*(1+G220)*((5-1)/(MaxLevel-1))^(2^F220),0),D220+(E220-D220)*(1+G220)*((5-1)/(MaxLevel-1))^(2^F220)))</f>
        <v/>
      </c>
      <c r="M220" s="12" t="str">
        <f>IF(OR(D220="",E220=""),"",IF(IFERROR(INDEX(Stats!$D:$D,MATCH($C220,Stats!$A:$A,0)),FALSE),ROUND(D220+(E220-D220)*(1+G220)*((6-1)/(MaxLevel-1))^(2^F220),0),D220+(E220-D220)*(1+G220)*((6-1)/(MaxLevel-1))^(2^F220)))</f>
        <v/>
      </c>
      <c r="N220" s="12" t="str">
        <f>IF(OR(D220="",E220=""),"",IF(IFERROR(INDEX(Stats!$D:$D,MATCH($C220,Stats!$A:$A,0)),FALSE),ROUND(D220+(E220-D220)*(1+G220)*((7-1)/(MaxLevel-1))^(2^F220),0),D220+(E220-D220)*(1+G220)*((7-1)/(MaxLevel-1))^(2^F220)))</f>
        <v/>
      </c>
      <c r="O220" s="12" t="str">
        <f>IF(OR(D220="",E220=""),"",IF(IFERROR(INDEX(Stats!$D:$D,MATCH($C220,Stats!$A:$A,0)),FALSE),ROUND(D220+(E220-D220)*(1+G220)*((8-1)/(MaxLevel-1))^(2^F220),0),D220+(E220-D220)*(1+G220)*((8-1)/(MaxLevel-1))^(2^F220)))</f>
        <v/>
      </c>
      <c r="P220" s="12" t="str">
        <f>IF(OR(D220="",E220=""),"",IF(IFERROR(INDEX(Stats!$D:$D,MATCH($C220,Stats!$A:$A,0)),FALSE),ROUND(D220+(E220-D220)*(1+G220)*((9-1)/(MaxLevel-1))^(2^F220),0),D220+(E220-D220)*(1+G220)*((9-1)/(MaxLevel-1))^(2^F220)))</f>
        <v/>
      </c>
      <c r="Q220" s="12" t="str">
        <f>IF(OR(D220="",E220=""),"",IF(IFERROR(INDEX(Stats!$D:$D,MATCH($C220,Stats!$A:$A,0)),FALSE),ROUND(D220+(E220-D220)*(1+G220)*((10-1)/(MaxLevel-1))^(2^F220),0),D220+(E220-D220)*(1+G220)*((10-1)/(MaxLevel-1))^(2^F220)))</f>
        <v/>
      </c>
    </row>
    <row r="221" spans="1:17" x14ac:dyDescent="0.25">
      <c r="A221" s="4" t="s">
        <v>185</v>
      </c>
      <c r="B221" s="19" t="s">
        <v>226</v>
      </c>
      <c r="C221" s="4" t="s">
        <v>44</v>
      </c>
      <c r="D221" s="5"/>
      <c r="E221" s="5"/>
      <c r="F221" s="5"/>
      <c r="G221" s="5"/>
      <c r="H221" s="12" t="str">
        <f>IF(OR(D221="",E221=""),"",IF(IFERROR(INDEX(Stats!$D:$D,MATCH($C221,Stats!$A:$A,0)),FALSE),ROUND(D221+(E221-D221)*(1+G221)*((1-1)/(MaxLevel-1))^(2^F221),0),D221+(E221-D221)*(1+G221)*((1-1)/(MaxLevel-1))^(2^F221)))</f>
        <v/>
      </c>
      <c r="I221" s="12" t="str">
        <f>IF(OR(D221="",E221=""),"",IF(IFERROR(INDEX(Stats!$D:$D,MATCH($C221,Stats!$A:$A,0)),FALSE),ROUND(D221+(E221-D221)*(1+G221)*((2-1)/(MaxLevel-1))^(2^F221),0),D221+(E221-D221)*(1+G221)*((2-1)/(MaxLevel-1))^(2^F221)))</f>
        <v/>
      </c>
      <c r="J221" s="12" t="str">
        <f>IF(OR(D221="",E221=""),"",IF(IFERROR(INDEX(Stats!$D:$D,MATCH($C221,Stats!$A:$A,0)),FALSE),ROUND(D221+(E221-D221)*(1+G221)*((3-1)/(MaxLevel-1))^(2^F221),0),D221+(E221-D221)*(1+G221)*((3-1)/(MaxLevel-1))^(2^F221)))</f>
        <v/>
      </c>
      <c r="K221" s="12" t="str">
        <f>IF(OR(D221="",E221=""),"",IF(IFERROR(INDEX(Stats!$D:$D,MATCH($C221,Stats!$A:$A,0)),FALSE),ROUND(D221+(E221-D221)*(1+G221)*((4-1)/(MaxLevel-1))^(2^F221),0),D221+(E221-D221)*(1+G221)*((4-1)/(MaxLevel-1))^(2^F221)))</f>
        <v/>
      </c>
      <c r="L221" s="12" t="str">
        <f>IF(OR(D221="",E221=""),"",IF(IFERROR(INDEX(Stats!$D:$D,MATCH($C221,Stats!$A:$A,0)),FALSE),ROUND(D221+(E221-D221)*(1+G221)*((5-1)/(MaxLevel-1))^(2^F221),0),D221+(E221-D221)*(1+G221)*((5-1)/(MaxLevel-1))^(2^F221)))</f>
        <v/>
      </c>
      <c r="M221" s="12" t="str">
        <f>IF(OR(D221="",E221=""),"",IF(IFERROR(INDEX(Stats!$D:$D,MATCH($C221,Stats!$A:$A,0)),FALSE),ROUND(D221+(E221-D221)*(1+G221)*((6-1)/(MaxLevel-1))^(2^F221),0),D221+(E221-D221)*(1+G221)*((6-1)/(MaxLevel-1))^(2^F221)))</f>
        <v/>
      </c>
      <c r="N221" s="12" t="str">
        <f>IF(OR(D221="",E221=""),"",IF(IFERROR(INDEX(Stats!$D:$D,MATCH($C221,Stats!$A:$A,0)),FALSE),ROUND(D221+(E221-D221)*(1+G221)*((7-1)/(MaxLevel-1))^(2^F221),0),D221+(E221-D221)*(1+G221)*((7-1)/(MaxLevel-1))^(2^F221)))</f>
        <v/>
      </c>
      <c r="O221" s="12" t="str">
        <f>IF(OR(D221="",E221=""),"",IF(IFERROR(INDEX(Stats!$D:$D,MATCH($C221,Stats!$A:$A,0)),FALSE),ROUND(D221+(E221-D221)*(1+G221)*((8-1)/(MaxLevel-1))^(2^F221),0),D221+(E221-D221)*(1+G221)*((8-1)/(MaxLevel-1))^(2^F221)))</f>
        <v/>
      </c>
      <c r="P221" s="12" t="str">
        <f>IF(OR(D221="",E221=""),"",IF(IFERROR(INDEX(Stats!$D:$D,MATCH($C221,Stats!$A:$A,0)),FALSE),ROUND(D221+(E221-D221)*(1+G221)*((9-1)/(MaxLevel-1))^(2^F221),0),D221+(E221-D221)*(1+G221)*((9-1)/(MaxLevel-1))^(2^F221)))</f>
        <v/>
      </c>
      <c r="Q221" s="12" t="str">
        <f>IF(OR(D221="",E221=""),"",IF(IFERROR(INDEX(Stats!$D:$D,MATCH($C221,Stats!$A:$A,0)),FALSE),ROUND(D221+(E221-D221)*(1+G221)*((10-1)/(MaxLevel-1))^(2^F221),0),D221+(E221-D221)*(1+G221)*((10-1)/(MaxLevel-1))^(2^F221)))</f>
        <v/>
      </c>
    </row>
    <row r="222" spans="1:17" x14ac:dyDescent="0.25">
      <c r="A222" s="4" t="s">
        <v>185</v>
      </c>
      <c r="B222" s="19" t="s">
        <v>226</v>
      </c>
      <c r="C222" s="4" t="s">
        <v>46</v>
      </c>
      <c r="D222" s="5">
        <v>300</v>
      </c>
      <c r="E222" s="5">
        <v>320</v>
      </c>
      <c r="F222" s="5">
        <v>0</v>
      </c>
      <c r="G222" s="5">
        <v>0</v>
      </c>
      <c r="H222" s="12">
        <f>IF(OR(D222="",E222=""),"",IF(IFERROR(INDEX(Stats!$D:$D,MATCH($C222,Stats!$A:$A,0)),FALSE),ROUND(D222+(E222-D222)*(1+G222)*((1-1)/(MaxLevel-1))^(2^F222),0),D222+(E222-D222)*(1+G222)*((1-1)/(MaxLevel-1))^(2^F222)))</f>
        <v>300</v>
      </c>
      <c r="I222" s="12">
        <f>IF(OR(D222="",E222=""),"",IF(IFERROR(INDEX(Stats!$D:$D,MATCH($C222,Stats!$A:$A,0)),FALSE),ROUND(D222+(E222-D222)*(1+G222)*((2-1)/(MaxLevel-1))^(2^F222),0),D222+(E222-D222)*(1+G222)*((2-1)/(MaxLevel-1))^(2^F222)))</f>
        <v>302.22222222222223</v>
      </c>
      <c r="J222" s="12">
        <f>IF(OR(D222="",E222=""),"",IF(IFERROR(INDEX(Stats!$D:$D,MATCH($C222,Stats!$A:$A,0)),FALSE),ROUND(D222+(E222-D222)*(1+G222)*((3-1)/(MaxLevel-1))^(2^F222),0),D222+(E222-D222)*(1+G222)*((3-1)/(MaxLevel-1))^(2^F222)))</f>
        <v>304.44444444444446</v>
      </c>
      <c r="K222" s="12">
        <f>IF(OR(D222="",E222=""),"",IF(IFERROR(INDEX(Stats!$D:$D,MATCH($C222,Stats!$A:$A,0)),FALSE),ROUND(D222+(E222-D222)*(1+G222)*((4-1)/(MaxLevel-1))^(2^F222),0),D222+(E222-D222)*(1+G222)*((4-1)/(MaxLevel-1))^(2^F222)))</f>
        <v>306.66666666666669</v>
      </c>
      <c r="L222" s="12">
        <f>IF(OR(D222="",E222=""),"",IF(IFERROR(INDEX(Stats!$D:$D,MATCH($C222,Stats!$A:$A,0)),FALSE),ROUND(D222+(E222-D222)*(1+G222)*((5-1)/(MaxLevel-1))^(2^F222),0),D222+(E222-D222)*(1+G222)*((5-1)/(MaxLevel-1))^(2^F222)))</f>
        <v>308.88888888888891</v>
      </c>
      <c r="M222" s="12">
        <f>IF(OR(D222="",E222=""),"",IF(IFERROR(INDEX(Stats!$D:$D,MATCH($C222,Stats!$A:$A,0)),FALSE),ROUND(D222+(E222-D222)*(1+G222)*((6-1)/(MaxLevel-1))^(2^F222),0),D222+(E222-D222)*(1+G222)*((6-1)/(MaxLevel-1))^(2^F222)))</f>
        <v>311.11111111111109</v>
      </c>
      <c r="N222" s="12">
        <f>IF(OR(D222="",E222=""),"",IF(IFERROR(INDEX(Stats!$D:$D,MATCH($C222,Stats!$A:$A,0)),FALSE),ROUND(D222+(E222-D222)*(1+G222)*((7-1)/(MaxLevel-1))^(2^F222),0),D222+(E222-D222)*(1+G222)*((7-1)/(MaxLevel-1))^(2^F222)))</f>
        <v>313.33333333333331</v>
      </c>
      <c r="O222" s="12">
        <f>IF(OR(D222="",E222=""),"",IF(IFERROR(INDEX(Stats!$D:$D,MATCH($C222,Stats!$A:$A,0)),FALSE),ROUND(D222+(E222-D222)*(1+G222)*((8-1)/(MaxLevel-1))^(2^F222),0),D222+(E222-D222)*(1+G222)*((8-1)/(MaxLevel-1))^(2^F222)))</f>
        <v>315.55555555555554</v>
      </c>
      <c r="P222" s="12">
        <f>IF(OR(D222="",E222=""),"",IF(IFERROR(INDEX(Stats!$D:$D,MATCH($C222,Stats!$A:$A,0)),FALSE),ROUND(D222+(E222-D222)*(1+G222)*((9-1)/(MaxLevel-1))^(2^F222),0),D222+(E222-D222)*(1+G222)*((9-1)/(MaxLevel-1))^(2^F222)))</f>
        <v>317.77777777777777</v>
      </c>
      <c r="Q222" s="12">
        <f>IF(OR(D222="",E222=""),"",IF(IFERROR(INDEX(Stats!$D:$D,MATCH($C222,Stats!$A:$A,0)),FALSE),ROUND(D222+(E222-D222)*(1+G222)*((10-1)/(MaxLevel-1))^(2^F222),0),D222+(E222-D222)*(1+G222)*((10-1)/(MaxLevel-1))^(2^F222)))</f>
        <v>320</v>
      </c>
    </row>
    <row r="223" spans="1:17" x14ac:dyDescent="0.25">
      <c r="A223" s="4" t="s">
        <v>185</v>
      </c>
      <c r="B223" s="19" t="s">
        <v>226</v>
      </c>
      <c r="C223" s="4" t="s">
        <v>48</v>
      </c>
      <c r="D223" s="5"/>
      <c r="E223" s="5"/>
      <c r="F223" s="5"/>
      <c r="G223" s="5"/>
      <c r="H223" s="12" t="str">
        <f>IF(OR(D223="",E223=""),"",IF(IFERROR(INDEX(Stats!$D:$D,MATCH($C223,Stats!$A:$A,0)),FALSE),ROUND(D223+(E223-D223)*(1+G223)*((1-1)/(MaxLevel-1))^(2^F223),0),D223+(E223-D223)*(1+G223)*((1-1)/(MaxLevel-1))^(2^F223)))</f>
        <v/>
      </c>
      <c r="I223" s="12" t="str">
        <f>IF(OR(D223="",E223=""),"",IF(IFERROR(INDEX(Stats!$D:$D,MATCH($C223,Stats!$A:$A,0)),FALSE),ROUND(D223+(E223-D223)*(1+G223)*((2-1)/(MaxLevel-1))^(2^F223),0),D223+(E223-D223)*(1+G223)*((2-1)/(MaxLevel-1))^(2^F223)))</f>
        <v/>
      </c>
      <c r="J223" s="12" t="str">
        <f>IF(OR(D223="",E223=""),"",IF(IFERROR(INDEX(Stats!$D:$D,MATCH($C223,Stats!$A:$A,0)),FALSE),ROUND(D223+(E223-D223)*(1+G223)*((3-1)/(MaxLevel-1))^(2^F223),0),D223+(E223-D223)*(1+G223)*((3-1)/(MaxLevel-1))^(2^F223)))</f>
        <v/>
      </c>
      <c r="K223" s="12" t="str">
        <f>IF(OR(D223="",E223=""),"",IF(IFERROR(INDEX(Stats!$D:$D,MATCH($C223,Stats!$A:$A,0)),FALSE),ROUND(D223+(E223-D223)*(1+G223)*((4-1)/(MaxLevel-1))^(2^F223),0),D223+(E223-D223)*(1+G223)*((4-1)/(MaxLevel-1))^(2^F223)))</f>
        <v/>
      </c>
      <c r="L223" s="12" t="str">
        <f>IF(OR(D223="",E223=""),"",IF(IFERROR(INDEX(Stats!$D:$D,MATCH($C223,Stats!$A:$A,0)),FALSE),ROUND(D223+(E223-D223)*(1+G223)*((5-1)/(MaxLevel-1))^(2^F223),0),D223+(E223-D223)*(1+G223)*((5-1)/(MaxLevel-1))^(2^F223)))</f>
        <v/>
      </c>
      <c r="M223" s="12" t="str">
        <f>IF(OR(D223="",E223=""),"",IF(IFERROR(INDEX(Stats!$D:$D,MATCH($C223,Stats!$A:$A,0)),FALSE),ROUND(D223+(E223-D223)*(1+G223)*((6-1)/(MaxLevel-1))^(2^F223),0),D223+(E223-D223)*(1+G223)*((6-1)/(MaxLevel-1))^(2^F223)))</f>
        <v/>
      </c>
      <c r="N223" s="12" t="str">
        <f>IF(OR(D223="",E223=""),"",IF(IFERROR(INDEX(Stats!$D:$D,MATCH($C223,Stats!$A:$A,0)),FALSE),ROUND(D223+(E223-D223)*(1+G223)*((7-1)/(MaxLevel-1))^(2^F223),0),D223+(E223-D223)*(1+G223)*((7-1)/(MaxLevel-1))^(2^F223)))</f>
        <v/>
      </c>
      <c r="O223" s="12" t="str">
        <f>IF(OR(D223="",E223=""),"",IF(IFERROR(INDEX(Stats!$D:$D,MATCH($C223,Stats!$A:$A,0)),FALSE),ROUND(D223+(E223-D223)*(1+G223)*((8-1)/(MaxLevel-1))^(2^F223),0),D223+(E223-D223)*(1+G223)*((8-1)/(MaxLevel-1))^(2^F223)))</f>
        <v/>
      </c>
      <c r="P223" s="12" t="str">
        <f>IF(OR(D223="",E223=""),"",IF(IFERROR(INDEX(Stats!$D:$D,MATCH($C223,Stats!$A:$A,0)),FALSE),ROUND(D223+(E223-D223)*(1+G223)*((9-1)/(MaxLevel-1))^(2^F223),0),D223+(E223-D223)*(1+G223)*((9-1)/(MaxLevel-1))^(2^F223)))</f>
        <v/>
      </c>
      <c r="Q223" s="12" t="str">
        <f>IF(OR(D223="",E223=""),"",IF(IFERROR(INDEX(Stats!$D:$D,MATCH($C223,Stats!$A:$A,0)),FALSE),ROUND(D223+(E223-D223)*(1+G223)*((10-1)/(MaxLevel-1))^(2^F223),0),D223+(E223-D223)*(1+G223)*((10-1)/(MaxLevel-1))^(2^F223)))</f>
        <v/>
      </c>
    </row>
    <row r="224" spans="1:17" x14ac:dyDescent="0.25">
      <c r="A224" s="4" t="s">
        <v>185</v>
      </c>
      <c r="B224" s="19" t="s">
        <v>226</v>
      </c>
      <c r="C224" s="4" t="s">
        <v>50</v>
      </c>
      <c r="D224" s="5"/>
      <c r="E224" s="5"/>
      <c r="F224" s="5"/>
      <c r="G224" s="5"/>
      <c r="H224" s="12" t="str">
        <f>IF(OR(D224="",E224=""),"",IF(IFERROR(INDEX(Stats!$D:$D,MATCH($C224,Stats!$A:$A,0)),FALSE),ROUND(D224+(E224-D224)*(1+G224)*((1-1)/(MaxLevel-1))^(2^F224),0),D224+(E224-D224)*(1+G224)*((1-1)/(MaxLevel-1))^(2^F224)))</f>
        <v/>
      </c>
      <c r="I224" s="12" t="str">
        <f>IF(OR(D224="",E224=""),"",IF(IFERROR(INDEX(Stats!$D:$D,MATCH($C224,Stats!$A:$A,0)),FALSE),ROUND(D224+(E224-D224)*(1+G224)*((2-1)/(MaxLevel-1))^(2^F224),0),D224+(E224-D224)*(1+G224)*((2-1)/(MaxLevel-1))^(2^F224)))</f>
        <v/>
      </c>
      <c r="J224" s="12" t="str">
        <f>IF(OR(D224="",E224=""),"",IF(IFERROR(INDEX(Stats!$D:$D,MATCH($C224,Stats!$A:$A,0)),FALSE),ROUND(D224+(E224-D224)*(1+G224)*((3-1)/(MaxLevel-1))^(2^F224),0),D224+(E224-D224)*(1+G224)*((3-1)/(MaxLevel-1))^(2^F224)))</f>
        <v/>
      </c>
      <c r="K224" s="12" t="str">
        <f>IF(OR(D224="",E224=""),"",IF(IFERROR(INDEX(Stats!$D:$D,MATCH($C224,Stats!$A:$A,0)),FALSE),ROUND(D224+(E224-D224)*(1+G224)*((4-1)/(MaxLevel-1))^(2^F224),0),D224+(E224-D224)*(1+G224)*((4-1)/(MaxLevel-1))^(2^F224)))</f>
        <v/>
      </c>
      <c r="L224" s="12" t="str">
        <f>IF(OR(D224="",E224=""),"",IF(IFERROR(INDEX(Stats!$D:$D,MATCH($C224,Stats!$A:$A,0)),FALSE),ROUND(D224+(E224-D224)*(1+G224)*((5-1)/(MaxLevel-1))^(2^F224),0),D224+(E224-D224)*(1+G224)*((5-1)/(MaxLevel-1))^(2^F224)))</f>
        <v/>
      </c>
      <c r="M224" s="12" t="str">
        <f>IF(OR(D224="",E224=""),"",IF(IFERROR(INDEX(Stats!$D:$D,MATCH($C224,Stats!$A:$A,0)),FALSE),ROUND(D224+(E224-D224)*(1+G224)*((6-1)/(MaxLevel-1))^(2^F224),0),D224+(E224-D224)*(1+G224)*((6-1)/(MaxLevel-1))^(2^F224)))</f>
        <v/>
      </c>
      <c r="N224" s="12" t="str">
        <f>IF(OR(D224="",E224=""),"",IF(IFERROR(INDEX(Stats!$D:$D,MATCH($C224,Stats!$A:$A,0)),FALSE),ROUND(D224+(E224-D224)*(1+G224)*((7-1)/(MaxLevel-1))^(2^F224),0),D224+(E224-D224)*(1+G224)*((7-1)/(MaxLevel-1))^(2^F224)))</f>
        <v/>
      </c>
      <c r="O224" s="12" t="str">
        <f>IF(OR(D224="",E224=""),"",IF(IFERROR(INDEX(Stats!$D:$D,MATCH($C224,Stats!$A:$A,0)),FALSE),ROUND(D224+(E224-D224)*(1+G224)*((8-1)/(MaxLevel-1))^(2^F224),0),D224+(E224-D224)*(1+G224)*((8-1)/(MaxLevel-1))^(2^F224)))</f>
        <v/>
      </c>
      <c r="P224" s="12" t="str">
        <f>IF(OR(D224="",E224=""),"",IF(IFERROR(INDEX(Stats!$D:$D,MATCH($C224,Stats!$A:$A,0)),FALSE),ROUND(D224+(E224-D224)*(1+G224)*((9-1)/(MaxLevel-1))^(2^F224),0),D224+(E224-D224)*(1+G224)*((9-1)/(MaxLevel-1))^(2^F224)))</f>
        <v/>
      </c>
      <c r="Q224" s="12" t="str">
        <f>IF(OR(D224="",E224=""),"",IF(IFERROR(INDEX(Stats!$D:$D,MATCH($C224,Stats!$A:$A,0)),FALSE),ROUND(D224+(E224-D224)*(1+G224)*((10-1)/(MaxLevel-1))^(2^F224),0),D224+(E224-D224)*(1+G224)*((10-1)/(MaxLevel-1))^(2^F224)))</f>
        <v/>
      </c>
    </row>
    <row r="225" spans="1:17" x14ac:dyDescent="0.25">
      <c r="A225" s="4" t="s">
        <v>185</v>
      </c>
      <c r="B225" s="19" t="s">
        <v>226</v>
      </c>
      <c r="C225" s="4" t="s">
        <v>52</v>
      </c>
      <c r="D225" s="5"/>
      <c r="E225" s="5"/>
      <c r="F225" s="5"/>
      <c r="G225" s="5"/>
      <c r="H225" s="12" t="str">
        <f>IF(OR(D225="",E225=""),"",IF(IFERROR(INDEX(Stats!$D:$D,MATCH($C225,Stats!$A:$A,0)),FALSE),ROUND(D225+(E225-D225)*(1+G225)*((1-1)/(MaxLevel-1))^(2^F225),0),D225+(E225-D225)*(1+G225)*((1-1)/(MaxLevel-1))^(2^F225)))</f>
        <v/>
      </c>
      <c r="I225" s="12" t="str">
        <f>IF(OR(D225="",E225=""),"",IF(IFERROR(INDEX(Stats!$D:$D,MATCH($C225,Stats!$A:$A,0)),FALSE),ROUND(D225+(E225-D225)*(1+G225)*((2-1)/(MaxLevel-1))^(2^F225),0),D225+(E225-D225)*(1+G225)*((2-1)/(MaxLevel-1))^(2^F225)))</f>
        <v/>
      </c>
      <c r="J225" s="12" t="str">
        <f>IF(OR(D225="",E225=""),"",IF(IFERROR(INDEX(Stats!$D:$D,MATCH($C225,Stats!$A:$A,0)),FALSE),ROUND(D225+(E225-D225)*(1+G225)*((3-1)/(MaxLevel-1))^(2^F225),0),D225+(E225-D225)*(1+G225)*((3-1)/(MaxLevel-1))^(2^F225)))</f>
        <v/>
      </c>
      <c r="K225" s="12" t="str">
        <f>IF(OR(D225="",E225=""),"",IF(IFERROR(INDEX(Stats!$D:$D,MATCH($C225,Stats!$A:$A,0)),FALSE),ROUND(D225+(E225-D225)*(1+G225)*((4-1)/(MaxLevel-1))^(2^F225),0),D225+(E225-D225)*(1+G225)*((4-1)/(MaxLevel-1))^(2^F225)))</f>
        <v/>
      </c>
      <c r="L225" s="12" t="str">
        <f>IF(OR(D225="",E225=""),"",IF(IFERROR(INDEX(Stats!$D:$D,MATCH($C225,Stats!$A:$A,0)),FALSE),ROUND(D225+(E225-D225)*(1+G225)*((5-1)/(MaxLevel-1))^(2^F225),0),D225+(E225-D225)*(1+G225)*((5-1)/(MaxLevel-1))^(2^F225)))</f>
        <v/>
      </c>
      <c r="M225" s="12" t="str">
        <f>IF(OR(D225="",E225=""),"",IF(IFERROR(INDEX(Stats!$D:$D,MATCH($C225,Stats!$A:$A,0)),FALSE),ROUND(D225+(E225-D225)*(1+G225)*((6-1)/(MaxLevel-1))^(2^F225),0),D225+(E225-D225)*(1+G225)*((6-1)/(MaxLevel-1))^(2^F225)))</f>
        <v/>
      </c>
      <c r="N225" s="12" t="str">
        <f>IF(OR(D225="",E225=""),"",IF(IFERROR(INDEX(Stats!$D:$D,MATCH($C225,Stats!$A:$A,0)),FALSE),ROUND(D225+(E225-D225)*(1+G225)*((7-1)/(MaxLevel-1))^(2^F225),0),D225+(E225-D225)*(1+G225)*((7-1)/(MaxLevel-1))^(2^F225)))</f>
        <v/>
      </c>
      <c r="O225" s="12" t="str">
        <f>IF(OR(D225="",E225=""),"",IF(IFERROR(INDEX(Stats!$D:$D,MATCH($C225,Stats!$A:$A,0)),FALSE),ROUND(D225+(E225-D225)*(1+G225)*((8-1)/(MaxLevel-1))^(2^F225),0),D225+(E225-D225)*(1+G225)*((8-1)/(MaxLevel-1))^(2^F225)))</f>
        <v/>
      </c>
      <c r="P225" s="12" t="str">
        <f>IF(OR(D225="",E225=""),"",IF(IFERROR(INDEX(Stats!$D:$D,MATCH($C225,Stats!$A:$A,0)),FALSE),ROUND(D225+(E225-D225)*(1+G225)*((9-1)/(MaxLevel-1))^(2^F225),0),D225+(E225-D225)*(1+G225)*((9-1)/(MaxLevel-1))^(2^F225)))</f>
        <v/>
      </c>
      <c r="Q225" s="12" t="str">
        <f>IF(OR(D225="",E225=""),"",IF(IFERROR(INDEX(Stats!$D:$D,MATCH($C225,Stats!$A:$A,0)),FALSE),ROUND(D225+(E225-D225)*(1+G225)*((10-1)/(MaxLevel-1))^(2^F225),0),D225+(E225-D225)*(1+G225)*((10-1)/(MaxLevel-1))^(2^F225)))</f>
        <v/>
      </c>
    </row>
    <row r="226" spans="1:17" x14ac:dyDescent="0.25">
      <c r="A226" s="4" t="s">
        <v>185</v>
      </c>
      <c r="B226" s="19" t="s">
        <v>226</v>
      </c>
      <c r="C226" s="4" t="s">
        <v>54</v>
      </c>
      <c r="D226" s="5"/>
      <c r="E226" s="5"/>
      <c r="F226" s="5"/>
      <c r="G226" s="5"/>
      <c r="H226" s="12" t="str">
        <f>IF(OR(D226="",E226=""),"",IF(IFERROR(INDEX(Stats!$D:$D,MATCH($C226,Stats!$A:$A,0)),FALSE),ROUND(D226+(E226-D226)*(1+G226)*((1-1)/(MaxLevel-1))^(2^F226),0),D226+(E226-D226)*(1+G226)*((1-1)/(MaxLevel-1))^(2^F226)))</f>
        <v/>
      </c>
      <c r="I226" s="12" t="str">
        <f>IF(OR(D226="",E226=""),"",IF(IFERROR(INDEX(Stats!$D:$D,MATCH($C226,Stats!$A:$A,0)),FALSE),ROUND(D226+(E226-D226)*(1+G226)*((2-1)/(MaxLevel-1))^(2^F226),0),D226+(E226-D226)*(1+G226)*((2-1)/(MaxLevel-1))^(2^F226)))</f>
        <v/>
      </c>
      <c r="J226" s="12" t="str">
        <f>IF(OR(D226="",E226=""),"",IF(IFERROR(INDEX(Stats!$D:$D,MATCH($C226,Stats!$A:$A,0)),FALSE),ROUND(D226+(E226-D226)*(1+G226)*((3-1)/(MaxLevel-1))^(2^F226),0),D226+(E226-D226)*(1+G226)*((3-1)/(MaxLevel-1))^(2^F226)))</f>
        <v/>
      </c>
      <c r="K226" s="12" t="str">
        <f>IF(OR(D226="",E226=""),"",IF(IFERROR(INDEX(Stats!$D:$D,MATCH($C226,Stats!$A:$A,0)),FALSE),ROUND(D226+(E226-D226)*(1+G226)*((4-1)/(MaxLevel-1))^(2^F226),0),D226+(E226-D226)*(1+G226)*((4-1)/(MaxLevel-1))^(2^F226)))</f>
        <v/>
      </c>
      <c r="L226" s="12" t="str">
        <f>IF(OR(D226="",E226=""),"",IF(IFERROR(INDEX(Stats!$D:$D,MATCH($C226,Stats!$A:$A,0)),FALSE),ROUND(D226+(E226-D226)*(1+G226)*((5-1)/(MaxLevel-1))^(2^F226),0),D226+(E226-D226)*(1+G226)*((5-1)/(MaxLevel-1))^(2^F226)))</f>
        <v/>
      </c>
      <c r="M226" s="12" t="str">
        <f>IF(OR(D226="",E226=""),"",IF(IFERROR(INDEX(Stats!$D:$D,MATCH($C226,Stats!$A:$A,0)),FALSE),ROUND(D226+(E226-D226)*(1+G226)*((6-1)/(MaxLevel-1))^(2^F226),0),D226+(E226-D226)*(1+G226)*((6-1)/(MaxLevel-1))^(2^F226)))</f>
        <v/>
      </c>
      <c r="N226" s="12" t="str">
        <f>IF(OR(D226="",E226=""),"",IF(IFERROR(INDEX(Stats!$D:$D,MATCH($C226,Stats!$A:$A,0)),FALSE),ROUND(D226+(E226-D226)*(1+G226)*((7-1)/(MaxLevel-1))^(2^F226),0),D226+(E226-D226)*(1+G226)*((7-1)/(MaxLevel-1))^(2^F226)))</f>
        <v/>
      </c>
      <c r="O226" s="12" t="str">
        <f>IF(OR(D226="",E226=""),"",IF(IFERROR(INDEX(Stats!$D:$D,MATCH($C226,Stats!$A:$A,0)),FALSE),ROUND(D226+(E226-D226)*(1+G226)*((8-1)/(MaxLevel-1))^(2^F226),0),D226+(E226-D226)*(1+G226)*((8-1)/(MaxLevel-1))^(2^F226)))</f>
        <v/>
      </c>
      <c r="P226" s="12" t="str">
        <f>IF(OR(D226="",E226=""),"",IF(IFERROR(INDEX(Stats!$D:$D,MATCH($C226,Stats!$A:$A,0)),FALSE),ROUND(D226+(E226-D226)*(1+G226)*((9-1)/(MaxLevel-1))^(2^F226),0),D226+(E226-D226)*(1+G226)*((9-1)/(MaxLevel-1))^(2^F226)))</f>
        <v/>
      </c>
      <c r="Q226" s="12" t="str">
        <f>IF(OR(D226="",E226=""),"",IF(IFERROR(INDEX(Stats!$D:$D,MATCH($C226,Stats!$A:$A,0)),FALSE),ROUND(D226+(E226-D226)*(1+G226)*((10-1)/(MaxLevel-1))^(2^F226),0),D226+(E226-D226)*(1+G226)*((10-1)/(MaxLevel-1))^(2^F226)))</f>
        <v/>
      </c>
    </row>
    <row r="227" spans="1:17" x14ac:dyDescent="0.25">
      <c r="A227" s="4" t="s">
        <v>185</v>
      </c>
      <c r="B227" s="19" t="s">
        <v>226</v>
      </c>
      <c r="C227" s="4" t="s">
        <v>56</v>
      </c>
      <c r="D227" s="5"/>
      <c r="E227" s="5"/>
      <c r="F227" s="5"/>
      <c r="G227" s="5"/>
      <c r="H227" s="12" t="str">
        <f>IF(OR(D227="",E227=""),"",IF(IFERROR(INDEX(Stats!$D:$D,MATCH($C227,Stats!$A:$A,0)),FALSE),ROUND(D227+(E227-D227)*(1+G227)*((1-1)/(MaxLevel-1))^(2^F227),0),D227+(E227-D227)*(1+G227)*((1-1)/(MaxLevel-1))^(2^F227)))</f>
        <v/>
      </c>
      <c r="I227" s="12" t="str">
        <f>IF(OR(D227="",E227=""),"",IF(IFERROR(INDEX(Stats!$D:$D,MATCH($C227,Stats!$A:$A,0)),FALSE),ROUND(D227+(E227-D227)*(1+G227)*((2-1)/(MaxLevel-1))^(2^F227),0),D227+(E227-D227)*(1+G227)*((2-1)/(MaxLevel-1))^(2^F227)))</f>
        <v/>
      </c>
      <c r="J227" s="12" t="str">
        <f>IF(OR(D227="",E227=""),"",IF(IFERROR(INDEX(Stats!$D:$D,MATCH($C227,Stats!$A:$A,0)),FALSE),ROUND(D227+(E227-D227)*(1+G227)*((3-1)/(MaxLevel-1))^(2^F227),0),D227+(E227-D227)*(1+G227)*((3-1)/(MaxLevel-1))^(2^F227)))</f>
        <v/>
      </c>
      <c r="K227" s="12" t="str">
        <f>IF(OR(D227="",E227=""),"",IF(IFERROR(INDEX(Stats!$D:$D,MATCH($C227,Stats!$A:$A,0)),FALSE),ROUND(D227+(E227-D227)*(1+G227)*((4-1)/(MaxLevel-1))^(2^F227),0),D227+(E227-D227)*(1+G227)*((4-1)/(MaxLevel-1))^(2^F227)))</f>
        <v/>
      </c>
      <c r="L227" s="12" t="str">
        <f>IF(OR(D227="",E227=""),"",IF(IFERROR(INDEX(Stats!$D:$D,MATCH($C227,Stats!$A:$A,0)),FALSE),ROUND(D227+(E227-D227)*(1+G227)*((5-1)/(MaxLevel-1))^(2^F227),0),D227+(E227-D227)*(1+G227)*((5-1)/(MaxLevel-1))^(2^F227)))</f>
        <v/>
      </c>
      <c r="M227" s="12" t="str">
        <f>IF(OR(D227="",E227=""),"",IF(IFERROR(INDEX(Stats!$D:$D,MATCH($C227,Stats!$A:$A,0)),FALSE),ROUND(D227+(E227-D227)*(1+G227)*((6-1)/(MaxLevel-1))^(2^F227),0),D227+(E227-D227)*(1+G227)*((6-1)/(MaxLevel-1))^(2^F227)))</f>
        <v/>
      </c>
      <c r="N227" s="12" t="str">
        <f>IF(OR(D227="",E227=""),"",IF(IFERROR(INDEX(Stats!$D:$D,MATCH($C227,Stats!$A:$A,0)),FALSE),ROUND(D227+(E227-D227)*(1+G227)*((7-1)/(MaxLevel-1))^(2^F227),0),D227+(E227-D227)*(1+G227)*((7-1)/(MaxLevel-1))^(2^F227)))</f>
        <v/>
      </c>
      <c r="O227" s="12" t="str">
        <f>IF(OR(D227="",E227=""),"",IF(IFERROR(INDEX(Stats!$D:$D,MATCH($C227,Stats!$A:$A,0)),FALSE),ROUND(D227+(E227-D227)*(1+G227)*((8-1)/(MaxLevel-1))^(2^F227),0),D227+(E227-D227)*(1+G227)*((8-1)/(MaxLevel-1))^(2^F227)))</f>
        <v/>
      </c>
      <c r="P227" s="12" t="str">
        <f>IF(OR(D227="",E227=""),"",IF(IFERROR(INDEX(Stats!$D:$D,MATCH($C227,Stats!$A:$A,0)),FALSE),ROUND(D227+(E227-D227)*(1+G227)*((9-1)/(MaxLevel-1))^(2^F227),0),D227+(E227-D227)*(1+G227)*((9-1)/(MaxLevel-1))^(2^F227)))</f>
        <v/>
      </c>
      <c r="Q227" s="12" t="str">
        <f>IF(OR(D227="",E227=""),"",IF(IFERROR(INDEX(Stats!$D:$D,MATCH($C227,Stats!$A:$A,0)),FALSE),ROUND(D227+(E227-D227)*(1+G227)*((10-1)/(MaxLevel-1))^(2^F227),0),D227+(E227-D227)*(1+G227)*((10-1)/(MaxLevel-1))^(2^F227)))</f>
        <v/>
      </c>
    </row>
    <row r="228" spans="1:17" x14ac:dyDescent="0.25">
      <c r="A228" s="4" t="s">
        <v>185</v>
      </c>
      <c r="B228" s="19" t="s">
        <v>226</v>
      </c>
      <c r="C228" s="4" t="s">
        <v>58</v>
      </c>
      <c r="D228" s="5"/>
      <c r="E228" s="5"/>
      <c r="F228" s="5"/>
      <c r="G228" s="5"/>
      <c r="H228" s="12" t="str">
        <f>IF(OR(D228="",E228=""),"",IF(IFERROR(INDEX(Stats!$D:$D,MATCH($C228,Stats!$A:$A,0)),FALSE),ROUND(D228+(E228-D228)*(1+G228)*((1-1)/(MaxLevel-1))^(2^F228),0),D228+(E228-D228)*(1+G228)*((1-1)/(MaxLevel-1))^(2^F228)))</f>
        <v/>
      </c>
      <c r="I228" s="12" t="str">
        <f>IF(OR(D228="",E228=""),"",IF(IFERROR(INDEX(Stats!$D:$D,MATCH($C228,Stats!$A:$A,0)),FALSE),ROUND(D228+(E228-D228)*(1+G228)*((2-1)/(MaxLevel-1))^(2^F228),0),D228+(E228-D228)*(1+G228)*((2-1)/(MaxLevel-1))^(2^F228)))</f>
        <v/>
      </c>
      <c r="J228" s="12" t="str">
        <f>IF(OR(D228="",E228=""),"",IF(IFERROR(INDEX(Stats!$D:$D,MATCH($C228,Stats!$A:$A,0)),FALSE),ROUND(D228+(E228-D228)*(1+G228)*((3-1)/(MaxLevel-1))^(2^F228),0),D228+(E228-D228)*(1+G228)*((3-1)/(MaxLevel-1))^(2^F228)))</f>
        <v/>
      </c>
      <c r="K228" s="12" t="str">
        <f>IF(OR(D228="",E228=""),"",IF(IFERROR(INDEX(Stats!$D:$D,MATCH($C228,Stats!$A:$A,0)),FALSE),ROUND(D228+(E228-D228)*(1+G228)*((4-1)/(MaxLevel-1))^(2^F228),0),D228+(E228-D228)*(1+G228)*((4-1)/(MaxLevel-1))^(2^F228)))</f>
        <v/>
      </c>
      <c r="L228" s="12" t="str">
        <f>IF(OR(D228="",E228=""),"",IF(IFERROR(INDEX(Stats!$D:$D,MATCH($C228,Stats!$A:$A,0)),FALSE),ROUND(D228+(E228-D228)*(1+G228)*((5-1)/(MaxLevel-1))^(2^F228),0),D228+(E228-D228)*(1+G228)*((5-1)/(MaxLevel-1))^(2^F228)))</f>
        <v/>
      </c>
      <c r="M228" s="12" t="str">
        <f>IF(OR(D228="",E228=""),"",IF(IFERROR(INDEX(Stats!$D:$D,MATCH($C228,Stats!$A:$A,0)),FALSE),ROUND(D228+(E228-D228)*(1+G228)*((6-1)/(MaxLevel-1))^(2^F228),0),D228+(E228-D228)*(1+G228)*((6-1)/(MaxLevel-1))^(2^F228)))</f>
        <v/>
      </c>
      <c r="N228" s="12" t="str">
        <f>IF(OR(D228="",E228=""),"",IF(IFERROR(INDEX(Stats!$D:$D,MATCH($C228,Stats!$A:$A,0)),FALSE),ROUND(D228+(E228-D228)*(1+G228)*((7-1)/(MaxLevel-1))^(2^F228),0),D228+(E228-D228)*(1+G228)*((7-1)/(MaxLevel-1))^(2^F228)))</f>
        <v/>
      </c>
      <c r="O228" s="12" t="str">
        <f>IF(OR(D228="",E228=""),"",IF(IFERROR(INDEX(Stats!$D:$D,MATCH($C228,Stats!$A:$A,0)),FALSE),ROUND(D228+(E228-D228)*(1+G228)*((8-1)/(MaxLevel-1))^(2^F228),0),D228+(E228-D228)*(1+G228)*((8-1)/(MaxLevel-1))^(2^F228)))</f>
        <v/>
      </c>
      <c r="P228" s="12" t="str">
        <f>IF(OR(D228="",E228=""),"",IF(IFERROR(INDEX(Stats!$D:$D,MATCH($C228,Stats!$A:$A,0)),FALSE),ROUND(D228+(E228-D228)*(1+G228)*((9-1)/(MaxLevel-1))^(2^F228),0),D228+(E228-D228)*(1+G228)*((9-1)/(MaxLevel-1))^(2^F228)))</f>
        <v/>
      </c>
      <c r="Q228" s="12" t="str">
        <f>IF(OR(D228="",E228=""),"",IF(IFERROR(INDEX(Stats!$D:$D,MATCH($C228,Stats!$A:$A,0)),FALSE),ROUND(D228+(E228-D228)*(1+G228)*((10-1)/(MaxLevel-1))^(2^F228),0),D228+(E228-D228)*(1+G228)*((10-1)/(MaxLevel-1))^(2^F228)))</f>
        <v/>
      </c>
    </row>
    <row r="229" spans="1:17" x14ac:dyDescent="0.25">
      <c r="A229" s="4" t="s">
        <v>185</v>
      </c>
      <c r="B229" s="19" t="s">
        <v>226</v>
      </c>
      <c r="C229" s="4" t="s">
        <v>60</v>
      </c>
      <c r="D229" s="5"/>
      <c r="E229" s="5"/>
      <c r="F229" s="5"/>
      <c r="G229" s="5"/>
      <c r="H229" s="12" t="str">
        <f>IF(OR(D229="",E229=""),"",IF(IFERROR(INDEX(Stats!$D:$D,MATCH($C229,Stats!$A:$A,0)),FALSE),ROUND(D229+(E229-D229)*(1+G229)*((1-1)/(MaxLevel-1))^(2^F229),0),D229+(E229-D229)*(1+G229)*((1-1)/(MaxLevel-1))^(2^F229)))</f>
        <v/>
      </c>
      <c r="I229" s="12" t="str">
        <f>IF(OR(D229="",E229=""),"",IF(IFERROR(INDEX(Stats!$D:$D,MATCH($C229,Stats!$A:$A,0)),FALSE),ROUND(D229+(E229-D229)*(1+G229)*((2-1)/(MaxLevel-1))^(2^F229),0),D229+(E229-D229)*(1+G229)*((2-1)/(MaxLevel-1))^(2^F229)))</f>
        <v/>
      </c>
      <c r="J229" s="12" t="str">
        <f>IF(OR(D229="",E229=""),"",IF(IFERROR(INDEX(Stats!$D:$D,MATCH($C229,Stats!$A:$A,0)),FALSE),ROUND(D229+(E229-D229)*(1+G229)*((3-1)/(MaxLevel-1))^(2^F229),0),D229+(E229-D229)*(1+G229)*((3-1)/(MaxLevel-1))^(2^F229)))</f>
        <v/>
      </c>
      <c r="K229" s="12" t="str">
        <f>IF(OR(D229="",E229=""),"",IF(IFERROR(INDEX(Stats!$D:$D,MATCH($C229,Stats!$A:$A,0)),FALSE),ROUND(D229+(E229-D229)*(1+G229)*((4-1)/(MaxLevel-1))^(2^F229),0),D229+(E229-D229)*(1+G229)*((4-1)/(MaxLevel-1))^(2^F229)))</f>
        <v/>
      </c>
      <c r="L229" s="12" t="str">
        <f>IF(OR(D229="",E229=""),"",IF(IFERROR(INDEX(Stats!$D:$D,MATCH($C229,Stats!$A:$A,0)),FALSE),ROUND(D229+(E229-D229)*(1+G229)*((5-1)/(MaxLevel-1))^(2^F229),0),D229+(E229-D229)*(1+G229)*((5-1)/(MaxLevel-1))^(2^F229)))</f>
        <v/>
      </c>
      <c r="M229" s="12" t="str">
        <f>IF(OR(D229="",E229=""),"",IF(IFERROR(INDEX(Stats!$D:$D,MATCH($C229,Stats!$A:$A,0)),FALSE),ROUND(D229+(E229-D229)*(1+G229)*((6-1)/(MaxLevel-1))^(2^F229),0),D229+(E229-D229)*(1+G229)*((6-1)/(MaxLevel-1))^(2^F229)))</f>
        <v/>
      </c>
      <c r="N229" s="12" t="str">
        <f>IF(OR(D229="",E229=""),"",IF(IFERROR(INDEX(Stats!$D:$D,MATCH($C229,Stats!$A:$A,0)),FALSE),ROUND(D229+(E229-D229)*(1+G229)*((7-1)/(MaxLevel-1))^(2^F229),0),D229+(E229-D229)*(1+G229)*((7-1)/(MaxLevel-1))^(2^F229)))</f>
        <v/>
      </c>
      <c r="O229" s="12" t="str">
        <f>IF(OR(D229="",E229=""),"",IF(IFERROR(INDEX(Stats!$D:$D,MATCH($C229,Stats!$A:$A,0)),FALSE),ROUND(D229+(E229-D229)*(1+G229)*((8-1)/(MaxLevel-1))^(2^F229),0),D229+(E229-D229)*(1+G229)*((8-1)/(MaxLevel-1))^(2^F229)))</f>
        <v/>
      </c>
      <c r="P229" s="12" t="str">
        <f>IF(OR(D229="",E229=""),"",IF(IFERROR(INDEX(Stats!$D:$D,MATCH($C229,Stats!$A:$A,0)),FALSE),ROUND(D229+(E229-D229)*(1+G229)*((9-1)/(MaxLevel-1))^(2^F229),0),D229+(E229-D229)*(1+G229)*((9-1)/(MaxLevel-1))^(2^F229)))</f>
        <v/>
      </c>
      <c r="Q229" s="12" t="str">
        <f>IF(OR(D229="",E229=""),"",IF(IFERROR(INDEX(Stats!$D:$D,MATCH($C229,Stats!$A:$A,0)),FALSE),ROUND(D229+(E229-D229)*(1+G229)*((10-1)/(MaxLevel-1))^(2^F229),0),D229+(E229-D229)*(1+G229)*((10-1)/(MaxLevel-1))^(2^F229)))</f>
        <v/>
      </c>
    </row>
    <row r="230" spans="1:17" x14ac:dyDescent="0.25">
      <c r="A230" s="4" t="s">
        <v>185</v>
      </c>
      <c r="B230" s="19" t="s">
        <v>227</v>
      </c>
      <c r="C230" s="4" t="s">
        <v>24</v>
      </c>
      <c r="D230" s="5">
        <v>0</v>
      </c>
      <c r="E230" s="5">
        <v>10000</v>
      </c>
      <c r="F230" s="5">
        <v>1</v>
      </c>
      <c r="G230" s="5">
        <v>0</v>
      </c>
      <c r="H230" s="12">
        <f>IF(OR(D230="",E230=""),"",IF(IFERROR(INDEX(Stats!$D:$D,MATCH($C230,Stats!$A:$A,0)),FALSE),ROUND(D230+(E230-D230)*(1+G230)*((1-1)/(MaxLevel-1))^(2^F230),0),D230+(E230-D230)*(1+G230)*((1-1)/(MaxLevel-1))^(2^F230)))</f>
        <v>0</v>
      </c>
      <c r="I230" s="12">
        <f>IF(OR(D230="",E230=""),"",IF(IFERROR(INDEX(Stats!$D:$D,MATCH($C230,Stats!$A:$A,0)),FALSE),ROUND(D230+(E230-D230)*(1+G230)*((2-1)/(MaxLevel-1))^(2^F230),0),D230+(E230-D230)*(1+G230)*((2-1)/(MaxLevel-1))^(2^F230)))</f>
        <v>123</v>
      </c>
      <c r="J230" s="12">
        <f>IF(OR(D230="",E230=""),"",IF(IFERROR(INDEX(Stats!$D:$D,MATCH($C230,Stats!$A:$A,0)),FALSE),ROUND(D230+(E230-D230)*(1+G230)*((3-1)/(MaxLevel-1))^(2^F230),0),D230+(E230-D230)*(1+G230)*((3-1)/(MaxLevel-1))^(2^F230)))</f>
        <v>494</v>
      </c>
      <c r="K230" s="12">
        <f>IF(OR(D230="",E230=""),"",IF(IFERROR(INDEX(Stats!$D:$D,MATCH($C230,Stats!$A:$A,0)),FALSE),ROUND(D230+(E230-D230)*(1+G230)*((4-1)/(MaxLevel-1))^(2^F230),0),D230+(E230-D230)*(1+G230)*((4-1)/(MaxLevel-1))^(2^F230)))</f>
        <v>1111</v>
      </c>
      <c r="L230" s="12">
        <f>IF(OR(D230="",E230=""),"",IF(IFERROR(INDEX(Stats!$D:$D,MATCH($C230,Stats!$A:$A,0)),FALSE),ROUND(D230+(E230-D230)*(1+G230)*((5-1)/(MaxLevel-1))^(2^F230),0),D230+(E230-D230)*(1+G230)*((5-1)/(MaxLevel-1))^(2^F230)))</f>
        <v>1975</v>
      </c>
      <c r="M230" s="12">
        <f>IF(OR(D230="",E230=""),"",IF(IFERROR(INDEX(Stats!$D:$D,MATCH($C230,Stats!$A:$A,0)),FALSE),ROUND(D230+(E230-D230)*(1+G230)*((6-1)/(MaxLevel-1))^(2^F230),0),D230+(E230-D230)*(1+G230)*((6-1)/(MaxLevel-1))^(2^F230)))</f>
        <v>3086</v>
      </c>
      <c r="N230" s="12">
        <f>IF(OR(D230="",E230=""),"",IF(IFERROR(INDEX(Stats!$D:$D,MATCH($C230,Stats!$A:$A,0)),FALSE),ROUND(D230+(E230-D230)*(1+G230)*((7-1)/(MaxLevel-1))^(2^F230),0),D230+(E230-D230)*(1+G230)*((7-1)/(MaxLevel-1))^(2^F230)))</f>
        <v>4444</v>
      </c>
      <c r="O230" s="12">
        <f>IF(OR(D230="",E230=""),"",IF(IFERROR(INDEX(Stats!$D:$D,MATCH($C230,Stats!$A:$A,0)),FALSE),ROUND(D230+(E230-D230)*(1+G230)*((8-1)/(MaxLevel-1))^(2^F230),0),D230+(E230-D230)*(1+G230)*((8-1)/(MaxLevel-1))^(2^F230)))</f>
        <v>6049</v>
      </c>
      <c r="P230" s="12">
        <f>IF(OR(D230="",E230=""),"",IF(IFERROR(INDEX(Stats!$D:$D,MATCH($C230,Stats!$A:$A,0)),FALSE),ROUND(D230+(E230-D230)*(1+G230)*((9-1)/(MaxLevel-1))^(2^F230),0),D230+(E230-D230)*(1+G230)*((9-1)/(MaxLevel-1))^(2^F230)))</f>
        <v>7901</v>
      </c>
      <c r="Q230" s="12">
        <f>IF(OR(D230="",E230=""),"",IF(IFERROR(INDEX(Stats!$D:$D,MATCH($C230,Stats!$A:$A,0)),FALSE),ROUND(D230+(E230-D230)*(1+G230)*((10-1)/(MaxLevel-1))^(2^F230),0),D230+(E230-D230)*(1+G230)*((10-1)/(MaxLevel-1))^(2^F230)))</f>
        <v>10000</v>
      </c>
    </row>
    <row r="231" spans="1:17" x14ac:dyDescent="0.25">
      <c r="A231" s="4" t="s">
        <v>185</v>
      </c>
      <c r="B231" s="19" t="s">
        <v>227</v>
      </c>
      <c r="C231" s="4" t="s">
        <v>26</v>
      </c>
      <c r="D231" s="5">
        <v>25</v>
      </c>
      <c r="E231" s="5">
        <v>150</v>
      </c>
      <c r="F231" s="5">
        <v>0</v>
      </c>
      <c r="G231" s="5">
        <v>0</v>
      </c>
      <c r="H231" s="12">
        <f>IF(OR(D231="",E231=""),"",IF(IFERROR(INDEX(Stats!$D:$D,MATCH($C231,Stats!$A:$A,0)),FALSE),ROUND(D231+(E231-D231)*(1+G231)*((1-1)/(MaxLevel-1))^(2^F231),0),D231+(E231-D231)*(1+G231)*((1-1)/(MaxLevel-1))^(2^F231)))</f>
        <v>25</v>
      </c>
      <c r="I231" s="12">
        <f>IF(OR(D231="",E231=""),"",IF(IFERROR(INDEX(Stats!$D:$D,MATCH($C231,Stats!$A:$A,0)),FALSE),ROUND(D231+(E231-D231)*(1+G231)*((2-1)/(MaxLevel-1))^(2^F231),0),D231+(E231-D231)*(1+G231)*((2-1)/(MaxLevel-1))^(2^F231)))</f>
        <v>39</v>
      </c>
      <c r="J231" s="12">
        <f>IF(OR(D231="",E231=""),"",IF(IFERROR(INDEX(Stats!$D:$D,MATCH($C231,Stats!$A:$A,0)),FALSE),ROUND(D231+(E231-D231)*(1+G231)*((3-1)/(MaxLevel-1))^(2^F231),0),D231+(E231-D231)*(1+G231)*((3-1)/(MaxLevel-1))^(2^F231)))</f>
        <v>53</v>
      </c>
      <c r="K231" s="12">
        <f>IF(OR(D231="",E231=""),"",IF(IFERROR(INDEX(Stats!$D:$D,MATCH($C231,Stats!$A:$A,0)),FALSE),ROUND(D231+(E231-D231)*(1+G231)*((4-1)/(MaxLevel-1))^(2^F231),0),D231+(E231-D231)*(1+G231)*((4-1)/(MaxLevel-1))^(2^F231)))</f>
        <v>67</v>
      </c>
      <c r="L231" s="12">
        <f>IF(OR(D231="",E231=""),"",IF(IFERROR(INDEX(Stats!$D:$D,MATCH($C231,Stats!$A:$A,0)),FALSE),ROUND(D231+(E231-D231)*(1+G231)*((5-1)/(MaxLevel-1))^(2^F231),0),D231+(E231-D231)*(1+G231)*((5-1)/(MaxLevel-1))^(2^F231)))</f>
        <v>81</v>
      </c>
      <c r="M231" s="12">
        <f>IF(OR(D231="",E231=""),"",IF(IFERROR(INDEX(Stats!$D:$D,MATCH($C231,Stats!$A:$A,0)),FALSE),ROUND(D231+(E231-D231)*(1+G231)*((6-1)/(MaxLevel-1))^(2^F231),0),D231+(E231-D231)*(1+G231)*((6-1)/(MaxLevel-1))^(2^F231)))</f>
        <v>94</v>
      </c>
      <c r="N231" s="12">
        <f>IF(OR(D231="",E231=""),"",IF(IFERROR(INDEX(Stats!$D:$D,MATCH($C231,Stats!$A:$A,0)),FALSE),ROUND(D231+(E231-D231)*(1+G231)*((7-1)/(MaxLevel-1))^(2^F231),0),D231+(E231-D231)*(1+G231)*((7-1)/(MaxLevel-1))^(2^F231)))</f>
        <v>108</v>
      </c>
      <c r="O231" s="12">
        <f>IF(OR(D231="",E231=""),"",IF(IFERROR(INDEX(Stats!$D:$D,MATCH($C231,Stats!$A:$A,0)),FALSE),ROUND(D231+(E231-D231)*(1+G231)*((8-1)/(MaxLevel-1))^(2^F231),0),D231+(E231-D231)*(1+G231)*((8-1)/(MaxLevel-1))^(2^F231)))</f>
        <v>122</v>
      </c>
      <c r="P231" s="12">
        <f>IF(OR(D231="",E231=""),"",IF(IFERROR(INDEX(Stats!$D:$D,MATCH($C231,Stats!$A:$A,0)),FALSE),ROUND(D231+(E231-D231)*(1+G231)*((9-1)/(MaxLevel-1))^(2^F231),0),D231+(E231-D231)*(1+G231)*((9-1)/(MaxLevel-1))^(2^F231)))</f>
        <v>136</v>
      </c>
      <c r="Q231" s="12">
        <f>IF(OR(D231="",E231=""),"",IF(IFERROR(INDEX(Stats!$D:$D,MATCH($C231,Stats!$A:$A,0)),FALSE),ROUND(D231+(E231-D231)*(1+G231)*((10-1)/(MaxLevel-1))^(2^F231),0),D231+(E231-D231)*(1+G231)*((10-1)/(MaxLevel-1))^(2^F231)))</f>
        <v>150</v>
      </c>
    </row>
    <row r="232" spans="1:17" x14ac:dyDescent="0.25">
      <c r="A232" s="4" t="s">
        <v>185</v>
      </c>
      <c r="B232" s="19" t="s">
        <v>227</v>
      </c>
      <c r="C232" s="4" t="s">
        <v>28</v>
      </c>
      <c r="D232" s="5">
        <v>300</v>
      </c>
      <c r="E232" s="5">
        <v>1200</v>
      </c>
      <c r="F232" s="5">
        <v>0</v>
      </c>
      <c r="G232" s="5">
        <v>-0.1</v>
      </c>
      <c r="H232" s="12">
        <f>IF(OR(D232="",E232=""),"",IF(IFERROR(INDEX(Stats!$D:$D,MATCH($C232,Stats!$A:$A,0)),FALSE),ROUND(D232+(E232-D232)*(1+G232)*((1-1)/(MaxLevel-1))^(2^F232),0),D232+(E232-D232)*(1+G232)*((1-1)/(MaxLevel-1))^(2^F232)))</f>
        <v>300</v>
      </c>
      <c r="I232" s="12">
        <f>IF(OR(D232="",E232=""),"",IF(IFERROR(INDEX(Stats!$D:$D,MATCH($C232,Stats!$A:$A,0)),FALSE),ROUND(D232+(E232-D232)*(1+G232)*((2-1)/(MaxLevel-1))^(2^F232),0),D232+(E232-D232)*(1+G232)*((2-1)/(MaxLevel-1))^(2^F232)))</f>
        <v>390</v>
      </c>
      <c r="J232" s="12">
        <f>IF(OR(D232="",E232=""),"",IF(IFERROR(INDEX(Stats!$D:$D,MATCH($C232,Stats!$A:$A,0)),FALSE),ROUND(D232+(E232-D232)*(1+G232)*((3-1)/(MaxLevel-1))^(2^F232),0),D232+(E232-D232)*(1+G232)*((3-1)/(MaxLevel-1))^(2^F232)))</f>
        <v>480</v>
      </c>
      <c r="K232" s="12">
        <f>IF(OR(D232="",E232=""),"",IF(IFERROR(INDEX(Stats!$D:$D,MATCH($C232,Stats!$A:$A,0)),FALSE),ROUND(D232+(E232-D232)*(1+G232)*((4-1)/(MaxLevel-1))^(2^F232),0),D232+(E232-D232)*(1+G232)*((4-1)/(MaxLevel-1))^(2^F232)))</f>
        <v>570</v>
      </c>
      <c r="L232" s="12">
        <f>IF(OR(D232="",E232=""),"",IF(IFERROR(INDEX(Stats!$D:$D,MATCH($C232,Stats!$A:$A,0)),FALSE),ROUND(D232+(E232-D232)*(1+G232)*((5-1)/(MaxLevel-1))^(2^F232),0),D232+(E232-D232)*(1+G232)*((5-1)/(MaxLevel-1))^(2^F232)))</f>
        <v>660</v>
      </c>
      <c r="M232" s="12">
        <f>IF(OR(D232="",E232=""),"",IF(IFERROR(INDEX(Stats!$D:$D,MATCH($C232,Stats!$A:$A,0)),FALSE),ROUND(D232+(E232-D232)*(1+G232)*((6-1)/(MaxLevel-1))^(2^F232),0),D232+(E232-D232)*(1+G232)*((6-1)/(MaxLevel-1))^(2^F232)))</f>
        <v>750</v>
      </c>
      <c r="N232" s="12">
        <f>IF(OR(D232="",E232=""),"",IF(IFERROR(INDEX(Stats!$D:$D,MATCH($C232,Stats!$A:$A,0)),FALSE),ROUND(D232+(E232-D232)*(1+G232)*((7-1)/(MaxLevel-1))^(2^F232),0),D232+(E232-D232)*(1+G232)*((7-1)/(MaxLevel-1))^(2^F232)))</f>
        <v>840</v>
      </c>
      <c r="O232" s="12">
        <f>IF(OR(D232="",E232=""),"",IF(IFERROR(INDEX(Stats!$D:$D,MATCH($C232,Stats!$A:$A,0)),FALSE),ROUND(D232+(E232-D232)*(1+G232)*((8-1)/(MaxLevel-1))^(2^F232),0),D232+(E232-D232)*(1+G232)*((8-1)/(MaxLevel-1))^(2^F232)))</f>
        <v>930</v>
      </c>
      <c r="P232" s="12">
        <f>IF(OR(D232="",E232=""),"",IF(IFERROR(INDEX(Stats!$D:$D,MATCH($C232,Stats!$A:$A,0)),FALSE),ROUND(D232+(E232-D232)*(1+G232)*((9-1)/(MaxLevel-1))^(2^F232),0),D232+(E232-D232)*(1+G232)*((9-1)/(MaxLevel-1))^(2^F232)))</f>
        <v>1020</v>
      </c>
      <c r="Q232" s="12">
        <f>IF(OR(D232="",E232=""),"",IF(IFERROR(INDEX(Stats!$D:$D,MATCH($C232,Stats!$A:$A,0)),FALSE),ROUND(D232+(E232-D232)*(1+G232)*((10-1)/(MaxLevel-1))^(2^F232),0),D232+(E232-D232)*(1+G232)*((10-1)/(MaxLevel-1))^(2^F232)))</f>
        <v>1110</v>
      </c>
    </row>
    <row r="233" spans="1:17" x14ac:dyDescent="0.25">
      <c r="A233" s="4" t="s">
        <v>185</v>
      </c>
      <c r="B233" s="19" t="s">
        <v>227</v>
      </c>
      <c r="C233" s="4" t="s">
        <v>30</v>
      </c>
      <c r="D233" s="5">
        <v>25</v>
      </c>
      <c r="E233" s="5">
        <v>110</v>
      </c>
      <c r="F233" s="5">
        <v>0.5</v>
      </c>
      <c r="G233" s="5">
        <v>0</v>
      </c>
      <c r="H233" s="12">
        <f>IF(OR(D233="",E233=""),"",IF(IFERROR(INDEX(Stats!$D:$D,MATCH($C233,Stats!$A:$A,0)),FALSE),ROUND(D233+(E233-D233)*(1+G233)*((1-1)/(MaxLevel-1))^(2^F233),0),D233+(E233-D233)*(1+G233)*((1-1)/(MaxLevel-1))^(2^F233)))</f>
        <v>25</v>
      </c>
      <c r="I233" s="12">
        <f>IF(OR(D233="",E233=""),"",IF(IFERROR(INDEX(Stats!$D:$D,MATCH($C233,Stats!$A:$A,0)),FALSE),ROUND(D233+(E233-D233)*(1+G233)*((2-1)/(MaxLevel-1))^(2^F233),0),D233+(E233-D233)*(1+G233)*((2-1)/(MaxLevel-1))^(2^F233)))</f>
        <v>29</v>
      </c>
      <c r="J233" s="12">
        <f>IF(OR(D233="",E233=""),"",IF(IFERROR(INDEX(Stats!$D:$D,MATCH($C233,Stats!$A:$A,0)),FALSE),ROUND(D233+(E233-D233)*(1+G233)*((3-1)/(MaxLevel-1))^(2^F233),0),D233+(E233-D233)*(1+G233)*((3-1)/(MaxLevel-1))^(2^F233)))</f>
        <v>35</v>
      </c>
      <c r="K233" s="12">
        <f>IF(OR(D233="",E233=""),"",IF(IFERROR(INDEX(Stats!$D:$D,MATCH($C233,Stats!$A:$A,0)),FALSE),ROUND(D233+(E233-D233)*(1+G233)*((4-1)/(MaxLevel-1))^(2^F233),0),D233+(E233-D233)*(1+G233)*((4-1)/(MaxLevel-1))^(2^F233)))</f>
        <v>43</v>
      </c>
      <c r="L233" s="12">
        <f>IF(OR(D233="",E233=""),"",IF(IFERROR(INDEX(Stats!$D:$D,MATCH($C233,Stats!$A:$A,0)),FALSE),ROUND(D233+(E233-D233)*(1+G233)*((5-1)/(MaxLevel-1))^(2^F233),0),D233+(E233-D233)*(1+G233)*((5-1)/(MaxLevel-1))^(2^F233)))</f>
        <v>52</v>
      </c>
      <c r="M233" s="12">
        <f>IF(OR(D233="",E233=""),"",IF(IFERROR(INDEX(Stats!$D:$D,MATCH($C233,Stats!$A:$A,0)),FALSE),ROUND(D233+(E233-D233)*(1+G233)*((6-1)/(MaxLevel-1))^(2^F233),0),D233+(E233-D233)*(1+G233)*((6-1)/(MaxLevel-1))^(2^F233)))</f>
        <v>62</v>
      </c>
      <c r="N233" s="12">
        <f>IF(OR(D233="",E233=""),"",IF(IFERROR(INDEX(Stats!$D:$D,MATCH($C233,Stats!$A:$A,0)),FALSE),ROUND(D233+(E233-D233)*(1+G233)*((7-1)/(MaxLevel-1))^(2^F233),0),D233+(E233-D233)*(1+G233)*((7-1)/(MaxLevel-1))^(2^F233)))</f>
        <v>73</v>
      </c>
      <c r="O233" s="12">
        <f>IF(OR(D233="",E233=""),"",IF(IFERROR(INDEX(Stats!$D:$D,MATCH($C233,Stats!$A:$A,0)),FALSE),ROUND(D233+(E233-D233)*(1+G233)*((8-1)/(MaxLevel-1))^(2^F233),0),D233+(E233-D233)*(1+G233)*((8-1)/(MaxLevel-1))^(2^F233)))</f>
        <v>85</v>
      </c>
      <c r="P233" s="12">
        <f>IF(OR(D233="",E233=""),"",IF(IFERROR(INDEX(Stats!$D:$D,MATCH($C233,Stats!$A:$A,0)),FALSE),ROUND(D233+(E233-D233)*(1+G233)*((9-1)/(MaxLevel-1))^(2^F233),0),D233+(E233-D233)*(1+G233)*((9-1)/(MaxLevel-1))^(2^F233)))</f>
        <v>97</v>
      </c>
      <c r="Q233" s="12">
        <f>IF(OR(D233="",E233=""),"",IF(IFERROR(INDEX(Stats!$D:$D,MATCH($C233,Stats!$A:$A,0)),FALSE),ROUND(D233+(E233-D233)*(1+G233)*((10-1)/(MaxLevel-1))^(2^F233),0),D233+(E233-D233)*(1+G233)*((10-1)/(MaxLevel-1))^(2^F233)))</f>
        <v>110</v>
      </c>
    </row>
    <row r="234" spans="1:17" x14ac:dyDescent="0.25">
      <c r="A234" s="4" t="s">
        <v>185</v>
      </c>
      <c r="B234" s="19" t="s">
        <v>227</v>
      </c>
      <c r="C234" s="4" t="s">
        <v>32</v>
      </c>
      <c r="D234" s="5"/>
      <c r="E234" s="5"/>
      <c r="F234" s="5"/>
      <c r="G234" s="5"/>
      <c r="H234" s="12" t="str">
        <f>IF(OR(D234="",E234=""),"",IF(IFERROR(INDEX(Stats!$D:$D,MATCH($C234,Stats!$A:$A,0)),FALSE),ROUND(D234+(E234-D234)*(1+G234)*((1-1)/(MaxLevel-1))^(2^F234),0),D234+(E234-D234)*(1+G234)*((1-1)/(MaxLevel-1))^(2^F234)))</f>
        <v/>
      </c>
      <c r="I234" s="12" t="str">
        <f>IF(OR(D234="",E234=""),"",IF(IFERROR(INDEX(Stats!$D:$D,MATCH($C234,Stats!$A:$A,0)),FALSE),ROUND(D234+(E234-D234)*(1+G234)*((2-1)/(MaxLevel-1))^(2^F234),0),D234+(E234-D234)*(1+G234)*((2-1)/(MaxLevel-1))^(2^F234)))</f>
        <v/>
      </c>
      <c r="J234" s="12" t="str">
        <f>IF(OR(D234="",E234=""),"",IF(IFERROR(INDEX(Stats!$D:$D,MATCH($C234,Stats!$A:$A,0)),FALSE),ROUND(D234+(E234-D234)*(1+G234)*((3-1)/(MaxLevel-1))^(2^F234),0),D234+(E234-D234)*(1+G234)*((3-1)/(MaxLevel-1))^(2^F234)))</f>
        <v/>
      </c>
      <c r="K234" s="12" t="str">
        <f>IF(OR(D234="",E234=""),"",IF(IFERROR(INDEX(Stats!$D:$D,MATCH($C234,Stats!$A:$A,0)),FALSE),ROUND(D234+(E234-D234)*(1+G234)*((4-1)/(MaxLevel-1))^(2^F234),0),D234+(E234-D234)*(1+G234)*((4-1)/(MaxLevel-1))^(2^F234)))</f>
        <v/>
      </c>
      <c r="L234" s="12" t="str">
        <f>IF(OR(D234="",E234=""),"",IF(IFERROR(INDEX(Stats!$D:$D,MATCH($C234,Stats!$A:$A,0)),FALSE),ROUND(D234+(E234-D234)*(1+G234)*((5-1)/(MaxLevel-1))^(2^F234),0),D234+(E234-D234)*(1+G234)*((5-1)/(MaxLevel-1))^(2^F234)))</f>
        <v/>
      </c>
      <c r="M234" s="12" t="str">
        <f>IF(OR(D234="",E234=""),"",IF(IFERROR(INDEX(Stats!$D:$D,MATCH($C234,Stats!$A:$A,0)),FALSE),ROUND(D234+(E234-D234)*(1+G234)*((6-1)/(MaxLevel-1))^(2^F234),0),D234+(E234-D234)*(1+G234)*((6-1)/(MaxLevel-1))^(2^F234)))</f>
        <v/>
      </c>
      <c r="N234" s="12" t="str">
        <f>IF(OR(D234="",E234=""),"",IF(IFERROR(INDEX(Stats!$D:$D,MATCH($C234,Stats!$A:$A,0)),FALSE),ROUND(D234+(E234-D234)*(1+G234)*((7-1)/(MaxLevel-1))^(2^F234),0),D234+(E234-D234)*(1+G234)*((7-1)/(MaxLevel-1))^(2^F234)))</f>
        <v/>
      </c>
      <c r="O234" s="12" t="str">
        <f>IF(OR(D234="",E234=""),"",IF(IFERROR(INDEX(Stats!$D:$D,MATCH($C234,Stats!$A:$A,0)),FALSE),ROUND(D234+(E234-D234)*(1+G234)*((8-1)/(MaxLevel-1))^(2^F234),0),D234+(E234-D234)*(1+G234)*((8-1)/(MaxLevel-1))^(2^F234)))</f>
        <v/>
      </c>
      <c r="P234" s="12" t="str">
        <f>IF(OR(D234="",E234=""),"",IF(IFERROR(INDEX(Stats!$D:$D,MATCH($C234,Stats!$A:$A,0)),FALSE),ROUND(D234+(E234-D234)*(1+G234)*((9-1)/(MaxLevel-1))^(2^F234),0),D234+(E234-D234)*(1+G234)*((9-1)/(MaxLevel-1))^(2^F234)))</f>
        <v/>
      </c>
      <c r="Q234" s="12" t="str">
        <f>IF(OR(D234="",E234=""),"",IF(IFERROR(INDEX(Stats!$D:$D,MATCH($C234,Stats!$A:$A,0)),FALSE),ROUND(D234+(E234-D234)*(1+G234)*((10-1)/(MaxLevel-1))^(2^F234),0),D234+(E234-D234)*(1+G234)*((10-1)/(MaxLevel-1))^(2^F234)))</f>
        <v/>
      </c>
    </row>
    <row r="235" spans="1:17" x14ac:dyDescent="0.25">
      <c r="A235" s="4" t="s">
        <v>185</v>
      </c>
      <c r="B235" s="19" t="s">
        <v>227</v>
      </c>
      <c r="C235" s="4" t="s">
        <v>34</v>
      </c>
      <c r="D235" s="5"/>
      <c r="E235" s="5"/>
      <c r="F235" s="5"/>
      <c r="G235" s="5"/>
      <c r="H235" s="12" t="str">
        <f>IF(OR(D235="",E235=""),"",IF(IFERROR(INDEX(Stats!$D:$D,MATCH($C235,Stats!$A:$A,0)),FALSE),ROUND(D235+(E235-D235)*(1+G235)*((1-1)/(MaxLevel-1))^(2^F235),0),D235+(E235-D235)*(1+G235)*((1-1)/(MaxLevel-1))^(2^F235)))</f>
        <v/>
      </c>
      <c r="I235" s="12" t="str">
        <f>IF(OR(D235="",E235=""),"",IF(IFERROR(INDEX(Stats!$D:$D,MATCH($C235,Stats!$A:$A,0)),FALSE),ROUND(D235+(E235-D235)*(1+G235)*((2-1)/(MaxLevel-1))^(2^F235),0),D235+(E235-D235)*(1+G235)*((2-1)/(MaxLevel-1))^(2^F235)))</f>
        <v/>
      </c>
      <c r="J235" s="12" t="str">
        <f>IF(OR(D235="",E235=""),"",IF(IFERROR(INDEX(Stats!$D:$D,MATCH($C235,Stats!$A:$A,0)),FALSE),ROUND(D235+(E235-D235)*(1+G235)*((3-1)/(MaxLevel-1))^(2^F235),0),D235+(E235-D235)*(1+G235)*((3-1)/(MaxLevel-1))^(2^F235)))</f>
        <v/>
      </c>
      <c r="K235" s="12" t="str">
        <f>IF(OR(D235="",E235=""),"",IF(IFERROR(INDEX(Stats!$D:$D,MATCH($C235,Stats!$A:$A,0)),FALSE),ROUND(D235+(E235-D235)*(1+G235)*((4-1)/(MaxLevel-1))^(2^F235),0),D235+(E235-D235)*(1+G235)*((4-1)/(MaxLevel-1))^(2^F235)))</f>
        <v/>
      </c>
      <c r="L235" s="12" t="str">
        <f>IF(OR(D235="",E235=""),"",IF(IFERROR(INDEX(Stats!$D:$D,MATCH($C235,Stats!$A:$A,0)),FALSE),ROUND(D235+(E235-D235)*(1+G235)*((5-1)/(MaxLevel-1))^(2^F235),0),D235+(E235-D235)*(1+G235)*((5-1)/(MaxLevel-1))^(2^F235)))</f>
        <v/>
      </c>
      <c r="M235" s="12" t="str">
        <f>IF(OR(D235="",E235=""),"",IF(IFERROR(INDEX(Stats!$D:$D,MATCH($C235,Stats!$A:$A,0)),FALSE),ROUND(D235+(E235-D235)*(1+G235)*((6-1)/(MaxLevel-1))^(2^F235),0),D235+(E235-D235)*(1+G235)*((6-1)/(MaxLevel-1))^(2^F235)))</f>
        <v/>
      </c>
      <c r="N235" s="12" t="str">
        <f>IF(OR(D235="",E235=""),"",IF(IFERROR(INDEX(Stats!$D:$D,MATCH($C235,Stats!$A:$A,0)),FALSE),ROUND(D235+(E235-D235)*(1+G235)*((7-1)/(MaxLevel-1))^(2^F235),0),D235+(E235-D235)*(1+G235)*((7-1)/(MaxLevel-1))^(2^F235)))</f>
        <v/>
      </c>
      <c r="O235" s="12" t="str">
        <f>IF(OR(D235="",E235=""),"",IF(IFERROR(INDEX(Stats!$D:$D,MATCH($C235,Stats!$A:$A,0)),FALSE),ROUND(D235+(E235-D235)*(1+G235)*((8-1)/(MaxLevel-1))^(2^F235),0),D235+(E235-D235)*(1+G235)*((8-1)/(MaxLevel-1))^(2^F235)))</f>
        <v/>
      </c>
      <c r="P235" s="12" t="str">
        <f>IF(OR(D235="",E235=""),"",IF(IFERROR(INDEX(Stats!$D:$D,MATCH($C235,Stats!$A:$A,0)),FALSE),ROUND(D235+(E235-D235)*(1+G235)*((9-1)/(MaxLevel-1))^(2^F235),0),D235+(E235-D235)*(1+G235)*((9-1)/(MaxLevel-1))^(2^F235)))</f>
        <v/>
      </c>
      <c r="Q235" s="12" t="str">
        <f>IF(OR(D235="",E235=""),"",IF(IFERROR(INDEX(Stats!$D:$D,MATCH($C235,Stats!$A:$A,0)),FALSE),ROUND(D235+(E235-D235)*(1+G235)*((10-1)/(MaxLevel-1))^(2^F235),0),D235+(E235-D235)*(1+G235)*((10-1)/(MaxLevel-1))^(2^F235)))</f>
        <v/>
      </c>
    </row>
    <row r="236" spans="1:17" x14ac:dyDescent="0.25">
      <c r="A236" s="4" t="s">
        <v>185</v>
      </c>
      <c r="B236" s="19" t="s">
        <v>227</v>
      </c>
      <c r="C236" s="4" t="s">
        <v>36</v>
      </c>
      <c r="D236" s="5"/>
      <c r="E236" s="5"/>
      <c r="F236" s="5"/>
      <c r="G236" s="5"/>
      <c r="H236" s="12" t="str">
        <f>IF(OR(D236="",E236=""),"",IF(IFERROR(INDEX(Stats!$D:$D,MATCH($C236,Stats!$A:$A,0)),FALSE),ROUND(D236+(E236-D236)*(1+G236)*((1-1)/(MaxLevel-1))^(2^F236),0),D236+(E236-D236)*(1+G236)*((1-1)/(MaxLevel-1))^(2^F236)))</f>
        <v/>
      </c>
      <c r="I236" s="12" t="str">
        <f>IF(OR(D236="",E236=""),"",IF(IFERROR(INDEX(Stats!$D:$D,MATCH($C236,Stats!$A:$A,0)),FALSE),ROUND(D236+(E236-D236)*(1+G236)*((2-1)/(MaxLevel-1))^(2^F236),0),D236+(E236-D236)*(1+G236)*((2-1)/(MaxLevel-1))^(2^F236)))</f>
        <v/>
      </c>
      <c r="J236" s="12" t="str">
        <f>IF(OR(D236="",E236=""),"",IF(IFERROR(INDEX(Stats!$D:$D,MATCH($C236,Stats!$A:$A,0)),FALSE),ROUND(D236+(E236-D236)*(1+G236)*((3-1)/(MaxLevel-1))^(2^F236),0),D236+(E236-D236)*(1+G236)*((3-1)/(MaxLevel-1))^(2^F236)))</f>
        <v/>
      </c>
      <c r="K236" s="12" t="str">
        <f>IF(OR(D236="",E236=""),"",IF(IFERROR(INDEX(Stats!$D:$D,MATCH($C236,Stats!$A:$A,0)),FALSE),ROUND(D236+(E236-D236)*(1+G236)*((4-1)/(MaxLevel-1))^(2^F236),0),D236+(E236-D236)*(1+G236)*((4-1)/(MaxLevel-1))^(2^F236)))</f>
        <v/>
      </c>
      <c r="L236" s="12" t="str">
        <f>IF(OR(D236="",E236=""),"",IF(IFERROR(INDEX(Stats!$D:$D,MATCH($C236,Stats!$A:$A,0)),FALSE),ROUND(D236+(E236-D236)*(1+G236)*((5-1)/(MaxLevel-1))^(2^F236),0),D236+(E236-D236)*(1+G236)*((5-1)/(MaxLevel-1))^(2^F236)))</f>
        <v/>
      </c>
      <c r="M236" s="12" t="str">
        <f>IF(OR(D236="",E236=""),"",IF(IFERROR(INDEX(Stats!$D:$D,MATCH($C236,Stats!$A:$A,0)),FALSE),ROUND(D236+(E236-D236)*(1+G236)*((6-1)/(MaxLevel-1))^(2^F236),0),D236+(E236-D236)*(1+G236)*((6-1)/(MaxLevel-1))^(2^F236)))</f>
        <v/>
      </c>
      <c r="N236" s="12" t="str">
        <f>IF(OR(D236="",E236=""),"",IF(IFERROR(INDEX(Stats!$D:$D,MATCH($C236,Stats!$A:$A,0)),FALSE),ROUND(D236+(E236-D236)*(1+G236)*((7-1)/(MaxLevel-1))^(2^F236),0),D236+(E236-D236)*(1+G236)*((7-1)/(MaxLevel-1))^(2^F236)))</f>
        <v/>
      </c>
      <c r="O236" s="12" t="str">
        <f>IF(OR(D236="",E236=""),"",IF(IFERROR(INDEX(Stats!$D:$D,MATCH($C236,Stats!$A:$A,0)),FALSE),ROUND(D236+(E236-D236)*(1+G236)*((8-1)/(MaxLevel-1))^(2^F236),0),D236+(E236-D236)*(1+G236)*((8-1)/(MaxLevel-1))^(2^F236)))</f>
        <v/>
      </c>
      <c r="P236" s="12" t="str">
        <f>IF(OR(D236="",E236=""),"",IF(IFERROR(INDEX(Stats!$D:$D,MATCH($C236,Stats!$A:$A,0)),FALSE),ROUND(D236+(E236-D236)*(1+G236)*((9-1)/(MaxLevel-1))^(2^F236),0),D236+(E236-D236)*(1+G236)*((9-1)/(MaxLevel-1))^(2^F236)))</f>
        <v/>
      </c>
      <c r="Q236" s="12" t="str">
        <f>IF(OR(D236="",E236=""),"",IF(IFERROR(INDEX(Stats!$D:$D,MATCH($C236,Stats!$A:$A,0)),FALSE),ROUND(D236+(E236-D236)*(1+G236)*((10-1)/(MaxLevel-1))^(2^F236),0),D236+(E236-D236)*(1+G236)*((10-1)/(MaxLevel-1))^(2^F236)))</f>
        <v/>
      </c>
    </row>
    <row r="237" spans="1:17" x14ac:dyDescent="0.25">
      <c r="A237" s="4" t="s">
        <v>185</v>
      </c>
      <c r="B237" s="19" t="s">
        <v>227</v>
      </c>
      <c r="C237" s="4" t="s">
        <v>38</v>
      </c>
      <c r="D237" s="5"/>
      <c r="E237" s="5"/>
      <c r="F237" s="5"/>
      <c r="G237" s="5"/>
      <c r="H237" s="12" t="str">
        <f>IF(OR(D237="",E237=""),"",IF(IFERROR(INDEX(Stats!$D:$D,MATCH($C237,Stats!$A:$A,0)),FALSE),ROUND(D237+(E237-D237)*(1+G237)*((1-1)/(MaxLevel-1))^(2^F237),0),D237+(E237-D237)*(1+G237)*((1-1)/(MaxLevel-1))^(2^F237)))</f>
        <v/>
      </c>
      <c r="I237" s="12" t="str">
        <f>IF(OR(D237="",E237=""),"",IF(IFERROR(INDEX(Stats!$D:$D,MATCH($C237,Stats!$A:$A,0)),FALSE),ROUND(D237+(E237-D237)*(1+G237)*((2-1)/(MaxLevel-1))^(2^F237),0),D237+(E237-D237)*(1+G237)*((2-1)/(MaxLevel-1))^(2^F237)))</f>
        <v/>
      </c>
      <c r="J237" s="12" t="str">
        <f>IF(OR(D237="",E237=""),"",IF(IFERROR(INDEX(Stats!$D:$D,MATCH($C237,Stats!$A:$A,0)),FALSE),ROUND(D237+(E237-D237)*(1+G237)*((3-1)/(MaxLevel-1))^(2^F237),0),D237+(E237-D237)*(1+G237)*((3-1)/(MaxLevel-1))^(2^F237)))</f>
        <v/>
      </c>
      <c r="K237" s="12" t="str">
        <f>IF(OR(D237="",E237=""),"",IF(IFERROR(INDEX(Stats!$D:$D,MATCH($C237,Stats!$A:$A,0)),FALSE),ROUND(D237+(E237-D237)*(1+G237)*((4-1)/(MaxLevel-1))^(2^F237),0),D237+(E237-D237)*(1+G237)*((4-1)/(MaxLevel-1))^(2^F237)))</f>
        <v/>
      </c>
      <c r="L237" s="12" t="str">
        <f>IF(OR(D237="",E237=""),"",IF(IFERROR(INDEX(Stats!$D:$D,MATCH($C237,Stats!$A:$A,0)),FALSE),ROUND(D237+(E237-D237)*(1+G237)*((5-1)/(MaxLevel-1))^(2^F237),0),D237+(E237-D237)*(1+G237)*((5-1)/(MaxLevel-1))^(2^F237)))</f>
        <v/>
      </c>
      <c r="M237" s="12" t="str">
        <f>IF(OR(D237="",E237=""),"",IF(IFERROR(INDEX(Stats!$D:$D,MATCH($C237,Stats!$A:$A,0)),FALSE),ROUND(D237+(E237-D237)*(1+G237)*((6-1)/(MaxLevel-1))^(2^F237),0),D237+(E237-D237)*(1+G237)*((6-1)/(MaxLevel-1))^(2^F237)))</f>
        <v/>
      </c>
      <c r="N237" s="12" t="str">
        <f>IF(OR(D237="",E237=""),"",IF(IFERROR(INDEX(Stats!$D:$D,MATCH($C237,Stats!$A:$A,0)),FALSE),ROUND(D237+(E237-D237)*(1+G237)*((7-1)/(MaxLevel-1))^(2^F237),0),D237+(E237-D237)*(1+G237)*((7-1)/(MaxLevel-1))^(2^F237)))</f>
        <v/>
      </c>
      <c r="O237" s="12" t="str">
        <f>IF(OR(D237="",E237=""),"",IF(IFERROR(INDEX(Stats!$D:$D,MATCH($C237,Stats!$A:$A,0)),FALSE),ROUND(D237+(E237-D237)*(1+G237)*((8-1)/(MaxLevel-1))^(2^F237),0),D237+(E237-D237)*(1+G237)*((8-1)/(MaxLevel-1))^(2^F237)))</f>
        <v/>
      </c>
      <c r="P237" s="12" t="str">
        <f>IF(OR(D237="",E237=""),"",IF(IFERROR(INDEX(Stats!$D:$D,MATCH($C237,Stats!$A:$A,0)),FALSE),ROUND(D237+(E237-D237)*(1+G237)*((9-1)/(MaxLevel-1))^(2^F237),0),D237+(E237-D237)*(1+G237)*((9-1)/(MaxLevel-1))^(2^F237)))</f>
        <v/>
      </c>
      <c r="Q237" s="12" t="str">
        <f>IF(OR(D237="",E237=""),"",IF(IFERROR(INDEX(Stats!$D:$D,MATCH($C237,Stats!$A:$A,0)),FALSE),ROUND(D237+(E237-D237)*(1+G237)*((10-1)/(MaxLevel-1))^(2^F237),0),D237+(E237-D237)*(1+G237)*((10-1)/(MaxLevel-1))^(2^F237)))</f>
        <v/>
      </c>
    </row>
    <row r="238" spans="1:17" x14ac:dyDescent="0.25">
      <c r="A238" s="4" t="s">
        <v>185</v>
      </c>
      <c r="B238" s="19" t="s">
        <v>227</v>
      </c>
      <c r="C238" s="4" t="s">
        <v>40</v>
      </c>
      <c r="D238" s="5"/>
      <c r="E238" s="5"/>
      <c r="F238" s="5"/>
      <c r="G238" s="5"/>
      <c r="H238" s="12" t="str">
        <f>IF(OR(D238="",E238=""),"",IF(IFERROR(INDEX(Stats!$D:$D,MATCH($C238,Stats!$A:$A,0)),FALSE),ROUND(D238+(E238-D238)*(1+G238)*((1-1)/(MaxLevel-1))^(2^F238),0),D238+(E238-D238)*(1+G238)*((1-1)/(MaxLevel-1))^(2^F238)))</f>
        <v/>
      </c>
      <c r="I238" s="12" t="str">
        <f>IF(OR(D238="",E238=""),"",IF(IFERROR(INDEX(Stats!$D:$D,MATCH($C238,Stats!$A:$A,0)),FALSE),ROUND(D238+(E238-D238)*(1+G238)*((2-1)/(MaxLevel-1))^(2^F238),0),D238+(E238-D238)*(1+G238)*((2-1)/(MaxLevel-1))^(2^F238)))</f>
        <v/>
      </c>
      <c r="J238" s="12" t="str">
        <f>IF(OR(D238="",E238=""),"",IF(IFERROR(INDEX(Stats!$D:$D,MATCH($C238,Stats!$A:$A,0)),FALSE),ROUND(D238+(E238-D238)*(1+G238)*((3-1)/(MaxLevel-1))^(2^F238),0),D238+(E238-D238)*(1+G238)*((3-1)/(MaxLevel-1))^(2^F238)))</f>
        <v/>
      </c>
      <c r="K238" s="12" t="str">
        <f>IF(OR(D238="",E238=""),"",IF(IFERROR(INDEX(Stats!$D:$D,MATCH($C238,Stats!$A:$A,0)),FALSE),ROUND(D238+(E238-D238)*(1+G238)*((4-1)/(MaxLevel-1))^(2^F238),0),D238+(E238-D238)*(1+G238)*((4-1)/(MaxLevel-1))^(2^F238)))</f>
        <v/>
      </c>
      <c r="L238" s="12" t="str">
        <f>IF(OR(D238="",E238=""),"",IF(IFERROR(INDEX(Stats!$D:$D,MATCH($C238,Stats!$A:$A,0)),FALSE),ROUND(D238+(E238-D238)*(1+G238)*((5-1)/(MaxLevel-1))^(2^F238),0),D238+(E238-D238)*(1+G238)*((5-1)/(MaxLevel-1))^(2^F238)))</f>
        <v/>
      </c>
      <c r="M238" s="12" t="str">
        <f>IF(OR(D238="",E238=""),"",IF(IFERROR(INDEX(Stats!$D:$D,MATCH($C238,Stats!$A:$A,0)),FALSE),ROUND(D238+(E238-D238)*(1+G238)*((6-1)/(MaxLevel-1))^(2^F238),0),D238+(E238-D238)*(1+G238)*((6-1)/(MaxLevel-1))^(2^F238)))</f>
        <v/>
      </c>
      <c r="N238" s="12" t="str">
        <f>IF(OR(D238="",E238=""),"",IF(IFERROR(INDEX(Stats!$D:$D,MATCH($C238,Stats!$A:$A,0)),FALSE),ROUND(D238+(E238-D238)*(1+G238)*((7-1)/(MaxLevel-1))^(2^F238),0),D238+(E238-D238)*(1+G238)*((7-1)/(MaxLevel-1))^(2^F238)))</f>
        <v/>
      </c>
      <c r="O238" s="12" t="str">
        <f>IF(OR(D238="",E238=""),"",IF(IFERROR(INDEX(Stats!$D:$D,MATCH($C238,Stats!$A:$A,0)),FALSE),ROUND(D238+(E238-D238)*(1+G238)*((8-1)/(MaxLevel-1))^(2^F238),0),D238+(E238-D238)*(1+G238)*((8-1)/(MaxLevel-1))^(2^F238)))</f>
        <v/>
      </c>
      <c r="P238" s="12" t="str">
        <f>IF(OR(D238="",E238=""),"",IF(IFERROR(INDEX(Stats!$D:$D,MATCH($C238,Stats!$A:$A,0)),FALSE),ROUND(D238+(E238-D238)*(1+G238)*((9-1)/(MaxLevel-1))^(2^F238),0),D238+(E238-D238)*(1+G238)*((9-1)/(MaxLevel-1))^(2^F238)))</f>
        <v/>
      </c>
      <c r="Q238" s="12" t="str">
        <f>IF(OR(D238="",E238=""),"",IF(IFERROR(INDEX(Stats!$D:$D,MATCH($C238,Stats!$A:$A,0)),FALSE),ROUND(D238+(E238-D238)*(1+G238)*((10-1)/(MaxLevel-1))^(2^F238),0),D238+(E238-D238)*(1+G238)*((10-1)/(MaxLevel-1))^(2^F238)))</f>
        <v/>
      </c>
    </row>
    <row r="239" spans="1:17" x14ac:dyDescent="0.25">
      <c r="A239" s="4" t="s">
        <v>185</v>
      </c>
      <c r="B239" s="19" t="s">
        <v>227</v>
      </c>
      <c r="C239" s="4" t="s">
        <v>42</v>
      </c>
      <c r="D239" s="5"/>
      <c r="E239" s="5"/>
      <c r="F239" s="5"/>
      <c r="G239" s="5"/>
      <c r="H239" s="12" t="str">
        <f>IF(OR(D239="",E239=""),"",IF(IFERROR(INDEX(Stats!$D:$D,MATCH($C239,Stats!$A:$A,0)),FALSE),ROUND(D239+(E239-D239)*(1+G239)*((1-1)/(MaxLevel-1))^(2^F239),0),D239+(E239-D239)*(1+G239)*((1-1)/(MaxLevel-1))^(2^F239)))</f>
        <v/>
      </c>
      <c r="I239" s="12" t="str">
        <f>IF(OR(D239="",E239=""),"",IF(IFERROR(INDEX(Stats!$D:$D,MATCH($C239,Stats!$A:$A,0)),FALSE),ROUND(D239+(E239-D239)*(1+G239)*((2-1)/(MaxLevel-1))^(2^F239),0),D239+(E239-D239)*(1+G239)*((2-1)/(MaxLevel-1))^(2^F239)))</f>
        <v/>
      </c>
      <c r="J239" s="12" t="str">
        <f>IF(OR(D239="",E239=""),"",IF(IFERROR(INDEX(Stats!$D:$D,MATCH($C239,Stats!$A:$A,0)),FALSE),ROUND(D239+(E239-D239)*(1+G239)*((3-1)/(MaxLevel-1))^(2^F239),0),D239+(E239-D239)*(1+G239)*((3-1)/(MaxLevel-1))^(2^F239)))</f>
        <v/>
      </c>
      <c r="K239" s="12" t="str">
        <f>IF(OR(D239="",E239=""),"",IF(IFERROR(INDEX(Stats!$D:$D,MATCH($C239,Stats!$A:$A,0)),FALSE),ROUND(D239+(E239-D239)*(1+G239)*((4-1)/(MaxLevel-1))^(2^F239),0),D239+(E239-D239)*(1+G239)*((4-1)/(MaxLevel-1))^(2^F239)))</f>
        <v/>
      </c>
      <c r="L239" s="12" t="str">
        <f>IF(OR(D239="",E239=""),"",IF(IFERROR(INDEX(Stats!$D:$D,MATCH($C239,Stats!$A:$A,0)),FALSE),ROUND(D239+(E239-D239)*(1+G239)*((5-1)/(MaxLevel-1))^(2^F239),0),D239+(E239-D239)*(1+G239)*((5-1)/(MaxLevel-1))^(2^F239)))</f>
        <v/>
      </c>
      <c r="M239" s="12" t="str">
        <f>IF(OR(D239="",E239=""),"",IF(IFERROR(INDEX(Stats!$D:$D,MATCH($C239,Stats!$A:$A,0)),FALSE),ROUND(D239+(E239-D239)*(1+G239)*((6-1)/(MaxLevel-1))^(2^F239),0),D239+(E239-D239)*(1+G239)*((6-1)/(MaxLevel-1))^(2^F239)))</f>
        <v/>
      </c>
      <c r="N239" s="12" t="str">
        <f>IF(OR(D239="",E239=""),"",IF(IFERROR(INDEX(Stats!$D:$D,MATCH($C239,Stats!$A:$A,0)),FALSE),ROUND(D239+(E239-D239)*(1+G239)*((7-1)/(MaxLevel-1))^(2^F239),0),D239+(E239-D239)*(1+G239)*((7-1)/(MaxLevel-1))^(2^F239)))</f>
        <v/>
      </c>
      <c r="O239" s="12" t="str">
        <f>IF(OR(D239="",E239=""),"",IF(IFERROR(INDEX(Stats!$D:$D,MATCH($C239,Stats!$A:$A,0)),FALSE),ROUND(D239+(E239-D239)*(1+G239)*((8-1)/(MaxLevel-1))^(2^F239),0),D239+(E239-D239)*(1+G239)*((8-1)/(MaxLevel-1))^(2^F239)))</f>
        <v/>
      </c>
      <c r="P239" s="12" t="str">
        <f>IF(OR(D239="",E239=""),"",IF(IFERROR(INDEX(Stats!$D:$D,MATCH($C239,Stats!$A:$A,0)),FALSE),ROUND(D239+(E239-D239)*(1+G239)*((9-1)/(MaxLevel-1))^(2^F239),0),D239+(E239-D239)*(1+G239)*((9-1)/(MaxLevel-1))^(2^F239)))</f>
        <v/>
      </c>
      <c r="Q239" s="12" t="str">
        <f>IF(OR(D239="",E239=""),"",IF(IFERROR(INDEX(Stats!$D:$D,MATCH($C239,Stats!$A:$A,0)),FALSE),ROUND(D239+(E239-D239)*(1+G239)*((10-1)/(MaxLevel-1))^(2^F239),0),D239+(E239-D239)*(1+G239)*((10-1)/(MaxLevel-1))^(2^F239)))</f>
        <v/>
      </c>
    </row>
    <row r="240" spans="1:17" x14ac:dyDescent="0.25">
      <c r="A240" s="4" t="s">
        <v>185</v>
      </c>
      <c r="B240" s="19" t="s">
        <v>227</v>
      </c>
      <c r="C240" s="4" t="s">
        <v>44</v>
      </c>
      <c r="D240" s="5"/>
      <c r="E240" s="5"/>
      <c r="F240" s="5"/>
      <c r="G240" s="5"/>
      <c r="H240" s="12" t="str">
        <f>IF(OR(D240="",E240=""),"",IF(IFERROR(INDEX(Stats!$D:$D,MATCH($C240,Stats!$A:$A,0)),FALSE),ROUND(D240+(E240-D240)*(1+G240)*((1-1)/(MaxLevel-1))^(2^F240),0),D240+(E240-D240)*(1+G240)*((1-1)/(MaxLevel-1))^(2^F240)))</f>
        <v/>
      </c>
      <c r="I240" s="12" t="str">
        <f>IF(OR(D240="",E240=""),"",IF(IFERROR(INDEX(Stats!$D:$D,MATCH($C240,Stats!$A:$A,0)),FALSE),ROUND(D240+(E240-D240)*(1+G240)*((2-1)/(MaxLevel-1))^(2^F240),0),D240+(E240-D240)*(1+G240)*((2-1)/(MaxLevel-1))^(2^F240)))</f>
        <v/>
      </c>
      <c r="J240" s="12" t="str">
        <f>IF(OR(D240="",E240=""),"",IF(IFERROR(INDEX(Stats!$D:$D,MATCH($C240,Stats!$A:$A,0)),FALSE),ROUND(D240+(E240-D240)*(1+G240)*((3-1)/(MaxLevel-1))^(2^F240),0),D240+(E240-D240)*(1+G240)*((3-1)/(MaxLevel-1))^(2^F240)))</f>
        <v/>
      </c>
      <c r="K240" s="12" t="str">
        <f>IF(OR(D240="",E240=""),"",IF(IFERROR(INDEX(Stats!$D:$D,MATCH($C240,Stats!$A:$A,0)),FALSE),ROUND(D240+(E240-D240)*(1+G240)*((4-1)/(MaxLevel-1))^(2^F240),0),D240+(E240-D240)*(1+G240)*((4-1)/(MaxLevel-1))^(2^F240)))</f>
        <v/>
      </c>
      <c r="L240" s="12" t="str">
        <f>IF(OR(D240="",E240=""),"",IF(IFERROR(INDEX(Stats!$D:$D,MATCH($C240,Stats!$A:$A,0)),FALSE),ROUND(D240+(E240-D240)*(1+G240)*((5-1)/(MaxLevel-1))^(2^F240),0),D240+(E240-D240)*(1+G240)*((5-1)/(MaxLevel-1))^(2^F240)))</f>
        <v/>
      </c>
      <c r="M240" s="12" t="str">
        <f>IF(OR(D240="",E240=""),"",IF(IFERROR(INDEX(Stats!$D:$D,MATCH($C240,Stats!$A:$A,0)),FALSE),ROUND(D240+(E240-D240)*(1+G240)*((6-1)/(MaxLevel-1))^(2^F240),0),D240+(E240-D240)*(1+G240)*((6-1)/(MaxLevel-1))^(2^F240)))</f>
        <v/>
      </c>
      <c r="N240" s="12" t="str">
        <f>IF(OR(D240="",E240=""),"",IF(IFERROR(INDEX(Stats!$D:$D,MATCH($C240,Stats!$A:$A,0)),FALSE),ROUND(D240+(E240-D240)*(1+G240)*((7-1)/(MaxLevel-1))^(2^F240),0),D240+(E240-D240)*(1+G240)*((7-1)/(MaxLevel-1))^(2^F240)))</f>
        <v/>
      </c>
      <c r="O240" s="12" t="str">
        <f>IF(OR(D240="",E240=""),"",IF(IFERROR(INDEX(Stats!$D:$D,MATCH($C240,Stats!$A:$A,0)),FALSE),ROUND(D240+(E240-D240)*(1+G240)*((8-1)/(MaxLevel-1))^(2^F240),0),D240+(E240-D240)*(1+G240)*((8-1)/(MaxLevel-1))^(2^F240)))</f>
        <v/>
      </c>
      <c r="P240" s="12" t="str">
        <f>IF(OR(D240="",E240=""),"",IF(IFERROR(INDEX(Stats!$D:$D,MATCH($C240,Stats!$A:$A,0)),FALSE),ROUND(D240+(E240-D240)*(1+G240)*((9-1)/(MaxLevel-1))^(2^F240),0),D240+(E240-D240)*(1+G240)*((9-1)/(MaxLevel-1))^(2^F240)))</f>
        <v/>
      </c>
      <c r="Q240" s="12" t="str">
        <f>IF(OR(D240="",E240=""),"",IF(IFERROR(INDEX(Stats!$D:$D,MATCH($C240,Stats!$A:$A,0)),FALSE),ROUND(D240+(E240-D240)*(1+G240)*((10-1)/(MaxLevel-1))^(2^F240),0),D240+(E240-D240)*(1+G240)*((10-1)/(MaxLevel-1))^(2^F240)))</f>
        <v/>
      </c>
    </row>
    <row r="241" spans="1:17" x14ac:dyDescent="0.25">
      <c r="A241" s="4" t="s">
        <v>185</v>
      </c>
      <c r="B241" s="19" t="s">
        <v>227</v>
      </c>
      <c r="C241" s="4" t="s">
        <v>46</v>
      </c>
      <c r="D241" s="5">
        <v>300</v>
      </c>
      <c r="E241" s="5">
        <v>320</v>
      </c>
      <c r="F241" s="5">
        <v>0</v>
      </c>
      <c r="G241" s="5">
        <v>0</v>
      </c>
      <c r="H241" s="12">
        <f>IF(OR(D241="",E241=""),"",IF(IFERROR(INDEX(Stats!$D:$D,MATCH($C241,Stats!$A:$A,0)),FALSE),ROUND(D241+(E241-D241)*(1+G241)*((1-1)/(MaxLevel-1))^(2^F241),0),D241+(E241-D241)*(1+G241)*((1-1)/(MaxLevel-1))^(2^F241)))</f>
        <v>300</v>
      </c>
      <c r="I241" s="12">
        <f>IF(OR(D241="",E241=""),"",IF(IFERROR(INDEX(Stats!$D:$D,MATCH($C241,Stats!$A:$A,0)),FALSE),ROUND(D241+(E241-D241)*(1+G241)*((2-1)/(MaxLevel-1))^(2^F241),0),D241+(E241-D241)*(1+G241)*((2-1)/(MaxLevel-1))^(2^F241)))</f>
        <v>302.22222222222223</v>
      </c>
      <c r="J241" s="12">
        <f>IF(OR(D241="",E241=""),"",IF(IFERROR(INDEX(Stats!$D:$D,MATCH($C241,Stats!$A:$A,0)),FALSE),ROUND(D241+(E241-D241)*(1+G241)*((3-1)/(MaxLevel-1))^(2^F241),0),D241+(E241-D241)*(1+G241)*((3-1)/(MaxLevel-1))^(2^F241)))</f>
        <v>304.44444444444446</v>
      </c>
      <c r="K241" s="12">
        <f>IF(OR(D241="",E241=""),"",IF(IFERROR(INDEX(Stats!$D:$D,MATCH($C241,Stats!$A:$A,0)),FALSE),ROUND(D241+(E241-D241)*(1+G241)*((4-1)/(MaxLevel-1))^(2^F241),0),D241+(E241-D241)*(1+G241)*((4-1)/(MaxLevel-1))^(2^F241)))</f>
        <v>306.66666666666669</v>
      </c>
      <c r="L241" s="12">
        <f>IF(OR(D241="",E241=""),"",IF(IFERROR(INDEX(Stats!$D:$D,MATCH($C241,Stats!$A:$A,0)),FALSE),ROUND(D241+(E241-D241)*(1+G241)*((5-1)/(MaxLevel-1))^(2^F241),0),D241+(E241-D241)*(1+G241)*((5-1)/(MaxLevel-1))^(2^F241)))</f>
        <v>308.88888888888891</v>
      </c>
      <c r="M241" s="12">
        <f>IF(OR(D241="",E241=""),"",IF(IFERROR(INDEX(Stats!$D:$D,MATCH($C241,Stats!$A:$A,0)),FALSE),ROUND(D241+(E241-D241)*(1+G241)*((6-1)/(MaxLevel-1))^(2^F241),0),D241+(E241-D241)*(1+G241)*((6-1)/(MaxLevel-1))^(2^F241)))</f>
        <v>311.11111111111109</v>
      </c>
      <c r="N241" s="12">
        <f>IF(OR(D241="",E241=""),"",IF(IFERROR(INDEX(Stats!$D:$D,MATCH($C241,Stats!$A:$A,0)),FALSE),ROUND(D241+(E241-D241)*(1+G241)*((7-1)/(MaxLevel-1))^(2^F241),0),D241+(E241-D241)*(1+G241)*((7-1)/(MaxLevel-1))^(2^F241)))</f>
        <v>313.33333333333331</v>
      </c>
      <c r="O241" s="12">
        <f>IF(OR(D241="",E241=""),"",IF(IFERROR(INDEX(Stats!$D:$D,MATCH($C241,Stats!$A:$A,0)),FALSE),ROUND(D241+(E241-D241)*(1+G241)*((8-1)/(MaxLevel-1))^(2^F241),0),D241+(E241-D241)*(1+G241)*((8-1)/(MaxLevel-1))^(2^F241)))</f>
        <v>315.55555555555554</v>
      </c>
      <c r="P241" s="12">
        <f>IF(OR(D241="",E241=""),"",IF(IFERROR(INDEX(Stats!$D:$D,MATCH($C241,Stats!$A:$A,0)),FALSE),ROUND(D241+(E241-D241)*(1+G241)*((9-1)/(MaxLevel-1))^(2^F241),0),D241+(E241-D241)*(1+G241)*((9-1)/(MaxLevel-1))^(2^F241)))</f>
        <v>317.77777777777777</v>
      </c>
      <c r="Q241" s="12">
        <f>IF(OR(D241="",E241=""),"",IF(IFERROR(INDEX(Stats!$D:$D,MATCH($C241,Stats!$A:$A,0)),FALSE),ROUND(D241+(E241-D241)*(1+G241)*((10-1)/(MaxLevel-1))^(2^F241),0),D241+(E241-D241)*(1+G241)*((10-1)/(MaxLevel-1))^(2^F241)))</f>
        <v>320</v>
      </c>
    </row>
    <row r="242" spans="1:17" x14ac:dyDescent="0.25">
      <c r="A242" s="4" t="s">
        <v>185</v>
      </c>
      <c r="B242" s="19" t="s">
        <v>227</v>
      </c>
      <c r="C242" s="4" t="s">
        <v>48</v>
      </c>
      <c r="D242" s="5"/>
      <c r="E242" s="5"/>
      <c r="F242" s="5"/>
      <c r="G242" s="5"/>
      <c r="H242" s="12" t="str">
        <f>IF(OR(D242="",E242=""),"",IF(IFERROR(INDEX(Stats!$D:$D,MATCH($C242,Stats!$A:$A,0)),FALSE),ROUND(D242+(E242-D242)*(1+G242)*((1-1)/(MaxLevel-1))^(2^F242),0),D242+(E242-D242)*(1+G242)*((1-1)/(MaxLevel-1))^(2^F242)))</f>
        <v/>
      </c>
      <c r="I242" s="12" t="str">
        <f>IF(OR(D242="",E242=""),"",IF(IFERROR(INDEX(Stats!$D:$D,MATCH($C242,Stats!$A:$A,0)),FALSE),ROUND(D242+(E242-D242)*(1+G242)*((2-1)/(MaxLevel-1))^(2^F242),0),D242+(E242-D242)*(1+G242)*((2-1)/(MaxLevel-1))^(2^F242)))</f>
        <v/>
      </c>
      <c r="J242" s="12" t="str">
        <f>IF(OR(D242="",E242=""),"",IF(IFERROR(INDEX(Stats!$D:$D,MATCH($C242,Stats!$A:$A,0)),FALSE),ROUND(D242+(E242-D242)*(1+G242)*((3-1)/(MaxLevel-1))^(2^F242),0),D242+(E242-D242)*(1+G242)*((3-1)/(MaxLevel-1))^(2^F242)))</f>
        <v/>
      </c>
      <c r="K242" s="12" t="str">
        <f>IF(OR(D242="",E242=""),"",IF(IFERROR(INDEX(Stats!$D:$D,MATCH($C242,Stats!$A:$A,0)),FALSE),ROUND(D242+(E242-D242)*(1+G242)*((4-1)/(MaxLevel-1))^(2^F242),0),D242+(E242-D242)*(1+G242)*((4-1)/(MaxLevel-1))^(2^F242)))</f>
        <v/>
      </c>
      <c r="L242" s="12" t="str">
        <f>IF(OR(D242="",E242=""),"",IF(IFERROR(INDEX(Stats!$D:$D,MATCH($C242,Stats!$A:$A,0)),FALSE),ROUND(D242+(E242-D242)*(1+G242)*((5-1)/(MaxLevel-1))^(2^F242),0),D242+(E242-D242)*(1+G242)*((5-1)/(MaxLevel-1))^(2^F242)))</f>
        <v/>
      </c>
      <c r="M242" s="12" t="str">
        <f>IF(OR(D242="",E242=""),"",IF(IFERROR(INDEX(Stats!$D:$D,MATCH($C242,Stats!$A:$A,0)),FALSE),ROUND(D242+(E242-D242)*(1+G242)*((6-1)/(MaxLevel-1))^(2^F242),0),D242+(E242-D242)*(1+G242)*((6-1)/(MaxLevel-1))^(2^F242)))</f>
        <v/>
      </c>
      <c r="N242" s="12" t="str">
        <f>IF(OR(D242="",E242=""),"",IF(IFERROR(INDEX(Stats!$D:$D,MATCH($C242,Stats!$A:$A,0)),FALSE),ROUND(D242+(E242-D242)*(1+G242)*((7-1)/(MaxLevel-1))^(2^F242),0),D242+(E242-D242)*(1+G242)*((7-1)/(MaxLevel-1))^(2^F242)))</f>
        <v/>
      </c>
      <c r="O242" s="12" t="str">
        <f>IF(OR(D242="",E242=""),"",IF(IFERROR(INDEX(Stats!$D:$D,MATCH($C242,Stats!$A:$A,0)),FALSE),ROUND(D242+(E242-D242)*(1+G242)*((8-1)/(MaxLevel-1))^(2^F242),0),D242+(E242-D242)*(1+G242)*((8-1)/(MaxLevel-1))^(2^F242)))</f>
        <v/>
      </c>
      <c r="P242" s="12" t="str">
        <f>IF(OR(D242="",E242=""),"",IF(IFERROR(INDEX(Stats!$D:$D,MATCH($C242,Stats!$A:$A,0)),FALSE),ROUND(D242+(E242-D242)*(1+G242)*((9-1)/(MaxLevel-1))^(2^F242),0),D242+(E242-D242)*(1+G242)*((9-1)/(MaxLevel-1))^(2^F242)))</f>
        <v/>
      </c>
      <c r="Q242" s="12" t="str">
        <f>IF(OR(D242="",E242=""),"",IF(IFERROR(INDEX(Stats!$D:$D,MATCH($C242,Stats!$A:$A,0)),FALSE),ROUND(D242+(E242-D242)*(1+G242)*((10-1)/(MaxLevel-1))^(2^F242),0),D242+(E242-D242)*(1+G242)*((10-1)/(MaxLevel-1))^(2^F242)))</f>
        <v/>
      </c>
    </row>
    <row r="243" spans="1:17" x14ac:dyDescent="0.25">
      <c r="A243" s="4" t="s">
        <v>185</v>
      </c>
      <c r="B243" s="19" t="s">
        <v>227</v>
      </c>
      <c r="C243" s="4" t="s">
        <v>50</v>
      </c>
      <c r="D243" s="5"/>
      <c r="E243" s="5"/>
      <c r="F243" s="5"/>
      <c r="G243" s="5"/>
      <c r="H243" s="12" t="str">
        <f>IF(OR(D243="",E243=""),"",IF(IFERROR(INDEX(Stats!$D:$D,MATCH($C243,Stats!$A:$A,0)),FALSE),ROUND(D243+(E243-D243)*(1+G243)*((1-1)/(MaxLevel-1))^(2^F243),0),D243+(E243-D243)*(1+G243)*((1-1)/(MaxLevel-1))^(2^F243)))</f>
        <v/>
      </c>
      <c r="I243" s="12" t="str">
        <f>IF(OR(D243="",E243=""),"",IF(IFERROR(INDEX(Stats!$D:$D,MATCH($C243,Stats!$A:$A,0)),FALSE),ROUND(D243+(E243-D243)*(1+G243)*((2-1)/(MaxLevel-1))^(2^F243),0),D243+(E243-D243)*(1+G243)*((2-1)/(MaxLevel-1))^(2^F243)))</f>
        <v/>
      </c>
      <c r="J243" s="12" t="str">
        <f>IF(OR(D243="",E243=""),"",IF(IFERROR(INDEX(Stats!$D:$D,MATCH($C243,Stats!$A:$A,0)),FALSE),ROUND(D243+(E243-D243)*(1+G243)*((3-1)/(MaxLevel-1))^(2^F243),0),D243+(E243-D243)*(1+G243)*((3-1)/(MaxLevel-1))^(2^F243)))</f>
        <v/>
      </c>
      <c r="K243" s="12" t="str">
        <f>IF(OR(D243="",E243=""),"",IF(IFERROR(INDEX(Stats!$D:$D,MATCH($C243,Stats!$A:$A,0)),FALSE),ROUND(D243+(E243-D243)*(1+G243)*((4-1)/(MaxLevel-1))^(2^F243),0),D243+(E243-D243)*(1+G243)*((4-1)/(MaxLevel-1))^(2^F243)))</f>
        <v/>
      </c>
      <c r="L243" s="12" t="str">
        <f>IF(OR(D243="",E243=""),"",IF(IFERROR(INDEX(Stats!$D:$D,MATCH($C243,Stats!$A:$A,0)),FALSE),ROUND(D243+(E243-D243)*(1+G243)*((5-1)/(MaxLevel-1))^(2^F243),0),D243+(E243-D243)*(1+G243)*((5-1)/(MaxLevel-1))^(2^F243)))</f>
        <v/>
      </c>
      <c r="M243" s="12" t="str">
        <f>IF(OR(D243="",E243=""),"",IF(IFERROR(INDEX(Stats!$D:$D,MATCH($C243,Stats!$A:$A,0)),FALSE),ROUND(D243+(E243-D243)*(1+G243)*((6-1)/(MaxLevel-1))^(2^F243),0),D243+(E243-D243)*(1+G243)*((6-1)/(MaxLevel-1))^(2^F243)))</f>
        <v/>
      </c>
      <c r="N243" s="12" t="str">
        <f>IF(OR(D243="",E243=""),"",IF(IFERROR(INDEX(Stats!$D:$D,MATCH($C243,Stats!$A:$A,0)),FALSE),ROUND(D243+(E243-D243)*(1+G243)*((7-1)/(MaxLevel-1))^(2^F243),0),D243+(E243-D243)*(1+G243)*((7-1)/(MaxLevel-1))^(2^F243)))</f>
        <v/>
      </c>
      <c r="O243" s="12" t="str">
        <f>IF(OR(D243="",E243=""),"",IF(IFERROR(INDEX(Stats!$D:$D,MATCH($C243,Stats!$A:$A,0)),FALSE),ROUND(D243+(E243-D243)*(1+G243)*((8-1)/(MaxLevel-1))^(2^F243),0),D243+(E243-D243)*(1+G243)*((8-1)/(MaxLevel-1))^(2^F243)))</f>
        <v/>
      </c>
      <c r="P243" s="12" t="str">
        <f>IF(OR(D243="",E243=""),"",IF(IFERROR(INDEX(Stats!$D:$D,MATCH($C243,Stats!$A:$A,0)),FALSE),ROUND(D243+(E243-D243)*(1+G243)*((9-1)/(MaxLevel-1))^(2^F243),0),D243+(E243-D243)*(1+G243)*((9-1)/(MaxLevel-1))^(2^F243)))</f>
        <v/>
      </c>
      <c r="Q243" s="12" t="str">
        <f>IF(OR(D243="",E243=""),"",IF(IFERROR(INDEX(Stats!$D:$D,MATCH($C243,Stats!$A:$A,0)),FALSE),ROUND(D243+(E243-D243)*(1+G243)*((10-1)/(MaxLevel-1))^(2^F243),0),D243+(E243-D243)*(1+G243)*((10-1)/(MaxLevel-1))^(2^F243)))</f>
        <v/>
      </c>
    </row>
    <row r="244" spans="1:17" x14ac:dyDescent="0.25">
      <c r="A244" s="4" t="s">
        <v>185</v>
      </c>
      <c r="B244" s="19" t="s">
        <v>227</v>
      </c>
      <c r="C244" s="4" t="s">
        <v>52</v>
      </c>
      <c r="D244" s="5"/>
      <c r="E244" s="5"/>
      <c r="F244" s="5"/>
      <c r="G244" s="5"/>
      <c r="H244" s="12" t="str">
        <f>IF(OR(D244="",E244=""),"",IF(IFERROR(INDEX(Stats!$D:$D,MATCH($C244,Stats!$A:$A,0)),FALSE),ROUND(D244+(E244-D244)*(1+G244)*((1-1)/(MaxLevel-1))^(2^F244),0),D244+(E244-D244)*(1+G244)*((1-1)/(MaxLevel-1))^(2^F244)))</f>
        <v/>
      </c>
      <c r="I244" s="12" t="str">
        <f>IF(OR(D244="",E244=""),"",IF(IFERROR(INDEX(Stats!$D:$D,MATCH($C244,Stats!$A:$A,0)),FALSE),ROUND(D244+(E244-D244)*(1+G244)*((2-1)/(MaxLevel-1))^(2^F244),0),D244+(E244-D244)*(1+G244)*((2-1)/(MaxLevel-1))^(2^F244)))</f>
        <v/>
      </c>
      <c r="J244" s="12" t="str">
        <f>IF(OR(D244="",E244=""),"",IF(IFERROR(INDEX(Stats!$D:$D,MATCH($C244,Stats!$A:$A,0)),FALSE),ROUND(D244+(E244-D244)*(1+G244)*((3-1)/(MaxLevel-1))^(2^F244),0),D244+(E244-D244)*(1+G244)*((3-1)/(MaxLevel-1))^(2^F244)))</f>
        <v/>
      </c>
      <c r="K244" s="12" t="str">
        <f>IF(OR(D244="",E244=""),"",IF(IFERROR(INDEX(Stats!$D:$D,MATCH($C244,Stats!$A:$A,0)),FALSE),ROUND(D244+(E244-D244)*(1+G244)*((4-1)/(MaxLevel-1))^(2^F244),0),D244+(E244-D244)*(1+G244)*((4-1)/(MaxLevel-1))^(2^F244)))</f>
        <v/>
      </c>
      <c r="L244" s="12" t="str">
        <f>IF(OR(D244="",E244=""),"",IF(IFERROR(INDEX(Stats!$D:$D,MATCH($C244,Stats!$A:$A,0)),FALSE),ROUND(D244+(E244-D244)*(1+G244)*((5-1)/(MaxLevel-1))^(2^F244),0),D244+(E244-D244)*(1+G244)*((5-1)/(MaxLevel-1))^(2^F244)))</f>
        <v/>
      </c>
      <c r="M244" s="12" t="str">
        <f>IF(OR(D244="",E244=""),"",IF(IFERROR(INDEX(Stats!$D:$D,MATCH($C244,Stats!$A:$A,0)),FALSE),ROUND(D244+(E244-D244)*(1+G244)*((6-1)/(MaxLevel-1))^(2^F244),0),D244+(E244-D244)*(1+G244)*((6-1)/(MaxLevel-1))^(2^F244)))</f>
        <v/>
      </c>
      <c r="N244" s="12" t="str">
        <f>IF(OR(D244="",E244=""),"",IF(IFERROR(INDEX(Stats!$D:$D,MATCH($C244,Stats!$A:$A,0)),FALSE),ROUND(D244+(E244-D244)*(1+G244)*((7-1)/(MaxLevel-1))^(2^F244),0),D244+(E244-D244)*(1+G244)*((7-1)/(MaxLevel-1))^(2^F244)))</f>
        <v/>
      </c>
      <c r="O244" s="12" t="str">
        <f>IF(OR(D244="",E244=""),"",IF(IFERROR(INDEX(Stats!$D:$D,MATCH($C244,Stats!$A:$A,0)),FALSE),ROUND(D244+(E244-D244)*(1+G244)*((8-1)/(MaxLevel-1))^(2^F244),0),D244+(E244-D244)*(1+G244)*((8-1)/(MaxLevel-1))^(2^F244)))</f>
        <v/>
      </c>
      <c r="P244" s="12" t="str">
        <f>IF(OR(D244="",E244=""),"",IF(IFERROR(INDEX(Stats!$D:$D,MATCH($C244,Stats!$A:$A,0)),FALSE),ROUND(D244+(E244-D244)*(1+G244)*((9-1)/(MaxLevel-1))^(2^F244),0),D244+(E244-D244)*(1+G244)*((9-1)/(MaxLevel-1))^(2^F244)))</f>
        <v/>
      </c>
      <c r="Q244" s="12" t="str">
        <f>IF(OR(D244="",E244=""),"",IF(IFERROR(INDEX(Stats!$D:$D,MATCH($C244,Stats!$A:$A,0)),FALSE),ROUND(D244+(E244-D244)*(1+G244)*((10-1)/(MaxLevel-1))^(2^F244),0),D244+(E244-D244)*(1+G244)*((10-1)/(MaxLevel-1))^(2^F244)))</f>
        <v/>
      </c>
    </row>
    <row r="245" spans="1:17" x14ac:dyDescent="0.25">
      <c r="A245" s="4" t="s">
        <v>185</v>
      </c>
      <c r="B245" s="19" t="s">
        <v>227</v>
      </c>
      <c r="C245" s="4" t="s">
        <v>54</v>
      </c>
      <c r="D245" s="5"/>
      <c r="E245" s="5"/>
      <c r="F245" s="5"/>
      <c r="G245" s="5"/>
      <c r="H245" s="12" t="str">
        <f>IF(OR(D245="",E245=""),"",IF(IFERROR(INDEX(Stats!$D:$D,MATCH($C245,Stats!$A:$A,0)),FALSE),ROUND(D245+(E245-D245)*(1+G245)*((1-1)/(MaxLevel-1))^(2^F245),0),D245+(E245-D245)*(1+G245)*((1-1)/(MaxLevel-1))^(2^F245)))</f>
        <v/>
      </c>
      <c r="I245" s="12" t="str">
        <f>IF(OR(D245="",E245=""),"",IF(IFERROR(INDEX(Stats!$D:$D,MATCH($C245,Stats!$A:$A,0)),FALSE),ROUND(D245+(E245-D245)*(1+G245)*((2-1)/(MaxLevel-1))^(2^F245),0),D245+(E245-D245)*(1+G245)*((2-1)/(MaxLevel-1))^(2^F245)))</f>
        <v/>
      </c>
      <c r="J245" s="12" t="str">
        <f>IF(OR(D245="",E245=""),"",IF(IFERROR(INDEX(Stats!$D:$D,MATCH($C245,Stats!$A:$A,0)),FALSE),ROUND(D245+(E245-D245)*(1+G245)*((3-1)/(MaxLevel-1))^(2^F245),0),D245+(E245-D245)*(1+G245)*((3-1)/(MaxLevel-1))^(2^F245)))</f>
        <v/>
      </c>
      <c r="K245" s="12" t="str">
        <f>IF(OR(D245="",E245=""),"",IF(IFERROR(INDEX(Stats!$D:$D,MATCH($C245,Stats!$A:$A,0)),FALSE),ROUND(D245+(E245-D245)*(1+G245)*((4-1)/(MaxLevel-1))^(2^F245),0),D245+(E245-D245)*(1+G245)*((4-1)/(MaxLevel-1))^(2^F245)))</f>
        <v/>
      </c>
      <c r="L245" s="12" t="str">
        <f>IF(OR(D245="",E245=""),"",IF(IFERROR(INDEX(Stats!$D:$D,MATCH($C245,Stats!$A:$A,0)),FALSE),ROUND(D245+(E245-D245)*(1+G245)*((5-1)/(MaxLevel-1))^(2^F245),0),D245+(E245-D245)*(1+G245)*((5-1)/(MaxLevel-1))^(2^F245)))</f>
        <v/>
      </c>
      <c r="M245" s="12" t="str">
        <f>IF(OR(D245="",E245=""),"",IF(IFERROR(INDEX(Stats!$D:$D,MATCH($C245,Stats!$A:$A,0)),FALSE),ROUND(D245+(E245-D245)*(1+G245)*((6-1)/(MaxLevel-1))^(2^F245),0),D245+(E245-D245)*(1+G245)*((6-1)/(MaxLevel-1))^(2^F245)))</f>
        <v/>
      </c>
      <c r="N245" s="12" t="str">
        <f>IF(OR(D245="",E245=""),"",IF(IFERROR(INDEX(Stats!$D:$D,MATCH($C245,Stats!$A:$A,0)),FALSE),ROUND(D245+(E245-D245)*(1+G245)*((7-1)/(MaxLevel-1))^(2^F245),0),D245+(E245-D245)*(1+G245)*((7-1)/(MaxLevel-1))^(2^F245)))</f>
        <v/>
      </c>
      <c r="O245" s="12" t="str">
        <f>IF(OR(D245="",E245=""),"",IF(IFERROR(INDEX(Stats!$D:$D,MATCH($C245,Stats!$A:$A,0)),FALSE),ROUND(D245+(E245-D245)*(1+G245)*((8-1)/(MaxLevel-1))^(2^F245),0),D245+(E245-D245)*(1+G245)*((8-1)/(MaxLevel-1))^(2^F245)))</f>
        <v/>
      </c>
      <c r="P245" s="12" t="str">
        <f>IF(OR(D245="",E245=""),"",IF(IFERROR(INDEX(Stats!$D:$D,MATCH($C245,Stats!$A:$A,0)),FALSE),ROUND(D245+(E245-D245)*(1+G245)*((9-1)/(MaxLevel-1))^(2^F245),0),D245+(E245-D245)*(1+G245)*((9-1)/(MaxLevel-1))^(2^F245)))</f>
        <v/>
      </c>
      <c r="Q245" s="12" t="str">
        <f>IF(OR(D245="",E245=""),"",IF(IFERROR(INDEX(Stats!$D:$D,MATCH($C245,Stats!$A:$A,0)),FALSE),ROUND(D245+(E245-D245)*(1+G245)*((10-1)/(MaxLevel-1))^(2^F245),0),D245+(E245-D245)*(1+G245)*((10-1)/(MaxLevel-1))^(2^F245)))</f>
        <v/>
      </c>
    </row>
    <row r="246" spans="1:17" x14ac:dyDescent="0.25">
      <c r="A246" s="4" t="s">
        <v>185</v>
      </c>
      <c r="B246" s="19" t="s">
        <v>227</v>
      </c>
      <c r="C246" s="4" t="s">
        <v>56</v>
      </c>
      <c r="D246" s="5"/>
      <c r="E246" s="5"/>
      <c r="F246" s="5"/>
      <c r="G246" s="5"/>
      <c r="H246" s="12" t="str">
        <f>IF(OR(D246="",E246=""),"",IF(IFERROR(INDEX(Stats!$D:$D,MATCH($C246,Stats!$A:$A,0)),FALSE),ROUND(D246+(E246-D246)*(1+G246)*((1-1)/(MaxLevel-1))^(2^F246),0),D246+(E246-D246)*(1+G246)*((1-1)/(MaxLevel-1))^(2^F246)))</f>
        <v/>
      </c>
      <c r="I246" s="12" t="str">
        <f>IF(OR(D246="",E246=""),"",IF(IFERROR(INDEX(Stats!$D:$D,MATCH($C246,Stats!$A:$A,0)),FALSE),ROUND(D246+(E246-D246)*(1+G246)*((2-1)/(MaxLevel-1))^(2^F246),0),D246+(E246-D246)*(1+G246)*((2-1)/(MaxLevel-1))^(2^F246)))</f>
        <v/>
      </c>
      <c r="J246" s="12" t="str">
        <f>IF(OR(D246="",E246=""),"",IF(IFERROR(INDEX(Stats!$D:$D,MATCH($C246,Stats!$A:$A,0)),FALSE),ROUND(D246+(E246-D246)*(1+G246)*((3-1)/(MaxLevel-1))^(2^F246),0),D246+(E246-D246)*(1+G246)*((3-1)/(MaxLevel-1))^(2^F246)))</f>
        <v/>
      </c>
      <c r="K246" s="12" t="str">
        <f>IF(OR(D246="",E246=""),"",IF(IFERROR(INDEX(Stats!$D:$D,MATCH($C246,Stats!$A:$A,0)),FALSE),ROUND(D246+(E246-D246)*(1+G246)*((4-1)/(MaxLevel-1))^(2^F246),0),D246+(E246-D246)*(1+G246)*((4-1)/(MaxLevel-1))^(2^F246)))</f>
        <v/>
      </c>
      <c r="L246" s="12" t="str">
        <f>IF(OR(D246="",E246=""),"",IF(IFERROR(INDEX(Stats!$D:$D,MATCH($C246,Stats!$A:$A,0)),FALSE),ROUND(D246+(E246-D246)*(1+G246)*((5-1)/(MaxLevel-1))^(2^F246),0),D246+(E246-D246)*(1+G246)*((5-1)/(MaxLevel-1))^(2^F246)))</f>
        <v/>
      </c>
      <c r="M246" s="12" t="str">
        <f>IF(OR(D246="",E246=""),"",IF(IFERROR(INDEX(Stats!$D:$D,MATCH($C246,Stats!$A:$A,0)),FALSE),ROUND(D246+(E246-D246)*(1+G246)*((6-1)/(MaxLevel-1))^(2^F246),0),D246+(E246-D246)*(1+G246)*((6-1)/(MaxLevel-1))^(2^F246)))</f>
        <v/>
      </c>
      <c r="N246" s="12" t="str">
        <f>IF(OR(D246="",E246=""),"",IF(IFERROR(INDEX(Stats!$D:$D,MATCH($C246,Stats!$A:$A,0)),FALSE),ROUND(D246+(E246-D246)*(1+G246)*((7-1)/(MaxLevel-1))^(2^F246),0),D246+(E246-D246)*(1+G246)*((7-1)/(MaxLevel-1))^(2^F246)))</f>
        <v/>
      </c>
      <c r="O246" s="12" t="str">
        <f>IF(OR(D246="",E246=""),"",IF(IFERROR(INDEX(Stats!$D:$D,MATCH($C246,Stats!$A:$A,0)),FALSE),ROUND(D246+(E246-D246)*(1+G246)*((8-1)/(MaxLevel-1))^(2^F246),0),D246+(E246-D246)*(1+G246)*((8-1)/(MaxLevel-1))^(2^F246)))</f>
        <v/>
      </c>
      <c r="P246" s="12" t="str">
        <f>IF(OR(D246="",E246=""),"",IF(IFERROR(INDEX(Stats!$D:$D,MATCH($C246,Stats!$A:$A,0)),FALSE),ROUND(D246+(E246-D246)*(1+G246)*((9-1)/(MaxLevel-1))^(2^F246),0),D246+(E246-D246)*(1+G246)*((9-1)/(MaxLevel-1))^(2^F246)))</f>
        <v/>
      </c>
      <c r="Q246" s="12" t="str">
        <f>IF(OR(D246="",E246=""),"",IF(IFERROR(INDEX(Stats!$D:$D,MATCH($C246,Stats!$A:$A,0)),FALSE),ROUND(D246+(E246-D246)*(1+G246)*((10-1)/(MaxLevel-1))^(2^F246),0),D246+(E246-D246)*(1+G246)*((10-1)/(MaxLevel-1))^(2^F246)))</f>
        <v/>
      </c>
    </row>
    <row r="247" spans="1:17" x14ac:dyDescent="0.25">
      <c r="A247" s="4" t="s">
        <v>185</v>
      </c>
      <c r="B247" s="19" t="s">
        <v>227</v>
      </c>
      <c r="C247" s="4" t="s">
        <v>58</v>
      </c>
      <c r="D247" s="5"/>
      <c r="E247" s="5"/>
      <c r="F247" s="5"/>
      <c r="G247" s="5"/>
      <c r="H247" s="12" t="str">
        <f>IF(OR(D247="",E247=""),"",IF(IFERROR(INDEX(Stats!$D:$D,MATCH($C247,Stats!$A:$A,0)),FALSE),ROUND(D247+(E247-D247)*(1+G247)*((1-1)/(MaxLevel-1))^(2^F247),0),D247+(E247-D247)*(1+G247)*((1-1)/(MaxLevel-1))^(2^F247)))</f>
        <v/>
      </c>
      <c r="I247" s="12" t="str">
        <f>IF(OR(D247="",E247=""),"",IF(IFERROR(INDEX(Stats!$D:$D,MATCH($C247,Stats!$A:$A,0)),FALSE),ROUND(D247+(E247-D247)*(1+G247)*((2-1)/(MaxLevel-1))^(2^F247),0),D247+(E247-D247)*(1+G247)*((2-1)/(MaxLevel-1))^(2^F247)))</f>
        <v/>
      </c>
      <c r="J247" s="12" t="str">
        <f>IF(OR(D247="",E247=""),"",IF(IFERROR(INDEX(Stats!$D:$D,MATCH($C247,Stats!$A:$A,0)),FALSE),ROUND(D247+(E247-D247)*(1+G247)*((3-1)/(MaxLevel-1))^(2^F247),0),D247+(E247-D247)*(1+G247)*((3-1)/(MaxLevel-1))^(2^F247)))</f>
        <v/>
      </c>
      <c r="K247" s="12" t="str">
        <f>IF(OR(D247="",E247=""),"",IF(IFERROR(INDEX(Stats!$D:$D,MATCH($C247,Stats!$A:$A,0)),FALSE),ROUND(D247+(E247-D247)*(1+G247)*((4-1)/(MaxLevel-1))^(2^F247),0),D247+(E247-D247)*(1+G247)*((4-1)/(MaxLevel-1))^(2^F247)))</f>
        <v/>
      </c>
      <c r="L247" s="12" t="str">
        <f>IF(OR(D247="",E247=""),"",IF(IFERROR(INDEX(Stats!$D:$D,MATCH($C247,Stats!$A:$A,0)),FALSE),ROUND(D247+(E247-D247)*(1+G247)*((5-1)/(MaxLevel-1))^(2^F247),0),D247+(E247-D247)*(1+G247)*((5-1)/(MaxLevel-1))^(2^F247)))</f>
        <v/>
      </c>
      <c r="M247" s="12" t="str">
        <f>IF(OR(D247="",E247=""),"",IF(IFERROR(INDEX(Stats!$D:$D,MATCH($C247,Stats!$A:$A,0)),FALSE),ROUND(D247+(E247-D247)*(1+G247)*((6-1)/(MaxLevel-1))^(2^F247),0),D247+(E247-D247)*(1+G247)*((6-1)/(MaxLevel-1))^(2^F247)))</f>
        <v/>
      </c>
      <c r="N247" s="12" t="str">
        <f>IF(OR(D247="",E247=""),"",IF(IFERROR(INDEX(Stats!$D:$D,MATCH($C247,Stats!$A:$A,0)),FALSE),ROUND(D247+(E247-D247)*(1+G247)*((7-1)/(MaxLevel-1))^(2^F247),0),D247+(E247-D247)*(1+G247)*((7-1)/(MaxLevel-1))^(2^F247)))</f>
        <v/>
      </c>
      <c r="O247" s="12" t="str">
        <f>IF(OR(D247="",E247=""),"",IF(IFERROR(INDEX(Stats!$D:$D,MATCH($C247,Stats!$A:$A,0)),FALSE),ROUND(D247+(E247-D247)*(1+G247)*((8-1)/(MaxLevel-1))^(2^F247),0),D247+(E247-D247)*(1+G247)*((8-1)/(MaxLevel-1))^(2^F247)))</f>
        <v/>
      </c>
      <c r="P247" s="12" t="str">
        <f>IF(OR(D247="",E247=""),"",IF(IFERROR(INDEX(Stats!$D:$D,MATCH($C247,Stats!$A:$A,0)),FALSE),ROUND(D247+(E247-D247)*(1+G247)*((9-1)/(MaxLevel-1))^(2^F247),0),D247+(E247-D247)*(1+G247)*((9-1)/(MaxLevel-1))^(2^F247)))</f>
        <v/>
      </c>
      <c r="Q247" s="12" t="str">
        <f>IF(OR(D247="",E247=""),"",IF(IFERROR(INDEX(Stats!$D:$D,MATCH($C247,Stats!$A:$A,0)),FALSE),ROUND(D247+(E247-D247)*(1+G247)*((10-1)/(MaxLevel-1))^(2^F247),0),D247+(E247-D247)*(1+G247)*((10-1)/(MaxLevel-1))^(2^F247)))</f>
        <v/>
      </c>
    </row>
    <row r="248" spans="1:17" x14ac:dyDescent="0.25">
      <c r="A248" s="4" t="s">
        <v>185</v>
      </c>
      <c r="B248" s="19" t="s">
        <v>227</v>
      </c>
      <c r="C248" s="4" t="s">
        <v>60</v>
      </c>
      <c r="D248" s="5"/>
      <c r="E248" s="5"/>
      <c r="F248" s="5"/>
      <c r="G248" s="5"/>
      <c r="H248" s="12" t="str">
        <f>IF(OR(D248="",E248=""),"",IF(IFERROR(INDEX(Stats!$D:$D,MATCH($C248,Stats!$A:$A,0)),FALSE),ROUND(D248+(E248-D248)*(1+G248)*((1-1)/(MaxLevel-1))^(2^F248),0),D248+(E248-D248)*(1+G248)*((1-1)/(MaxLevel-1))^(2^F248)))</f>
        <v/>
      </c>
      <c r="I248" s="12" t="str">
        <f>IF(OR(D248="",E248=""),"",IF(IFERROR(INDEX(Stats!$D:$D,MATCH($C248,Stats!$A:$A,0)),FALSE),ROUND(D248+(E248-D248)*(1+G248)*((2-1)/(MaxLevel-1))^(2^F248),0),D248+(E248-D248)*(1+G248)*((2-1)/(MaxLevel-1))^(2^F248)))</f>
        <v/>
      </c>
      <c r="J248" s="12" t="str">
        <f>IF(OR(D248="",E248=""),"",IF(IFERROR(INDEX(Stats!$D:$D,MATCH($C248,Stats!$A:$A,0)),FALSE),ROUND(D248+(E248-D248)*(1+G248)*((3-1)/(MaxLevel-1))^(2^F248),0),D248+(E248-D248)*(1+G248)*((3-1)/(MaxLevel-1))^(2^F248)))</f>
        <v/>
      </c>
      <c r="K248" s="12" t="str">
        <f>IF(OR(D248="",E248=""),"",IF(IFERROR(INDEX(Stats!$D:$D,MATCH($C248,Stats!$A:$A,0)),FALSE),ROUND(D248+(E248-D248)*(1+G248)*((4-1)/(MaxLevel-1))^(2^F248),0),D248+(E248-D248)*(1+G248)*((4-1)/(MaxLevel-1))^(2^F248)))</f>
        <v/>
      </c>
      <c r="L248" s="12" t="str">
        <f>IF(OR(D248="",E248=""),"",IF(IFERROR(INDEX(Stats!$D:$D,MATCH($C248,Stats!$A:$A,0)),FALSE),ROUND(D248+(E248-D248)*(1+G248)*((5-1)/(MaxLevel-1))^(2^F248),0),D248+(E248-D248)*(1+G248)*((5-1)/(MaxLevel-1))^(2^F248)))</f>
        <v/>
      </c>
      <c r="M248" s="12" t="str">
        <f>IF(OR(D248="",E248=""),"",IF(IFERROR(INDEX(Stats!$D:$D,MATCH($C248,Stats!$A:$A,0)),FALSE),ROUND(D248+(E248-D248)*(1+G248)*((6-1)/(MaxLevel-1))^(2^F248),0),D248+(E248-D248)*(1+G248)*((6-1)/(MaxLevel-1))^(2^F248)))</f>
        <v/>
      </c>
      <c r="N248" s="12" t="str">
        <f>IF(OR(D248="",E248=""),"",IF(IFERROR(INDEX(Stats!$D:$D,MATCH($C248,Stats!$A:$A,0)),FALSE),ROUND(D248+(E248-D248)*(1+G248)*((7-1)/(MaxLevel-1))^(2^F248),0),D248+(E248-D248)*(1+G248)*((7-1)/(MaxLevel-1))^(2^F248)))</f>
        <v/>
      </c>
      <c r="O248" s="12" t="str">
        <f>IF(OR(D248="",E248=""),"",IF(IFERROR(INDEX(Stats!$D:$D,MATCH($C248,Stats!$A:$A,0)),FALSE),ROUND(D248+(E248-D248)*(1+G248)*((8-1)/(MaxLevel-1))^(2^F248),0),D248+(E248-D248)*(1+G248)*((8-1)/(MaxLevel-1))^(2^F248)))</f>
        <v/>
      </c>
      <c r="P248" s="12" t="str">
        <f>IF(OR(D248="",E248=""),"",IF(IFERROR(INDEX(Stats!$D:$D,MATCH($C248,Stats!$A:$A,0)),FALSE),ROUND(D248+(E248-D248)*(1+G248)*((9-1)/(MaxLevel-1))^(2^F248),0),D248+(E248-D248)*(1+G248)*((9-1)/(MaxLevel-1))^(2^F248)))</f>
        <v/>
      </c>
      <c r="Q248" s="12" t="str">
        <f>IF(OR(D248="",E248=""),"",IF(IFERROR(INDEX(Stats!$D:$D,MATCH($C248,Stats!$A:$A,0)),FALSE),ROUND(D248+(E248-D248)*(1+G248)*((10-1)/(MaxLevel-1))^(2^F248),0),D248+(E248-D248)*(1+G248)*((10-1)/(MaxLevel-1))^(2^F248)))</f>
        <v/>
      </c>
    </row>
    <row r="249" spans="1:17" x14ac:dyDescent="0.25">
      <c r="A249" s="4" t="s">
        <v>185</v>
      </c>
      <c r="B249" s="19" t="s">
        <v>228</v>
      </c>
      <c r="C249" s="4" t="s">
        <v>24</v>
      </c>
      <c r="D249" s="5">
        <v>0</v>
      </c>
      <c r="E249" s="5">
        <v>10000</v>
      </c>
      <c r="F249" s="5">
        <v>1</v>
      </c>
      <c r="G249" s="5">
        <v>0</v>
      </c>
      <c r="H249" s="12">
        <f>IF(OR(D249="",E249=""),"",IF(IFERROR(INDEX(Stats!$D:$D,MATCH($C249,Stats!$A:$A,0)),FALSE),ROUND(D249+(E249-D249)*(1+G249)*((1-1)/(MaxLevel-1))^(2^F249),0),D249+(E249-D249)*(1+G249)*((1-1)/(MaxLevel-1))^(2^F249)))</f>
        <v>0</v>
      </c>
      <c r="I249" s="12">
        <f>IF(OR(D249="",E249=""),"",IF(IFERROR(INDEX(Stats!$D:$D,MATCH($C249,Stats!$A:$A,0)),FALSE),ROUND(D249+(E249-D249)*(1+G249)*((2-1)/(MaxLevel-1))^(2^F249),0),D249+(E249-D249)*(1+G249)*((2-1)/(MaxLevel-1))^(2^F249)))</f>
        <v>123</v>
      </c>
      <c r="J249" s="12">
        <f>IF(OR(D249="",E249=""),"",IF(IFERROR(INDEX(Stats!$D:$D,MATCH($C249,Stats!$A:$A,0)),FALSE),ROUND(D249+(E249-D249)*(1+G249)*((3-1)/(MaxLevel-1))^(2^F249),0),D249+(E249-D249)*(1+G249)*((3-1)/(MaxLevel-1))^(2^F249)))</f>
        <v>494</v>
      </c>
      <c r="K249" s="12">
        <f>IF(OR(D249="",E249=""),"",IF(IFERROR(INDEX(Stats!$D:$D,MATCH($C249,Stats!$A:$A,0)),FALSE),ROUND(D249+(E249-D249)*(1+G249)*((4-1)/(MaxLevel-1))^(2^F249),0),D249+(E249-D249)*(1+G249)*((4-1)/(MaxLevel-1))^(2^F249)))</f>
        <v>1111</v>
      </c>
      <c r="L249" s="12">
        <f>IF(OR(D249="",E249=""),"",IF(IFERROR(INDEX(Stats!$D:$D,MATCH($C249,Stats!$A:$A,0)),FALSE),ROUND(D249+(E249-D249)*(1+G249)*((5-1)/(MaxLevel-1))^(2^F249),0),D249+(E249-D249)*(1+G249)*((5-1)/(MaxLevel-1))^(2^F249)))</f>
        <v>1975</v>
      </c>
      <c r="M249" s="12">
        <f>IF(OR(D249="",E249=""),"",IF(IFERROR(INDEX(Stats!$D:$D,MATCH($C249,Stats!$A:$A,0)),FALSE),ROUND(D249+(E249-D249)*(1+G249)*((6-1)/(MaxLevel-1))^(2^F249),0),D249+(E249-D249)*(1+G249)*((6-1)/(MaxLevel-1))^(2^F249)))</f>
        <v>3086</v>
      </c>
      <c r="N249" s="12">
        <f>IF(OR(D249="",E249=""),"",IF(IFERROR(INDEX(Stats!$D:$D,MATCH($C249,Stats!$A:$A,0)),FALSE),ROUND(D249+(E249-D249)*(1+G249)*((7-1)/(MaxLevel-1))^(2^F249),0),D249+(E249-D249)*(1+G249)*((7-1)/(MaxLevel-1))^(2^F249)))</f>
        <v>4444</v>
      </c>
      <c r="O249" s="12">
        <f>IF(OR(D249="",E249=""),"",IF(IFERROR(INDEX(Stats!$D:$D,MATCH($C249,Stats!$A:$A,0)),FALSE),ROUND(D249+(E249-D249)*(1+G249)*((8-1)/(MaxLevel-1))^(2^F249),0),D249+(E249-D249)*(1+G249)*((8-1)/(MaxLevel-1))^(2^F249)))</f>
        <v>6049</v>
      </c>
      <c r="P249" s="12">
        <f>IF(OR(D249="",E249=""),"",IF(IFERROR(INDEX(Stats!$D:$D,MATCH($C249,Stats!$A:$A,0)),FALSE),ROUND(D249+(E249-D249)*(1+G249)*((9-1)/(MaxLevel-1))^(2^F249),0),D249+(E249-D249)*(1+G249)*((9-1)/(MaxLevel-1))^(2^F249)))</f>
        <v>7901</v>
      </c>
      <c r="Q249" s="12">
        <f>IF(OR(D249="",E249=""),"",IF(IFERROR(INDEX(Stats!$D:$D,MATCH($C249,Stats!$A:$A,0)),FALSE),ROUND(D249+(E249-D249)*(1+G249)*((10-1)/(MaxLevel-1))^(2^F249),0),D249+(E249-D249)*(1+G249)*((10-1)/(MaxLevel-1))^(2^F249)))</f>
        <v>10000</v>
      </c>
    </row>
    <row r="250" spans="1:17" x14ac:dyDescent="0.25">
      <c r="A250" s="4" t="s">
        <v>185</v>
      </c>
      <c r="B250" s="19" t="s">
        <v>228</v>
      </c>
      <c r="C250" s="4" t="s">
        <v>26</v>
      </c>
      <c r="D250" s="5">
        <v>25</v>
      </c>
      <c r="E250" s="5">
        <v>150</v>
      </c>
      <c r="F250" s="5">
        <v>0</v>
      </c>
      <c r="G250" s="5">
        <v>0</v>
      </c>
      <c r="H250" s="12">
        <f>IF(OR(D250="",E250=""),"",IF(IFERROR(INDEX(Stats!$D:$D,MATCH($C250,Stats!$A:$A,0)),FALSE),ROUND(D250+(E250-D250)*(1+G250)*((1-1)/(MaxLevel-1))^(2^F250),0),D250+(E250-D250)*(1+G250)*((1-1)/(MaxLevel-1))^(2^F250)))</f>
        <v>25</v>
      </c>
      <c r="I250" s="12">
        <f>IF(OR(D250="",E250=""),"",IF(IFERROR(INDEX(Stats!$D:$D,MATCH($C250,Stats!$A:$A,0)),FALSE),ROUND(D250+(E250-D250)*(1+G250)*((2-1)/(MaxLevel-1))^(2^F250),0),D250+(E250-D250)*(1+G250)*((2-1)/(MaxLevel-1))^(2^F250)))</f>
        <v>39</v>
      </c>
      <c r="J250" s="12">
        <f>IF(OR(D250="",E250=""),"",IF(IFERROR(INDEX(Stats!$D:$D,MATCH($C250,Stats!$A:$A,0)),FALSE),ROUND(D250+(E250-D250)*(1+G250)*((3-1)/(MaxLevel-1))^(2^F250),0),D250+(E250-D250)*(1+G250)*((3-1)/(MaxLevel-1))^(2^F250)))</f>
        <v>53</v>
      </c>
      <c r="K250" s="12">
        <f>IF(OR(D250="",E250=""),"",IF(IFERROR(INDEX(Stats!$D:$D,MATCH($C250,Stats!$A:$A,0)),FALSE),ROUND(D250+(E250-D250)*(1+G250)*((4-1)/(MaxLevel-1))^(2^F250),0),D250+(E250-D250)*(1+G250)*((4-1)/(MaxLevel-1))^(2^F250)))</f>
        <v>67</v>
      </c>
      <c r="L250" s="12">
        <f>IF(OR(D250="",E250=""),"",IF(IFERROR(INDEX(Stats!$D:$D,MATCH($C250,Stats!$A:$A,0)),FALSE),ROUND(D250+(E250-D250)*(1+G250)*((5-1)/(MaxLevel-1))^(2^F250),0),D250+(E250-D250)*(1+G250)*((5-1)/(MaxLevel-1))^(2^F250)))</f>
        <v>81</v>
      </c>
      <c r="M250" s="12">
        <f>IF(OR(D250="",E250=""),"",IF(IFERROR(INDEX(Stats!$D:$D,MATCH($C250,Stats!$A:$A,0)),FALSE),ROUND(D250+(E250-D250)*(1+G250)*((6-1)/(MaxLevel-1))^(2^F250),0),D250+(E250-D250)*(1+G250)*((6-1)/(MaxLevel-1))^(2^F250)))</f>
        <v>94</v>
      </c>
      <c r="N250" s="12">
        <f>IF(OR(D250="",E250=""),"",IF(IFERROR(INDEX(Stats!$D:$D,MATCH($C250,Stats!$A:$A,0)),FALSE),ROUND(D250+(E250-D250)*(1+G250)*((7-1)/(MaxLevel-1))^(2^F250),0),D250+(E250-D250)*(1+G250)*((7-1)/(MaxLevel-1))^(2^F250)))</f>
        <v>108</v>
      </c>
      <c r="O250" s="12">
        <f>IF(OR(D250="",E250=""),"",IF(IFERROR(INDEX(Stats!$D:$D,MATCH($C250,Stats!$A:$A,0)),FALSE),ROUND(D250+(E250-D250)*(1+G250)*((8-1)/(MaxLevel-1))^(2^F250),0),D250+(E250-D250)*(1+G250)*((8-1)/(MaxLevel-1))^(2^F250)))</f>
        <v>122</v>
      </c>
      <c r="P250" s="12">
        <f>IF(OR(D250="",E250=""),"",IF(IFERROR(INDEX(Stats!$D:$D,MATCH($C250,Stats!$A:$A,0)),FALSE),ROUND(D250+(E250-D250)*(1+G250)*((9-1)/(MaxLevel-1))^(2^F250),0),D250+(E250-D250)*(1+G250)*((9-1)/(MaxLevel-1))^(2^F250)))</f>
        <v>136</v>
      </c>
      <c r="Q250" s="12">
        <f>IF(OR(D250="",E250=""),"",IF(IFERROR(INDEX(Stats!$D:$D,MATCH($C250,Stats!$A:$A,0)),FALSE),ROUND(D250+(E250-D250)*(1+G250)*((10-1)/(MaxLevel-1))^(2^F250),0),D250+(E250-D250)*(1+G250)*((10-1)/(MaxLevel-1))^(2^F250)))</f>
        <v>150</v>
      </c>
    </row>
    <row r="251" spans="1:17" x14ac:dyDescent="0.25">
      <c r="A251" s="4" t="s">
        <v>185</v>
      </c>
      <c r="B251" s="19" t="s">
        <v>228</v>
      </c>
      <c r="C251" s="4" t="s">
        <v>28</v>
      </c>
      <c r="D251" s="5">
        <v>300</v>
      </c>
      <c r="E251" s="5">
        <v>1200</v>
      </c>
      <c r="F251" s="5">
        <v>0</v>
      </c>
      <c r="G251" s="5">
        <v>-0.1</v>
      </c>
      <c r="H251" s="12">
        <f>IF(OR(D251="",E251=""),"",IF(IFERROR(INDEX(Stats!$D:$D,MATCH($C251,Stats!$A:$A,0)),FALSE),ROUND(D251+(E251-D251)*(1+G251)*((1-1)/(MaxLevel-1))^(2^F251),0),D251+(E251-D251)*(1+G251)*((1-1)/(MaxLevel-1))^(2^F251)))</f>
        <v>300</v>
      </c>
      <c r="I251" s="12">
        <f>IF(OR(D251="",E251=""),"",IF(IFERROR(INDEX(Stats!$D:$D,MATCH($C251,Stats!$A:$A,0)),FALSE),ROUND(D251+(E251-D251)*(1+G251)*((2-1)/(MaxLevel-1))^(2^F251),0),D251+(E251-D251)*(1+G251)*((2-1)/(MaxLevel-1))^(2^F251)))</f>
        <v>390</v>
      </c>
      <c r="J251" s="12">
        <f>IF(OR(D251="",E251=""),"",IF(IFERROR(INDEX(Stats!$D:$D,MATCH($C251,Stats!$A:$A,0)),FALSE),ROUND(D251+(E251-D251)*(1+G251)*((3-1)/(MaxLevel-1))^(2^F251),0),D251+(E251-D251)*(1+G251)*((3-1)/(MaxLevel-1))^(2^F251)))</f>
        <v>480</v>
      </c>
      <c r="K251" s="12">
        <f>IF(OR(D251="",E251=""),"",IF(IFERROR(INDEX(Stats!$D:$D,MATCH($C251,Stats!$A:$A,0)),FALSE),ROUND(D251+(E251-D251)*(1+G251)*((4-1)/(MaxLevel-1))^(2^F251),0),D251+(E251-D251)*(1+G251)*((4-1)/(MaxLevel-1))^(2^F251)))</f>
        <v>570</v>
      </c>
      <c r="L251" s="12">
        <f>IF(OR(D251="",E251=""),"",IF(IFERROR(INDEX(Stats!$D:$D,MATCH($C251,Stats!$A:$A,0)),FALSE),ROUND(D251+(E251-D251)*(1+G251)*((5-1)/(MaxLevel-1))^(2^F251),0),D251+(E251-D251)*(1+G251)*((5-1)/(MaxLevel-1))^(2^F251)))</f>
        <v>660</v>
      </c>
      <c r="M251" s="12">
        <f>IF(OR(D251="",E251=""),"",IF(IFERROR(INDEX(Stats!$D:$D,MATCH($C251,Stats!$A:$A,0)),FALSE),ROUND(D251+(E251-D251)*(1+G251)*((6-1)/(MaxLevel-1))^(2^F251),0),D251+(E251-D251)*(1+G251)*((6-1)/(MaxLevel-1))^(2^F251)))</f>
        <v>750</v>
      </c>
      <c r="N251" s="12">
        <f>IF(OR(D251="",E251=""),"",IF(IFERROR(INDEX(Stats!$D:$D,MATCH($C251,Stats!$A:$A,0)),FALSE),ROUND(D251+(E251-D251)*(1+G251)*((7-1)/(MaxLevel-1))^(2^F251),0),D251+(E251-D251)*(1+G251)*((7-1)/(MaxLevel-1))^(2^F251)))</f>
        <v>840</v>
      </c>
      <c r="O251" s="12">
        <f>IF(OR(D251="",E251=""),"",IF(IFERROR(INDEX(Stats!$D:$D,MATCH($C251,Stats!$A:$A,0)),FALSE),ROUND(D251+(E251-D251)*(1+G251)*((8-1)/(MaxLevel-1))^(2^F251),0),D251+(E251-D251)*(1+G251)*((8-1)/(MaxLevel-1))^(2^F251)))</f>
        <v>930</v>
      </c>
      <c r="P251" s="12">
        <f>IF(OR(D251="",E251=""),"",IF(IFERROR(INDEX(Stats!$D:$D,MATCH($C251,Stats!$A:$A,0)),FALSE),ROUND(D251+(E251-D251)*(1+G251)*((9-1)/(MaxLevel-1))^(2^F251),0),D251+(E251-D251)*(1+G251)*((9-1)/(MaxLevel-1))^(2^F251)))</f>
        <v>1020</v>
      </c>
      <c r="Q251" s="12">
        <f>IF(OR(D251="",E251=""),"",IF(IFERROR(INDEX(Stats!$D:$D,MATCH($C251,Stats!$A:$A,0)),FALSE),ROUND(D251+(E251-D251)*(1+G251)*((10-1)/(MaxLevel-1))^(2^F251),0),D251+(E251-D251)*(1+G251)*((10-1)/(MaxLevel-1))^(2^F251)))</f>
        <v>1110</v>
      </c>
    </row>
    <row r="252" spans="1:17" x14ac:dyDescent="0.25">
      <c r="A252" s="4" t="s">
        <v>185</v>
      </c>
      <c r="B252" s="19" t="s">
        <v>228</v>
      </c>
      <c r="C252" s="4" t="s">
        <v>30</v>
      </c>
      <c r="D252" s="5">
        <v>25</v>
      </c>
      <c r="E252" s="5">
        <v>110</v>
      </c>
      <c r="F252" s="5">
        <v>0.5</v>
      </c>
      <c r="G252" s="5">
        <v>0</v>
      </c>
      <c r="H252" s="12">
        <f>IF(OR(D252="",E252=""),"",IF(IFERROR(INDEX(Stats!$D:$D,MATCH($C252,Stats!$A:$A,0)),FALSE),ROUND(D252+(E252-D252)*(1+G252)*((1-1)/(MaxLevel-1))^(2^F252),0),D252+(E252-D252)*(1+G252)*((1-1)/(MaxLevel-1))^(2^F252)))</f>
        <v>25</v>
      </c>
      <c r="I252" s="12">
        <f>IF(OR(D252="",E252=""),"",IF(IFERROR(INDEX(Stats!$D:$D,MATCH($C252,Stats!$A:$A,0)),FALSE),ROUND(D252+(E252-D252)*(1+G252)*((2-1)/(MaxLevel-1))^(2^F252),0),D252+(E252-D252)*(1+G252)*((2-1)/(MaxLevel-1))^(2^F252)))</f>
        <v>29</v>
      </c>
      <c r="J252" s="12">
        <f>IF(OR(D252="",E252=""),"",IF(IFERROR(INDEX(Stats!$D:$D,MATCH($C252,Stats!$A:$A,0)),FALSE),ROUND(D252+(E252-D252)*(1+G252)*((3-1)/(MaxLevel-1))^(2^F252),0),D252+(E252-D252)*(1+G252)*((3-1)/(MaxLevel-1))^(2^F252)))</f>
        <v>35</v>
      </c>
      <c r="K252" s="12">
        <f>IF(OR(D252="",E252=""),"",IF(IFERROR(INDEX(Stats!$D:$D,MATCH($C252,Stats!$A:$A,0)),FALSE),ROUND(D252+(E252-D252)*(1+G252)*((4-1)/(MaxLevel-1))^(2^F252),0),D252+(E252-D252)*(1+G252)*((4-1)/(MaxLevel-1))^(2^F252)))</f>
        <v>43</v>
      </c>
      <c r="L252" s="12">
        <f>IF(OR(D252="",E252=""),"",IF(IFERROR(INDEX(Stats!$D:$D,MATCH($C252,Stats!$A:$A,0)),FALSE),ROUND(D252+(E252-D252)*(1+G252)*((5-1)/(MaxLevel-1))^(2^F252),0),D252+(E252-D252)*(1+G252)*((5-1)/(MaxLevel-1))^(2^F252)))</f>
        <v>52</v>
      </c>
      <c r="M252" s="12">
        <f>IF(OR(D252="",E252=""),"",IF(IFERROR(INDEX(Stats!$D:$D,MATCH($C252,Stats!$A:$A,0)),FALSE),ROUND(D252+(E252-D252)*(1+G252)*((6-1)/(MaxLevel-1))^(2^F252),0),D252+(E252-D252)*(1+G252)*((6-1)/(MaxLevel-1))^(2^F252)))</f>
        <v>62</v>
      </c>
      <c r="N252" s="12">
        <f>IF(OR(D252="",E252=""),"",IF(IFERROR(INDEX(Stats!$D:$D,MATCH($C252,Stats!$A:$A,0)),FALSE),ROUND(D252+(E252-D252)*(1+G252)*((7-1)/(MaxLevel-1))^(2^F252),0),D252+(E252-D252)*(1+G252)*((7-1)/(MaxLevel-1))^(2^F252)))</f>
        <v>73</v>
      </c>
      <c r="O252" s="12">
        <f>IF(OR(D252="",E252=""),"",IF(IFERROR(INDEX(Stats!$D:$D,MATCH($C252,Stats!$A:$A,0)),FALSE),ROUND(D252+(E252-D252)*(1+G252)*((8-1)/(MaxLevel-1))^(2^F252),0),D252+(E252-D252)*(1+G252)*((8-1)/(MaxLevel-1))^(2^F252)))</f>
        <v>85</v>
      </c>
      <c r="P252" s="12">
        <f>IF(OR(D252="",E252=""),"",IF(IFERROR(INDEX(Stats!$D:$D,MATCH($C252,Stats!$A:$A,0)),FALSE),ROUND(D252+(E252-D252)*(1+G252)*((9-1)/(MaxLevel-1))^(2^F252),0),D252+(E252-D252)*(1+G252)*((9-1)/(MaxLevel-1))^(2^F252)))</f>
        <v>97</v>
      </c>
      <c r="Q252" s="12">
        <f>IF(OR(D252="",E252=""),"",IF(IFERROR(INDEX(Stats!$D:$D,MATCH($C252,Stats!$A:$A,0)),FALSE),ROUND(D252+(E252-D252)*(1+G252)*((10-1)/(MaxLevel-1))^(2^F252),0),D252+(E252-D252)*(1+G252)*((10-1)/(MaxLevel-1))^(2^F252)))</f>
        <v>110</v>
      </c>
    </row>
    <row r="253" spans="1:17" x14ac:dyDescent="0.25">
      <c r="A253" s="4" t="s">
        <v>185</v>
      </c>
      <c r="B253" s="19" t="s">
        <v>228</v>
      </c>
      <c r="C253" s="4" t="s">
        <v>32</v>
      </c>
      <c r="D253" s="5"/>
      <c r="E253" s="5"/>
      <c r="F253" s="5"/>
      <c r="G253" s="5"/>
      <c r="H253" s="12" t="str">
        <f>IF(OR(D253="",E253=""),"",IF(IFERROR(INDEX(Stats!$D:$D,MATCH($C253,Stats!$A:$A,0)),FALSE),ROUND(D253+(E253-D253)*(1+G253)*((1-1)/(MaxLevel-1))^(2^F253),0),D253+(E253-D253)*(1+G253)*((1-1)/(MaxLevel-1))^(2^F253)))</f>
        <v/>
      </c>
      <c r="I253" s="12" t="str">
        <f>IF(OR(D253="",E253=""),"",IF(IFERROR(INDEX(Stats!$D:$D,MATCH($C253,Stats!$A:$A,0)),FALSE),ROUND(D253+(E253-D253)*(1+G253)*((2-1)/(MaxLevel-1))^(2^F253),0),D253+(E253-D253)*(1+G253)*((2-1)/(MaxLevel-1))^(2^F253)))</f>
        <v/>
      </c>
      <c r="J253" s="12" t="str">
        <f>IF(OR(D253="",E253=""),"",IF(IFERROR(INDEX(Stats!$D:$D,MATCH($C253,Stats!$A:$A,0)),FALSE),ROUND(D253+(E253-D253)*(1+G253)*((3-1)/(MaxLevel-1))^(2^F253),0),D253+(E253-D253)*(1+G253)*((3-1)/(MaxLevel-1))^(2^F253)))</f>
        <v/>
      </c>
      <c r="K253" s="12" t="str">
        <f>IF(OR(D253="",E253=""),"",IF(IFERROR(INDEX(Stats!$D:$D,MATCH($C253,Stats!$A:$A,0)),FALSE),ROUND(D253+(E253-D253)*(1+G253)*((4-1)/(MaxLevel-1))^(2^F253),0),D253+(E253-D253)*(1+G253)*((4-1)/(MaxLevel-1))^(2^F253)))</f>
        <v/>
      </c>
      <c r="L253" s="12" t="str">
        <f>IF(OR(D253="",E253=""),"",IF(IFERROR(INDEX(Stats!$D:$D,MATCH($C253,Stats!$A:$A,0)),FALSE),ROUND(D253+(E253-D253)*(1+G253)*((5-1)/(MaxLevel-1))^(2^F253),0),D253+(E253-D253)*(1+G253)*((5-1)/(MaxLevel-1))^(2^F253)))</f>
        <v/>
      </c>
      <c r="M253" s="12" t="str">
        <f>IF(OR(D253="",E253=""),"",IF(IFERROR(INDEX(Stats!$D:$D,MATCH($C253,Stats!$A:$A,0)),FALSE),ROUND(D253+(E253-D253)*(1+G253)*((6-1)/(MaxLevel-1))^(2^F253),0),D253+(E253-D253)*(1+G253)*((6-1)/(MaxLevel-1))^(2^F253)))</f>
        <v/>
      </c>
      <c r="N253" s="12" t="str">
        <f>IF(OR(D253="",E253=""),"",IF(IFERROR(INDEX(Stats!$D:$D,MATCH($C253,Stats!$A:$A,0)),FALSE),ROUND(D253+(E253-D253)*(1+G253)*((7-1)/(MaxLevel-1))^(2^F253),0),D253+(E253-D253)*(1+G253)*((7-1)/(MaxLevel-1))^(2^F253)))</f>
        <v/>
      </c>
      <c r="O253" s="12" t="str">
        <f>IF(OR(D253="",E253=""),"",IF(IFERROR(INDEX(Stats!$D:$D,MATCH($C253,Stats!$A:$A,0)),FALSE),ROUND(D253+(E253-D253)*(1+G253)*((8-1)/(MaxLevel-1))^(2^F253),0),D253+(E253-D253)*(1+G253)*((8-1)/(MaxLevel-1))^(2^F253)))</f>
        <v/>
      </c>
      <c r="P253" s="12" t="str">
        <f>IF(OR(D253="",E253=""),"",IF(IFERROR(INDEX(Stats!$D:$D,MATCH($C253,Stats!$A:$A,0)),FALSE),ROUND(D253+(E253-D253)*(1+G253)*((9-1)/(MaxLevel-1))^(2^F253),0),D253+(E253-D253)*(1+G253)*((9-1)/(MaxLevel-1))^(2^F253)))</f>
        <v/>
      </c>
      <c r="Q253" s="12" t="str">
        <f>IF(OR(D253="",E253=""),"",IF(IFERROR(INDEX(Stats!$D:$D,MATCH($C253,Stats!$A:$A,0)),FALSE),ROUND(D253+(E253-D253)*(1+G253)*((10-1)/(MaxLevel-1))^(2^F253),0),D253+(E253-D253)*(1+G253)*((10-1)/(MaxLevel-1))^(2^F253)))</f>
        <v/>
      </c>
    </row>
    <row r="254" spans="1:17" x14ac:dyDescent="0.25">
      <c r="A254" s="4" t="s">
        <v>185</v>
      </c>
      <c r="B254" s="19" t="s">
        <v>228</v>
      </c>
      <c r="C254" s="4" t="s">
        <v>34</v>
      </c>
      <c r="D254" s="5"/>
      <c r="E254" s="5"/>
      <c r="F254" s="5"/>
      <c r="G254" s="5"/>
      <c r="H254" s="12" t="str">
        <f>IF(OR(D254="",E254=""),"",IF(IFERROR(INDEX(Stats!$D:$D,MATCH($C254,Stats!$A:$A,0)),FALSE),ROUND(D254+(E254-D254)*(1+G254)*((1-1)/(MaxLevel-1))^(2^F254),0),D254+(E254-D254)*(1+G254)*((1-1)/(MaxLevel-1))^(2^F254)))</f>
        <v/>
      </c>
      <c r="I254" s="12" t="str">
        <f>IF(OR(D254="",E254=""),"",IF(IFERROR(INDEX(Stats!$D:$D,MATCH($C254,Stats!$A:$A,0)),FALSE),ROUND(D254+(E254-D254)*(1+G254)*((2-1)/(MaxLevel-1))^(2^F254),0),D254+(E254-D254)*(1+G254)*((2-1)/(MaxLevel-1))^(2^F254)))</f>
        <v/>
      </c>
      <c r="J254" s="12" t="str">
        <f>IF(OR(D254="",E254=""),"",IF(IFERROR(INDEX(Stats!$D:$D,MATCH($C254,Stats!$A:$A,0)),FALSE),ROUND(D254+(E254-D254)*(1+G254)*((3-1)/(MaxLevel-1))^(2^F254),0),D254+(E254-D254)*(1+G254)*((3-1)/(MaxLevel-1))^(2^F254)))</f>
        <v/>
      </c>
      <c r="K254" s="12" t="str">
        <f>IF(OR(D254="",E254=""),"",IF(IFERROR(INDEX(Stats!$D:$D,MATCH($C254,Stats!$A:$A,0)),FALSE),ROUND(D254+(E254-D254)*(1+G254)*((4-1)/(MaxLevel-1))^(2^F254),0),D254+(E254-D254)*(1+G254)*((4-1)/(MaxLevel-1))^(2^F254)))</f>
        <v/>
      </c>
      <c r="L254" s="12" t="str">
        <f>IF(OR(D254="",E254=""),"",IF(IFERROR(INDEX(Stats!$D:$D,MATCH($C254,Stats!$A:$A,0)),FALSE),ROUND(D254+(E254-D254)*(1+G254)*((5-1)/(MaxLevel-1))^(2^F254),0),D254+(E254-D254)*(1+G254)*((5-1)/(MaxLevel-1))^(2^F254)))</f>
        <v/>
      </c>
      <c r="M254" s="12" t="str">
        <f>IF(OR(D254="",E254=""),"",IF(IFERROR(INDEX(Stats!$D:$D,MATCH($C254,Stats!$A:$A,0)),FALSE),ROUND(D254+(E254-D254)*(1+G254)*((6-1)/(MaxLevel-1))^(2^F254),0),D254+(E254-D254)*(1+G254)*((6-1)/(MaxLevel-1))^(2^F254)))</f>
        <v/>
      </c>
      <c r="N254" s="12" t="str">
        <f>IF(OR(D254="",E254=""),"",IF(IFERROR(INDEX(Stats!$D:$D,MATCH($C254,Stats!$A:$A,0)),FALSE),ROUND(D254+(E254-D254)*(1+G254)*((7-1)/(MaxLevel-1))^(2^F254),0),D254+(E254-D254)*(1+G254)*((7-1)/(MaxLevel-1))^(2^F254)))</f>
        <v/>
      </c>
      <c r="O254" s="12" t="str">
        <f>IF(OR(D254="",E254=""),"",IF(IFERROR(INDEX(Stats!$D:$D,MATCH($C254,Stats!$A:$A,0)),FALSE),ROUND(D254+(E254-D254)*(1+G254)*((8-1)/(MaxLevel-1))^(2^F254),0),D254+(E254-D254)*(1+G254)*((8-1)/(MaxLevel-1))^(2^F254)))</f>
        <v/>
      </c>
      <c r="P254" s="12" t="str">
        <f>IF(OR(D254="",E254=""),"",IF(IFERROR(INDEX(Stats!$D:$D,MATCH($C254,Stats!$A:$A,0)),FALSE),ROUND(D254+(E254-D254)*(1+G254)*((9-1)/(MaxLevel-1))^(2^F254),0),D254+(E254-D254)*(1+G254)*((9-1)/(MaxLevel-1))^(2^F254)))</f>
        <v/>
      </c>
      <c r="Q254" s="12" t="str">
        <f>IF(OR(D254="",E254=""),"",IF(IFERROR(INDEX(Stats!$D:$D,MATCH($C254,Stats!$A:$A,0)),FALSE),ROUND(D254+(E254-D254)*(1+G254)*((10-1)/(MaxLevel-1))^(2^F254),0),D254+(E254-D254)*(1+G254)*((10-1)/(MaxLevel-1))^(2^F254)))</f>
        <v/>
      </c>
    </row>
    <row r="255" spans="1:17" x14ac:dyDescent="0.25">
      <c r="A255" s="4" t="s">
        <v>185</v>
      </c>
      <c r="B255" s="19" t="s">
        <v>228</v>
      </c>
      <c r="C255" s="4" t="s">
        <v>36</v>
      </c>
      <c r="D255" s="5"/>
      <c r="E255" s="5"/>
      <c r="F255" s="5"/>
      <c r="G255" s="5"/>
      <c r="H255" s="12" t="str">
        <f>IF(OR(D255="",E255=""),"",IF(IFERROR(INDEX(Stats!$D:$D,MATCH($C255,Stats!$A:$A,0)),FALSE),ROUND(D255+(E255-D255)*(1+G255)*((1-1)/(MaxLevel-1))^(2^F255),0),D255+(E255-D255)*(1+G255)*((1-1)/(MaxLevel-1))^(2^F255)))</f>
        <v/>
      </c>
      <c r="I255" s="12" t="str">
        <f>IF(OR(D255="",E255=""),"",IF(IFERROR(INDEX(Stats!$D:$D,MATCH($C255,Stats!$A:$A,0)),FALSE),ROUND(D255+(E255-D255)*(1+G255)*((2-1)/(MaxLevel-1))^(2^F255),0),D255+(E255-D255)*(1+G255)*((2-1)/(MaxLevel-1))^(2^F255)))</f>
        <v/>
      </c>
      <c r="J255" s="12" t="str">
        <f>IF(OR(D255="",E255=""),"",IF(IFERROR(INDEX(Stats!$D:$D,MATCH($C255,Stats!$A:$A,0)),FALSE),ROUND(D255+(E255-D255)*(1+G255)*((3-1)/(MaxLevel-1))^(2^F255),0),D255+(E255-D255)*(1+G255)*((3-1)/(MaxLevel-1))^(2^F255)))</f>
        <v/>
      </c>
      <c r="K255" s="12" t="str">
        <f>IF(OR(D255="",E255=""),"",IF(IFERROR(INDEX(Stats!$D:$D,MATCH($C255,Stats!$A:$A,0)),FALSE),ROUND(D255+(E255-D255)*(1+G255)*((4-1)/(MaxLevel-1))^(2^F255),0),D255+(E255-D255)*(1+G255)*((4-1)/(MaxLevel-1))^(2^F255)))</f>
        <v/>
      </c>
      <c r="L255" s="12" t="str">
        <f>IF(OR(D255="",E255=""),"",IF(IFERROR(INDEX(Stats!$D:$D,MATCH($C255,Stats!$A:$A,0)),FALSE),ROUND(D255+(E255-D255)*(1+G255)*((5-1)/(MaxLevel-1))^(2^F255),0),D255+(E255-D255)*(1+G255)*((5-1)/(MaxLevel-1))^(2^F255)))</f>
        <v/>
      </c>
      <c r="M255" s="12" t="str">
        <f>IF(OR(D255="",E255=""),"",IF(IFERROR(INDEX(Stats!$D:$D,MATCH($C255,Stats!$A:$A,0)),FALSE),ROUND(D255+(E255-D255)*(1+G255)*((6-1)/(MaxLevel-1))^(2^F255),0),D255+(E255-D255)*(1+G255)*((6-1)/(MaxLevel-1))^(2^F255)))</f>
        <v/>
      </c>
      <c r="N255" s="12" t="str">
        <f>IF(OR(D255="",E255=""),"",IF(IFERROR(INDEX(Stats!$D:$D,MATCH($C255,Stats!$A:$A,0)),FALSE),ROUND(D255+(E255-D255)*(1+G255)*((7-1)/(MaxLevel-1))^(2^F255),0),D255+(E255-D255)*(1+G255)*((7-1)/(MaxLevel-1))^(2^F255)))</f>
        <v/>
      </c>
      <c r="O255" s="12" t="str">
        <f>IF(OR(D255="",E255=""),"",IF(IFERROR(INDEX(Stats!$D:$D,MATCH($C255,Stats!$A:$A,0)),FALSE),ROUND(D255+(E255-D255)*(1+G255)*((8-1)/(MaxLevel-1))^(2^F255),0),D255+(E255-D255)*(1+G255)*((8-1)/(MaxLevel-1))^(2^F255)))</f>
        <v/>
      </c>
      <c r="P255" s="12" t="str">
        <f>IF(OR(D255="",E255=""),"",IF(IFERROR(INDEX(Stats!$D:$D,MATCH($C255,Stats!$A:$A,0)),FALSE),ROUND(D255+(E255-D255)*(1+G255)*((9-1)/(MaxLevel-1))^(2^F255),0),D255+(E255-D255)*(1+G255)*((9-1)/(MaxLevel-1))^(2^F255)))</f>
        <v/>
      </c>
      <c r="Q255" s="12" t="str">
        <f>IF(OR(D255="",E255=""),"",IF(IFERROR(INDEX(Stats!$D:$D,MATCH($C255,Stats!$A:$A,0)),FALSE),ROUND(D255+(E255-D255)*(1+G255)*((10-1)/(MaxLevel-1))^(2^F255),0),D255+(E255-D255)*(1+G255)*((10-1)/(MaxLevel-1))^(2^F255)))</f>
        <v/>
      </c>
    </row>
    <row r="256" spans="1:17" x14ac:dyDescent="0.25">
      <c r="A256" s="4" t="s">
        <v>185</v>
      </c>
      <c r="B256" s="19" t="s">
        <v>228</v>
      </c>
      <c r="C256" s="4" t="s">
        <v>38</v>
      </c>
      <c r="D256" s="5"/>
      <c r="E256" s="5"/>
      <c r="F256" s="5"/>
      <c r="G256" s="5"/>
      <c r="H256" s="12" t="str">
        <f>IF(OR(D256="",E256=""),"",IF(IFERROR(INDEX(Stats!$D:$D,MATCH($C256,Stats!$A:$A,0)),FALSE),ROUND(D256+(E256-D256)*(1+G256)*((1-1)/(MaxLevel-1))^(2^F256),0),D256+(E256-D256)*(1+G256)*((1-1)/(MaxLevel-1))^(2^F256)))</f>
        <v/>
      </c>
      <c r="I256" s="12" t="str">
        <f>IF(OR(D256="",E256=""),"",IF(IFERROR(INDEX(Stats!$D:$D,MATCH($C256,Stats!$A:$A,0)),FALSE),ROUND(D256+(E256-D256)*(1+G256)*((2-1)/(MaxLevel-1))^(2^F256),0),D256+(E256-D256)*(1+G256)*((2-1)/(MaxLevel-1))^(2^F256)))</f>
        <v/>
      </c>
      <c r="J256" s="12" t="str">
        <f>IF(OR(D256="",E256=""),"",IF(IFERROR(INDEX(Stats!$D:$D,MATCH($C256,Stats!$A:$A,0)),FALSE),ROUND(D256+(E256-D256)*(1+G256)*((3-1)/(MaxLevel-1))^(2^F256),0),D256+(E256-D256)*(1+G256)*((3-1)/(MaxLevel-1))^(2^F256)))</f>
        <v/>
      </c>
      <c r="K256" s="12" t="str">
        <f>IF(OR(D256="",E256=""),"",IF(IFERROR(INDEX(Stats!$D:$D,MATCH($C256,Stats!$A:$A,0)),FALSE),ROUND(D256+(E256-D256)*(1+G256)*((4-1)/(MaxLevel-1))^(2^F256),0),D256+(E256-D256)*(1+G256)*((4-1)/(MaxLevel-1))^(2^F256)))</f>
        <v/>
      </c>
      <c r="L256" s="12" t="str">
        <f>IF(OR(D256="",E256=""),"",IF(IFERROR(INDEX(Stats!$D:$D,MATCH($C256,Stats!$A:$A,0)),FALSE),ROUND(D256+(E256-D256)*(1+G256)*((5-1)/(MaxLevel-1))^(2^F256),0),D256+(E256-D256)*(1+G256)*((5-1)/(MaxLevel-1))^(2^F256)))</f>
        <v/>
      </c>
      <c r="M256" s="12" t="str">
        <f>IF(OR(D256="",E256=""),"",IF(IFERROR(INDEX(Stats!$D:$D,MATCH($C256,Stats!$A:$A,0)),FALSE),ROUND(D256+(E256-D256)*(1+G256)*((6-1)/(MaxLevel-1))^(2^F256),0),D256+(E256-D256)*(1+G256)*((6-1)/(MaxLevel-1))^(2^F256)))</f>
        <v/>
      </c>
      <c r="N256" s="12" t="str">
        <f>IF(OR(D256="",E256=""),"",IF(IFERROR(INDEX(Stats!$D:$D,MATCH($C256,Stats!$A:$A,0)),FALSE),ROUND(D256+(E256-D256)*(1+G256)*((7-1)/(MaxLevel-1))^(2^F256),0),D256+(E256-D256)*(1+G256)*((7-1)/(MaxLevel-1))^(2^F256)))</f>
        <v/>
      </c>
      <c r="O256" s="12" t="str">
        <f>IF(OR(D256="",E256=""),"",IF(IFERROR(INDEX(Stats!$D:$D,MATCH($C256,Stats!$A:$A,0)),FALSE),ROUND(D256+(E256-D256)*(1+G256)*((8-1)/(MaxLevel-1))^(2^F256),0),D256+(E256-D256)*(1+G256)*((8-1)/(MaxLevel-1))^(2^F256)))</f>
        <v/>
      </c>
      <c r="P256" s="12" t="str">
        <f>IF(OR(D256="",E256=""),"",IF(IFERROR(INDEX(Stats!$D:$D,MATCH($C256,Stats!$A:$A,0)),FALSE),ROUND(D256+(E256-D256)*(1+G256)*((9-1)/(MaxLevel-1))^(2^F256),0),D256+(E256-D256)*(1+G256)*((9-1)/(MaxLevel-1))^(2^F256)))</f>
        <v/>
      </c>
      <c r="Q256" s="12" t="str">
        <f>IF(OR(D256="",E256=""),"",IF(IFERROR(INDEX(Stats!$D:$D,MATCH($C256,Stats!$A:$A,0)),FALSE),ROUND(D256+(E256-D256)*(1+G256)*((10-1)/(MaxLevel-1))^(2^F256),0),D256+(E256-D256)*(1+G256)*((10-1)/(MaxLevel-1))^(2^F256)))</f>
        <v/>
      </c>
    </row>
    <row r="257" spans="1:17" x14ac:dyDescent="0.25">
      <c r="A257" s="4" t="s">
        <v>185</v>
      </c>
      <c r="B257" s="19" t="s">
        <v>228</v>
      </c>
      <c r="C257" s="4" t="s">
        <v>40</v>
      </c>
      <c r="D257" s="5"/>
      <c r="E257" s="5"/>
      <c r="F257" s="5"/>
      <c r="G257" s="5"/>
      <c r="H257" s="12" t="str">
        <f>IF(OR(D257="",E257=""),"",IF(IFERROR(INDEX(Stats!$D:$D,MATCH($C257,Stats!$A:$A,0)),FALSE),ROUND(D257+(E257-D257)*(1+G257)*((1-1)/(MaxLevel-1))^(2^F257),0),D257+(E257-D257)*(1+G257)*((1-1)/(MaxLevel-1))^(2^F257)))</f>
        <v/>
      </c>
      <c r="I257" s="12" t="str">
        <f>IF(OR(D257="",E257=""),"",IF(IFERROR(INDEX(Stats!$D:$D,MATCH($C257,Stats!$A:$A,0)),FALSE),ROUND(D257+(E257-D257)*(1+G257)*((2-1)/(MaxLevel-1))^(2^F257),0),D257+(E257-D257)*(1+G257)*((2-1)/(MaxLevel-1))^(2^F257)))</f>
        <v/>
      </c>
      <c r="J257" s="12" t="str">
        <f>IF(OR(D257="",E257=""),"",IF(IFERROR(INDEX(Stats!$D:$D,MATCH($C257,Stats!$A:$A,0)),FALSE),ROUND(D257+(E257-D257)*(1+G257)*((3-1)/(MaxLevel-1))^(2^F257),0),D257+(E257-D257)*(1+G257)*((3-1)/(MaxLevel-1))^(2^F257)))</f>
        <v/>
      </c>
      <c r="K257" s="12" t="str">
        <f>IF(OR(D257="",E257=""),"",IF(IFERROR(INDEX(Stats!$D:$D,MATCH($C257,Stats!$A:$A,0)),FALSE),ROUND(D257+(E257-D257)*(1+G257)*((4-1)/(MaxLevel-1))^(2^F257),0),D257+(E257-D257)*(1+G257)*((4-1)/(MaxLevel-1))^(2^F257)))</f>
        <v/>
      </c>
      <c r="L257" s="12" t="str">
        <f>IF(OR(D257="",E257=""),"",IF(IFERROR(INDEX(Stats!$D:$D,MATCH($C257,Stats!$A:$A,0)),FALSE),ROUND(D257+(E257-D257)*(1+G257)*((5-1)/(MaxLevel-1))^(2^F257),0),D257+(E257-D257)*(1+G257)*((5-1)/(MaxLevel-1))^(2^F257)))</f>
        <v/>
      </c>
      <c r="M257" s="12" t="str">
        <f>IF(OR(D257="",E257=""),"",IF(IFERROR(INDEX(Stats!$D:$D,MATCH($C257,Stats!$A:$A,0)),FALSE),ROUND(D257+(E257-D257)*(1+G257)*((6-1)/(MaxLevel-1))^(2^F257),0),D257+(E257-D257)*(1+G257)*((6-1)/(MaxLevel-1))^(2^F257)))</f>
        <v/>
      </c>
      <c r="N257" s="12" t="str">
        <f>IF(OR(D257="",E257=""),"",IF(IFERROR(INDEX(Stats!$D:$D,MATCH($C257,Stats!$A:$A,0)),FALSE),ROUND(D257+(E257-D257)*(1+G257)*((7-1)/(MaxLevel-1))^(2^F257),0),D257+(E257-D257)*(1+G257)*((7-1)/(MaxLevel-1))^(2^F257)))</f>
        <v/>
      </c>
      <c r="O257" s="12" t="str">
        <f>IF(OR(D257="",E257=""),"",IF(IFERROR(INDEX(Stats!$D:$D,MATCH($C257,Stats!$A:$A,0)),FALSE),ROUND(D257+(E257-D257)*(1+G257)*((8-1)/(MaxLevel-1))^(2^F257),0),D257+(E257-D257)*(1+G257)*((8-1)/(MaxLevel-1))^(2^F257)))</f>
        <v/>
      </c>
      <c r="P257" s="12" t="str">
        <f>IF(OR(D257="",E257=""),"",IF(IFERROR(INDEX(Stats!$D:$D,MATCH($C257,Stats!$A:$A,0)),FALSE),ROUND(D257+(E257-D257)*(1+G257)*((9-1)/(MaxLevel-1))^(2^F257),0),D257+(E257-D257)*(1+G257)*((9-1)/(MaxLevel-1))^(2^F257)))</f>
        <v/>
      </c>
      <c r="Q257" s="12" t="str">
        <f>IF(OR(D257="",E257=""),"",IF(IFERROR(INDEX(Stats!$D:$D,MATCH($C257,Stats!$A:$A,0)),FALSE),ROUND(D257+(E257-D257)*(1+G257)*((10-1)/(MaxLevel-1))^(2^F257),0),D257+(E257-D257)*(1+G257)*((10-1)/(MaxLevel-1))^(2^F257)))</f>
        <v/>
      </c>
    </row>
    <row r="258" spans="1:17" x14ac:dyDescent="0.25">
      <c r="A258" s="4" t="s">
        <v>185</v>
      </c>
      <c r="B258" s="19" t="s">
        <v>228</v>
      </c>
      <c r="C258" s="4" t="s">
        <v>42</v>
      </c>
      <c r="D258" s="5"/>
      <c r="E258" s="5"/>
      <c r="F258" s="5"/>
      <c r="G258" s="5"/>
      <c r="H258" s="12" t="str">
        <f>IF(OR(D258="",E258=""),"",IF(IFERROR(INDEX(Stats!$D:$D,MATCH($C258,Stats!$A:$A,0)),FALSE),ROUND(D258+(E258-D258)*(1+G258)*((1-1)/(MaxLevel-1))^(2^F258),0),D258+(E258-D258)*(1+G258)*((1-1)/(MaxLevel-1))^(2^F258)))</f>
        <v/>
      </c>
      <c r="I258" s="12" t="str">
        <f>IF(OR(D258="",E258=""),"",IF(IFERROR(INDEX(Stats!$D:$D,MATCH($C258,Stats!$A:$A,0)),FALSE),ROUND(D258+(E258-D258)*(1+G258)*((2-1)/(MaxLevel-1))^(2^F258),0),D258+(E258-D258)*(1+G258)*((2-1)/(MaxLevel-1))^(2^F258)))</f>
        <v/>
      </c>
      <c r="J258" s="12" t="str">
        <f>IF(OR(D258="",E258=""),"",IF(IFERROR(INDEX(Stats!$D:$D,MATCH($C258,Stats!$A:$A,0)),FALSE),ROUND(D258+(E258-D258)*(1+G258)*((3-1)/(MaxLevel-1))^(2^F258),0),D258+(E258-D258)*(1+G258)*((3-1)/(MaxLevel-1))^(2^F258)))</f>
        <v/>
      </c>
      <c r="K258" s="12" t="str">
        <f>IF(OR(D258="",E258=""),"",IF(IFERROR(INDEX(Stats!$D:$D,MATCH($C258,Stats!$A:$A,0)),FALSE),ROUND(D258+(E258-D258)*(1+G258)*((4-1)/(MaxLevel-1))^(2^F258),0),D258+(E258-D258)*(1+G258)*((4-1)/(MaxLevel-1))^(2^F258)))</f>
        <v/>
      </c>
      <c r="L258" s="12" t="str">
        <f>IF(OR(D258="",E258=""),"",IF(IFERROR(INDEX(Stats!$D:$D,MATCH($C258,Stats!$A:$A,0)),FALSE),ROUND(D258+(E258-D258)*(1+G258)*((5-1)/(MaxLevel-1))^(2^F258),0),D258+(E258-D258)*(1+G258)*((5-1)/(MaxLevel-1))^(2^F258)))</f>
        <v/>
      </c>
      <c r="M258" s="12" t="str">
        <f>IF(OR(D258="",E258=""),"",IF(IFERROR(INDEX(Stats!$D:$D,MATCH($C258,Stats!$A:$A,0)),FALSE),ROUND(D258+(E258-D258)*(1+G258)*((6-1)/(MaxLevel-1))^(2^F258),0),D258+(E258-D258)*(1+G258)*((6-1)/(MaxLevel-1))^(2^F258)))</f>
        <v/>
      </c>
      <c r="N258" s="12" t="str">
        <f>IF(OR(D258="",E258=""),"",IF(IFERROR(INDEX(Stats!$D:$D,MATCH($C258,Stats!$A:$A,0)),FALSE),ROUND(D258+(E258-D258)*(1+G258)*((7-1)/(MaxLevel-1))^(2^F258),0),D258+(E258-D258)*(1+G258)*((7-1)/(MaxLevel-1))^(2^F258)))</f>
        <v/>
      </c>
      <c r="O258" s="12" t="str">
        <f>IF(OR(D258="",E258=""),"",IF(IFERROR(INDEX(Stats!$D:$D,MATCH($C258,Stats!$A:$A,0)),FALSE),ROUND(D258+(E258-D258)*(1+G258)*((8-1)/(MaxLevel-1))^(2^F258),0),D258+(E258-D258)*(1+G258)*((8-1)/(MaxLevel-1))^(2^F258)))</f>
        <v/>
      </c>
      <c r="P258" s="12" t="str">
        <f>IF(OR(D258="",E258=""),"",IF(IFERROR(INDEX(Stats!$D:$D,MATCH($C258,Stats!$A:$A,0)),FALSE),ROUND(D258+(E258-D258)*(1+G258)*((9-1)/(MaxLevel-1))^(2^F258),0),D258+(E258-D258)*(1+G258)*((9-1)/(MaxLevel-1))^(2^F258)))</f>
        <v/>
      </c>
      <c r="Q258" s="12" t="str">
        <f>IF(OR(D258="",E258=""),"",IF(IFERROR(INDEX(Stats!$D:$D,MATCH($C258,Stats!$A:$A,0)),FALSE),ROUND(D258+(E258-D258)*(1+G258)*((10-1)/(MaxLevel-1))^(2^F258),0),D258+(E258-D258)*(1+G258)*((10-1)/(MaxLevel-1))^(2^F258)))</f>
        <v/>
      </c>
    </row>
    <row r="259" spans="1:17" x14ac:dyDescent="0.25">
      <c r="A259" s="4" t="s">
        <v>185</v>
      </c>
      <c r="B259" s="19" t="s">
        <v>228</v>
      </c>
      <c r="C259" s="4" t="s">
        <v>44</v>
      </c>
      <c r="D259" s="5"/>
      <c r="E259" s="5"/>
      <c r="F259" s="5"/>
      <c r="G259" s="5"/>
      <c r="H259" s="12" t="str">
        <f>IF(OR(D259="",E259=""),"",IF(IFERROR(INDEX(Stats!$D:$D,MATCH($C259,Stats!$A:$A,0)),FALSE),ROUND(D259+(E259-D259)*(1+G259)*((1-1)/(MaxLevel-1))^(2^F259),0),D259+(E259-D259)*(1+G259)*((1-1)/(MaxLevel-1))^(2^F259)))</f>
        <v/>
      </c>
      <c r="I259" s="12" t="str">
        <f>IF(OR(D259="",E259=""),"",IF(IFERROR(INDEX(Stats!$D:$D,MATCH($C259,Stats!$A:$A,0)),FALSE),ROUND(D259+(E259-D259)*(1+G259)*((2-1)/(MaxLevel-1))^(2^F259),0),D259+(E259-D259)*(1+G259)*((2-1)/(MaxLevel-1))^(2^F259)))</f>
        <v/>
      </c>
      <c r="J259" s="12" t="str">
        <f>IF(OR(D259="",E259=""),"",IF(IFERROR(INDEX(Stats!$D:$D,MATCH($C259,Stats!$A:$A,0)),FALSE),ROUND(D259+(E259-D259)*(1+G259)*((3-1)/(MaxLevel-1))^(2^F259),0),D259+(E259-D259)*(1+G259)*((3-1)/(MaxLevel-1))^(2^F259)))</f>
        <v/>
      </c>
      <c r="K259" s="12" t="str">
        <f>IF(OR(D259="",E259=""),"",IF(IFERROR(INDEX(Stats!$D:$D,MATCH($C259,Stats!$A:$A,0)),FALSE),ROUND(D259+(E259-D259)*(1+G259)*((4-1)/(MaxLevel-1))^(2^F259),0),D259+(E259-D259)*(1+G259)*((4-1)/(MaxLevel-1))^(2^F259)))</f>
        <v/>
      </c>
      <c r="L259" s="12" t="str">
        <f>IF(OR(D259="",E259=""),"",IF(IFERROR(INDEX(Stats!$D:$D,MATCH($C259,Stats!$A:$A,0)),FALSE),ROUND(D259+(E259-D259)*(1+G259)*((5-1)/(MaxLevel-1))^(2^F259),0),D259+(E259-D259)*(1+G259)*((5-1)/(MaxLevel-1))^(2^F259)))</f>
        <v/>
      </c>
      <c r="M259" s="12" t="str">
        <f>IF(OR(D259="",E259=""),"",IF(IFERROR(INDEX(Stats!$D:$D,MATCH($C259,Stats!$A:$A,0)),FALSE),ROUND(D259+(E259-D259)*(1+G259)*((6-1)/(MaxLevel-1))^(2^F259),0),D259+(E259-D259)*(1+G259)*((6-1)/(MaxLevel-1))^(2^F259)))</f>
        <v/>
      </c>
      <c r="N259" s="12" t="str">
        <f>IF(OR(D259="",E259=""),"",IF(IFERROR(INDEX(Stats!$D:$D,MATCH($C259,Stats!$A:$A,0)),FALSE),ROUND(D259+(E259-D259)*(1+G259)*((7-1)/(MaxLevel-1))^(2^F259),0),D259+(E259-D259)*(1+G259)*((7-1)/(MaxLevel-1))^(2^F259)))</f>
        <v/>
      </c>
      <c r="O259" s="12" t="str">
        <f>IF(OR(D259="",E259=""),"",IF(IFERROR(INDEX(Stats!$D:$D,MATCH($C259,Stats!$A:$A,0)),FALSE),ROUND(D259+(E259-D259)*(1+G259)*((8-1)/(MaxLevel-1))^(2^F259),0),D259+(E259-D259)*(1+G259)*((8-1)/(MaxLevel-1))^(2^F259)))</f>
        <v/>
      </c>
      <c r="P259" s="12" t="str">
        <f>IF(OR(D259="",E259=""),"",IF(IFERROR(INDEX(Stats!$D:$D,MATCH($C259,Stats!$A:$A,0)),FALSE),ROUND(D259+(E259-D259)*(1+G259)*((9-1)/(MaxLevel-1))^(2^F259),0),D259+(E259-D259)*(1+G259)*((9-1)/(MaxLevel-1))^(2^F259)))</f>
        <v/>
      </c>
      <c r="Q259" s="12" t="str">
        <f>IF(OR(D259="",E259=""),"",IF(IFERROR(INDEX(Stats!$D:$D,MATCH($C259,Stats!$A:$A,0)),FALSE),ROUND(D259+(E259-D259)*(1+G259)*((10-1)/(MaxLevel-1))^(2^F259),0),D259+(E259-D259)*(1+G259)*((10-1)/(MaxLevel-1))^(2^F259)))</f>
        <v/>
      </c>
    </row>
    <row r="260" spans="1:17" x14ac:dyDescent="0.25">
      <c r="A260" s="4" t="s">
        <v>185</v>
      </c>
      <c r="B260" s="19" t="s">
        <v>228</v>
      </c>
      <c r="C260" s="4" t="s">
        <v>46</v>
      </c>
      <c r="D260" s="5">
        <v>300</v>
      </c>
      <c r="E260" s="5">
        <v>320</v>
      </c>
      <c r="F260" s="5">
        <v>0</v>
      </c>
      <c r="G260" s="5">
        <v>0</v>
      </c>
      <c r="H260" s="12">
        <f>IF(OR(D260="",E260=""),"",IF(IFERROR(INDEX(Stats!$D:$D,MATCH($C260,Stats!$A:$A,0)),FALSE),ROUND(D260+(E260-D260)*(1+G260)*((1-1)/(MaxLevel-1))^(2^F260),0),D260+(E260-D260)*(1+G260)*((1-1)/(MaxLevel-1))^(2^F260)))</f>
        <v>300</v>
      </c>
      <c r="I260" s="12">
        <f>IF(OR(D260="",E260=""),"",IF(IFERROR(INDEX(Stats!$D:$D,MATCH($C260,Stats!$A:$A,0)),FALSE),ROUND(D260+(E260-D260)*(1+G260)*((2-1)/(MaxLevel-1))^(2^F260),0),D260+(E260-D260)*(1+G260)*((2-1)/(MaxLevel-1))^(2^F260)))</f>
        <v>302.22222222222223</v>
      </c>
      <c r="J260" s="12">
        <f>IF(OR(D260="",E260=""),"",IF(IFERROR(INDEX(Stats!$D:$D,MATCH($C260,Stats!$A:$A,0)),FALSE),ROUND(D260+(E260-D260)*(1+G260)*((3-1)/(MaxLevel-1))^(2^F260),0),D260+(E260-D260)*(1+G260)*((3-1)/(MaxLevel-1))^(2^F260)))</f>
        <v>304.44444444444446</v>
      </c>
      <c r="K260" s="12">
        <f>IF(OR(D260="",E260=""),"",IF(IFERROR(INDEX(Stats!$D:$D,MATCH($C260,Stats!$A:$A,0)),FALSE),ROUND(D260+(E260-D260)*(1+G260)*((4-1)/(MaxLevel-1))^(2^F260),0),D260+(E260-D260)*(1+G260)*((4-1)/(MaxLevel-1))^(2^F260)))</f>
        <v>306.66666666666669</v>
      </c>
      <c r="L260" s="12">
        <f>IF(OR(D260="",E260=""),"",IF(IFERROR(INDEX(Stats!$D:$D,MATCH($C260,Stats!$A:$A,0)),FALSE),ROUND(D260+(E260-D260)*(1+G260)*((5-1)/(MaxLevel-1))^(2^F260),0),D260+(E260-D260)*(1+G260)*((5-1)/(MaxLevel-1))^(2^F260)))</f>
        <v>308.88888888888891</v>
      </c>
      <c r="M260" s="12">
        <f>IF(OR(D260="",E260=""),"",IF(IFERROR(INDEX(Stats!$D:$D,MATCH($C260,Stats!$A:$A,0)),FALSE),ROUND(D260+(E260-D260)*(1+G260)*((6-1)/(MaxLevel-1))^(2^F260),0),D260+(E260-D260)*(1+G260)*((6-1)/(MaxLevel-1))^(2^F260)))</f>
        <v>311.11111111111109</v>
      </c>
      <c r="N260" s="12">
        <f>IF(OR(D260="",E260=""),"",IF(IFERROR(INDEX(Stats!$D:$D,MATCH($C260,Stats!$A:$A,0)),FALSE),ROUND(D260+(E260-D260)*(1+G260)*((7-1)/(MaxLevel-1))^(2^F260),0),D260+(E260-D260)*(1+G260)*((7-1)/(MaxLevel-1))^(2^F260)))</f>
        <v>313.33333333333331</v>
      </c>
      <c r="O260" s="12">
        <f>IF(OR(D260="",E260=""),"",IF(IFERROR(INDEX(Stats!$D:$D,MATCH($C260,Stats!$A:$A,0)),FALSE),ROUND(D260+(E260-D260)*(1+G260)*((8-1)/(MaxLevel-1))^(2^F260),0),D260+(E260-D260)*(1+G260)*((8-1)/(MaxLevel-1))^(2^F260)))</f>
        <v>315.55555555555554</v>
      </c>
      <c r="P260" s="12">
        <f>IF(OR(D260="",E260=""),"",IF(IFERROR(INDEX(Stats!$D:$D,MATCH($C260,Stats!$A:$A,0)),FALSE),ROUND(D260+(E260-D260)*(1+G260)*((9-1)/(MaxLevel-1))^(2^F260),0),D260+(E260-D260)*(1+G260)*((9-1)/(MaxLevel-1))^(2^F260)))</f>
        <v>317.77777777777777</v>
      </c>
      <c r="Q260" s="12">
        <f>IF(OR(D260="",E260=""),"",IF(IFERROR(INDEX(Stats!$D:$D,MATCH($C260,Stats!$A:$A,0)),FALSE),ROUND(D260+(E260-D260)*(1+G260)*((10-1)/(MaxLevel-1))^(2^F260),0),D260+(E260-D260)*(1+G260)*((10-1)/(MaxLevel-1))^(2^F260)))</f>
        <v>320</v>
      </c>
    </row>
    <row r="261" spans="1:17" x14ac:dyDescent="0.25">
      <c r="A261" s="4" t="s">
        <v>185</v>
      </c>
      <c r="B261" s="19" t="s">
        <v>228</v>
      </c>
      <c r="C261" s="4" t="s">
        <v>48</v>
      </c>
      <c r="D261" s="5"/>
      <c r="E261" s="5"/>
      <c r="F261" s="5"/>
      <c r="G261" s="5"/>
      <c r="H261" s="12" t="str">
        <f>IF(OR(D261="",E261=""),"",IF(IFERROR(INDEX(Stats!$D:$D,MATCH($C261,Stats!$A:$A,0)),FALSE),ROUND(D261+(E261-D261)*(1+G261)*((1-1)/(MaxLevel-1))^(2^F261),0),D261+(E261-D261)*(1+G261)*((1-1)/(MaxLevel-1))^(2^F261)))</f>
        <v/>
      </c>
      <c r="I261" s="12" t="str">
        <f>IF(OR(D261="",E261=""),"",IF(IFERROR(INDEX(Stats!$D:$D,MATCH($C261,Stats!$A:$A,0)),FALSE),ROUND(D261+(E261-D261)*(1+G261)*((2-1)/(MaxLevel-1))^(2^F261),0),D261+(E261-D261)*(1+G261)*((2-1)/(MaxLevel-1))^(2^F261)))</f>
        <v/>
      </c>
      <c r="J261" s="12" t="str">
        <f>IF(OR(D261="",E261=""),"",IF(IFERROR(INDEX(Stats!$D:$D,MATCH($C261,Stats!$A:$A,0)),FALSE),ROUND(D261+(E261-D261)*(1+G261)*((3-1)/(MaxLevel-1))^(2^F261),0),D261+(E261-D261)*(1+G261)*((3-1)/(MaxLevel-1))^(2^F261)))</f>
        <v/>
      </c>
      <c r="K261" s="12" t="str">
        <f>IF(OR(D261="",E261=""),"",IF(IFERROR(INDEX(Stats!$D:$D,MATCH($C261,Stats!$A:$A,0)),FALSE),ROUND(D261+(E261-D261)*(1+G261)*((4-1)/(MaxLevel-1))^(2^F261),0),D261+(E261-D261)*(1+G261)*((4-1)/(MaxLevel-1))^(2^F261)))</f>
        <v/>
      </c>
      <c r="L261" s="12" t="str">
        <f>IF(OR(D261="",E261=""),"",IF(IFERROR(INDEX(Stats!$D:$D,MATCH($C261,Stats!$A:$A,0)),FALSE),ROUND(D261+(E261-D261)*(1+G261)*((5-1)/(MaxLevel-1))^(2^F261),0),D261+(E261-D261)*(1+G261)*((5-1)/(MaxLevel-1))^(2^F261)))</f>
        <v/>
      </c>
      <c r="M261" s="12" t="str">
        <f>IF(OR(D261="",E261=""),"",IF(IFERROR(INDEX(Stats!$D:$D,MATCH($C261,Stats!$A:$A,0)),FALSE),ROUND(D261+(E261-D261)*(1+G261)*((6-1)/(MaxLevel-1))^(2^F261),0),D261+(E261-D261)*(1+G261)*((6-1)/(MaxLevel-1))^(2^F261)))</f>
        <v/>
      </c>
      <c r="N261" s="12" t="str">
        <f>IF(OR(D261="",E261=""),"",IF(IFERROR(INDEX(Stats!$D:$D,MATCH($C261,Stats!$A:$A,0)),FALSE),ROUND(D261+(E261-D261)*(1+G261)*((7-1)/(MaxLevel-1))^(2^F261),0),D261+(E261-D261)*(1+G261)*((7-1)/(MaxLevel-1))^(2^F261)))</f>
        <v/>
      </c>
      <c r="O261" s="12" t="str">
        <f>IF(OR(D261="",E261=""),"",IF(IFERROR(INDEX(Stats!$D:$D,MATCH($C261,Stats!$A:$A,0)),FALSE),ROUND(D261+(E261-D261)*(1+G261)*((8-1)/(MaxLevel-1))^(2^F261),0),D261+(E261-D261)*(1+G261)*((8-1)/(MaxLevel-1))^(2^F261)))</f>
        <v/>
      </c>
      <c r="P261" s="12" t="str">
        <f>IF(OR(D261="",E261=""),"",IF(IFERROR(INDEX(Stats!$D:$D,MATCH($C261,Stats!$A:$A,0)),FALSE),ROUND(D261+(E261-D261)*(1+G261)*((9-1)/(MaxLevel-1))^(2^F261),0),D261+(E261-D261)*(1+G261)*((9-1)/(MaxLevel-1))^(2^F261)))</f>
        <v/>
      </c>
      <c r="Q261" s="12" t="str">
        <f>IF(OR(D261="",E261=""),"",IF(IFERROR(INDEX(Stats!$D:$D,MATCH($C261,Stats!$A:$A,0)),FALSE),ROUND(D261+(E261-D261)*(1+G261)*((10-1)/(MaxLevel-1))^(2^F261),0),D261+(E261-D261)*(1+G261)*((10-1)/(MaxLevel-1))^(2^F261)))</f>
        <v/>
      </c>
    </row>
    <row r="262" spans="1:17" x14ac:dyDescent="0.25">
      <c r="A262" s="4" t="s">
        <v>185</v>
      </c>
      <c r="B262" s="19" t="s">
        <v>228</v>
      </c>
      <c r="C262" s="4" t="s">
        <v>50</v>
      </c>
      <c r="D262" s="5"/>
      <c r="E262" s="5"/>
      <c r="F262" s="5"/>
      <c r="G262" s="5"/>
      <c r="H262" s="12" t="str">
        <f>IF(OR(D262="",E262=""),"",IF(IFERROR(INDEX(Stats!$D:$D,MATCH($C262,Stats!$A:$A,0)),FALSE),ROUND(D262+(E262-D262)*(1+G262)*((1-1)/(MaxLevel-1))^(2^F262),0),D262+(E262-D262)*(1+G262)*((1-1)/(MaxLevel-1))^(2^F262)))</f>
        <v/>
      </c>
      <c r="I262" s="12" t="str">
        <f>IF(OR(D262="",E262=""),"",IF(IFERROR(INDEX(Stats!$D:$D,MATCH($C262,Stats!$A:$A,0)),FALSE),ROUND(D262+(E262-D262)*(1+G262)*((2-1)/(MaxLevel-1))^(2^F262),0),D262+(E262-D262)*(1+G262)*((2-1)/(MaxLevel-1))^(2^F262)))</f>
        <v/>
      </c>
      <c r="J262" s="12" t="str">
        <f>IF(OR(D262="",E262=""),"",IF(IFERROR(INDEX(Stats!$D:$D,MATCH($C262,Stats!$A:$A,0)),FALSE),ROUND(D262+(E262-D262)*(1+G262)*((3-1)/(MaxLevel-1))^(2^F262),0),D262+(E262-D262)*(1+G262)*((3-1)/(MaxLevel-1))^(2^F262)))</f>
        <v/>
      </c>
      <c r="K262" s="12" t="str">
        <f>IF(OR(D262="",E262=""),"",IF(IFERROR(INDEX(Stats!$D:$D,MATCH($C262,Stats!$A:$A,0)),FALSE),ROUND(D262+(E262-D262)*(1+G262)*((4-1)/(MaxLevel-1))^(2^F262),0),D262+(E262-D262)*(1+G262)*((4-1)/(MaxLevel-1))^(2^F262)))</f>
        <v/>
      </c>
      <c r="L262" s="12" t="str">
        <f>IF(OR(D262="",E262=""),"",IF(IFERROR(INDEX(Stats!$D:$D,MATCH($C262,Stats!$A:$A,0)),FALSE),ROUND(D262+(E262-D262)*(1+G262)*((5-1)/(MaxLevel-1))^(2^F262),0),D262+(E262-D262)*(1+G262)*((5-1)/(MaxLevel-1))^(2^F262)))</f>
        <v/>
      </c>
      <c r="M262" s="12" t="str">
        <f>IF(OR(D262="",E262=""),"",IF(IFERROR(INDEX(Stats!$D:$D,MATCH($C262,Stats!$A:$A,0)),FALSE),ROUND(D262+(E262-D262)*(1+G262)*((6-1)/(MaxLevel-1))^(2^F262),0),D262+(E262-D262)*(1+G262)*((6-1)/(MaxLevel-1))^(2^F262)))</f>
        <v/>
      </c>
      <c r="N262" s="12" t="str">
        <f>IF(OR(D262="",E262=""),"",IF(IFERROR(INDEX(Stats!$D:$D,MATCH($C262,Stats!$A:$A,0)),FALSE),ROUND(D262+(E262-D262)*(1+G262)*((7-1)/(MaxLevel-1))^(2^F262),0),D262+(E262-D262)*(1+G262)*((7-1)/(MaxLevel-1))^(2^F262)))</f>
        <v/>
      </c>
      <c r="O262" s="12" t="str">
        <f>IF(OR(D262="",E262=""),"",IF(IFERROR(INDEX(Stats!$D:$D,MATCH($C262,Stats!$A:$A,0)),FALSE),ROUND(D262+(E262-D262)*(1+G262)*((8-1)/(MaxLevel-1))^(2^F262),0),D262+(E262-D262)*(1+G262)*((8-1)/(MaxLevel-1))^(2^F262)))</f>
        <v/>
      </c>
      <c r="P262" s="12" t="str">
        <f>IF(OR(D262="",E262=""),"",IF(IFERROR(INDEX(Stats!$D:$D,MATCH($C262,Stats!$A:$A,0)),FALSE),ROUND(D262+(E262-D262)*(1+G262)*((9-1)/(MaxLevel-1))^(2^F262),0),D262+(E262-D262)*(1+G262)*((9-1)/(MaxLevel-1))^(2^F262)))</f>
        <v/>
      </c>
      <c r="Q262" s="12" t="str">
        <f>IF(OR(D262="",E262=""),"",IF(IFERROR(INDEX(Stats!$D:$D,MATCH($C262,Stats!$A:$A,0)),FALSE),ROUND(D262+(E262-D262)*(1+G262)*((10-1)/(MaxLevel-1))^(2^F262),0),D262+(E262-D262)*(1+G262)*((10-1)/(MaxLevel-1))^(2^F262)))</f>
        <v/>
      </c>
    </row>
    <row r="263" spans="1:17" x14ac:dyDescent="0.25">
      <c r="A263" s="4" t="s">
        <v>185</v>
      </c>
      <c r="B263" s="19" t="s">
        <v>228</v>
      </c>
      <c r="C263" s="4" t="s">
        <v>52</v>
      </c>
      <c r="D263" s="5"/>
      <c r="E263" s="5"/>
      <c r="F263" s="5"/>
      <c r="G263" s="5"/>
      <c r="H263" s="12" t="str">
        <f>IF(OR(D263="",E263=""),"",IF(IFERROR(INDEX(Stats!$D:$D,MATCH($C263,Stats!$A:$A,0)),FALSE),ROUND(D263+(E263-D263)*(1+G263)*((1-1)/(MaxLevel-1))^(2^F263),0),D263+(E263-D263)*(1+G263)*((1-1)/(MaxLevel-1))^(2^F263)))</f>
        <v/>
      </c>
      <c r="I263" s="12" t="str">
        <f>IF(OR(D263="",E263=""),"",IF(IFERROR(INDEX(Stats!$D:$D,MATCH($C263,Stats!$A:$A,0)),FALSE),ROUND(D263+(E263-D263)*(1+G263)*((2-1)/(MaxLevel-1))^(2^F263),0),D263+(E263-D263)*(1+G263)*((2-1)/(MaxLevel-1))^(2^F263)))</f>
        <v/>
      </c>
      <c r="J263" s="12" t="str">
        <f>IF(OR(D263="",E263=""),"",IF(IFERROR(INDEX(Stats!$D:$D,MATCH($C263,Stats!$A:$A,0)),FALSE),ROUND(D263+(E263-D263)*(1+G263)*((3-1)/(MaxLevel-1))^(2^F263),0),D263+(E263-D263)*(1+G263)*((3-1)/(MaxLevel-1))^(2^F263)))</f>
        <v/>
      </c>
      <c r="K263" s="12" t="str">
        <f>IF(OR(D263="",E263=""),"",IF(IFERROR(INDEX(Stats!$D:$D,MATCH($C263,Stats!$A:$A,0)),FALSE),ROUND(D263+(E263-D263)*(1+G263)*((4-1)/(MaxLevel-1))^(2^F263),0),D263+(E263-D263)*(1+G263)*((4-1)/(MaxLevel-1))^(2^F263)))</f>
        <v/>
      </c>
      <c r="L263" s="12" t="str">
        <f>IF(OR(D263="",E263=""),"",IF(IFERROR(INDEX(Stats!$D:$D,MATCH($C263,Stats!$A:$A,0)),FALSE),ROUND(D263+(E263-D263)*(1+G263)*((5-1)/(MaxLevel-1))^(2^F263),0),D263+(E263-D263)*(1+G263)*((5-1)/(MaxLevel-1))^(2^F263)))</f>
        <v/>
      </c>
      <c r="M263" s="12" t="str">
        <f>IF(OR(D263="",E263=""),"",IF(IFERROR(INDEX(Stats!$D:$D,MATCH($C263,Stats!$A:$A,0)),FALSE),ROUND(D263+(E263-D263)*(1+G263)*((6-1)/(MaxLevel-1))^(2^F263),0),D263+(E263-D263)*(1+G263)*((6-1)/(MaxLevel-1))^(2^F263)))</f>
        <v/>
      </c>
      <c r="N263" s="12" t="str">
        <f>IF(OR(D263="",E263=""),"",IF(IFERROR(INDEX(Stats!$D:$D,MATCH($C263,Stats!$A:$A,0)),FALSE),ROUND(D263+(E263-D263)*(1+G263)*((7-1)/(MaxLevel-1))^(2^F263),0),D263+(E263-D263)*(1+G263)*((7-1)/(MaxLevel-1))^(2^F263)))</f>
        <v/>
      </c>
      <c r="O263" s="12" t="str">
        <f>IF(OR(D263="",E263=""),"",IF(IFERROR(INDEX(Stats!$D:$D,MATCH($C263,Stats!$A:$A,0)),FALSE),ROUND(D263+(E263-D263)*(1+G263)*((8-1)/(MaxLevel-1))^(2^F263),0),D263+(E263-D263)*(1+G263)*((8-1)/(MaxLevel-1))^(2^F263)))</f>
        <v/>
      </c>
      <c r="P263" s="12" t="str">
        <f>IF(OR(D263="",E263=""),"",IF(IFERROR(INDEX(Stats!$D:$D,MATCH($C263,Stats!$A:$A,0)),FALSE),ROUND(D263+(E263-D263)*(1+G263)*((9-1)/(MaxLevel-1))^(2^F263),0),D263+(E263-D263)*(1+G263)*((9-1)/(MaxLevel-1))^(2^F263)))</f>
        <v/>
      </c>
      <c r="Q263" s="12" t="str">
        <f>IF(OR(D263="",E263=""),"",IF(IFERROR(INDEX(Stats!$D:$D,MATCH($C263,Stats!$A:$A,0)),FALSE),ROUND(D263+(E263-D263)*(1+G263)*((10-1)/(MaxLevel-1))^(2^F263),0),D263+(E263-D263)*(1+G263)*((10-1)/(MaxLevel-1))^(2^F263)))</f>
        <v/>
      </c>
    </row>
    <row r="264" spans="1:17" x14ac:dyDescent="0.25">
      <c r="A264" s="4" t="s">
        <v>185</v>
      </c>
      <c r="B264" s="19" t="s">
        <v>228</v>
      </c>
      <c r="C264" s="4" t="s">
        <v>54</v>
      </c>
      <c r="D264" s="5"/>
      <c r="E264" s="5"/>
      <c r="F264" s="5"/>
      <c r="G264" s="5"/>
      <c r="H264" s="12" t="str">
        <f>IF(OR(D264="",E264=""),"",IF(IFERROR(INDEX(Stats!$D:$D,MATCH($C264,Stats!$A:$A,0)),FALSE),ROUND(D264+(E264-D264)*(1+G264)*((1-1)/(MaxLevel-1))^(2^F264),0),D264+(E264-D264)*(1+G264)*((1-1)/(MaxLevel-1))^(2^F264)))</f>
        <v/>
      </c>
      <c r="I264" s="12" t="str">
        <f>IF(OR(D264="",E264=""),"",IF(IFERROR(INDEX(Stats!$D:$D,MATCH($C264,Stats!$A:$A,0)),FALSE),ROUND(D264+(E264-D264)*(1+G264)*((2-1)/(MaxLevel-1))^(2^F264),0),D264+(E264-D264)*(1+G264)*((2-1)/(MaxLevel-1))^(2^F264)))</f>
        <v/>
      </c>
      <c r="J264" s="12" t="str">
        <f>IF(OR(D264="",E264=""),"",IF(IFERROR(INDEX(Stats!$D:$D,MATCH($C264,Stats!$A:$A,0)),FALSE),ROUND(D264+(E264-D264)*(1+G264)*((3-1)/(MaxLevel-1))^(2^F264),0),D264+(E264-D264)*(1+G264)*((3-1)/(MaxLevel-1))^(2^F264)))</f>
        <v/>
      </c>
      <c r="K264" s="12" t="str">
        <f>IF(OR(D264="",E264=""),"",IF(IFERROR(INDEX(Stats!$D:$D,MATCH($C264,Stats!$A:$A,0)),FALSE),ROUND(D264+(E264-D264)*(1+G264)*((4-1)/(MaxLevel-1))^(2^F264),0),D264+(E264-D264)*(1+G264)*((4-1)/(MaxLevel-1))^(2^F264)))</f>
        <v/>
      </c>
      <c r="L264" s="12" t="str">
        <f>IF(OR(D264="",E264=""),"",IF(IFERROR(INDEX(Stats!$D:$D,MATCH($C264,Stats!$A:$A,0)),FALSE),ROUND(D264+(E264-D264)*(1+G264)*((5-1)/(MaxLevel-1))^(2^F264),0),D264+(E264-D264)*(1+G264)*((5-1)/(MaxLevel-1))^(2^F264)))</f>
        <v/>
      </c>
      <c r="M264" s="12" t="str">
        <f>IF(OR(D264="",E264=""),"",IF(IFERROR(INDEX(Stats!$D:$D,MATCH($C264,Stats!$A:$A,0)),FALSE),ROUND(D264+(E264-D264)*(1+G264)*((6-1)/(MaxLevel-1))^(2^F264),0),D264+(E264-D264)*(1+G264)*((6-1)/(MaxLevel-1))^(2^F264)))</f>
        <v/>
      </c>
      <c r="N264" s="12" t="str">
        <f>IF(OR(D264="",E264=""),"",IF(IFERROR(INDEX(Stats!$D:$D,MATCH($C264,Stats!$A:$A,0)),FALSE),ROUND(D264+(E264-D264)*(1+G264)*((7-1)/(MaxLevel-1))^(2^F264),0),D264+(E264-D264)*(1+G264)*((7-1)/(MaxLevel-1))^(2^F264)))</f>
        <v/>
      </c>
      <c r="O264" s="12" t="str">
        <f>IF(OR(D264="",E264=""),"",IF(IFERROR(INDEX(Stats!$D:$D,MATCH($C264,Stats!$A:$A,0)),FALSE),ROUND(D264+(E264-D264)*(1+G264)*((8-1)/(MaxLevel-1))^(2^F264),0),D264+(E264-D264)*(1+G264)*((8-1)/(MaxLevel-1))^(2^F264)))</f>
        <v/>
      </c>
      <c r="P264" s="12" t="str">
        <f>IF(OR(D264="",E264=""),"",IF(IFERROR(INDEX(Stats!$D:$D,MATCH($C264,Stats!$A:$A,0)),FALSE),ROUND(D264+(E264-D264)*(1+G264)*((9-1)/(MaxLevel-1))^(2^F264),0),D264+(E264-D264)*(1+G264)*((9-1)/(MaxLevel-1))^(2^F264)))</f>
        <v/>
      </c>
      <c r="Q264" s="12" t="str">
        <f>IF(OR(D264="",E264=""),"",IF(IFERROR(INDEX(Stats!$D:$D,MATCH($C264,Stats!$A:$A,0)),FALSE),ROUND(D264+(E264-D264)*(1+G264)*((10-1)/(MaxLevel-1))^(2^F264),0),D264+(E264-D264)*(1+G264)*((10-1)/(MaxLevel-1))^(2^F264)))</f>
        <v/>
      </c>
    </row>
    <row r="265" spans="1:17" x14ac:dyDescent="0.25">
      <c r="A265" s="4" t="s">
        <v>185</v>
      </c>
      <c r="B265" s="19" t="s">
        <v>228</v>
      </c>
      <c r="C265" s="4" t="s">
        <v>56</v>
      </c>
      <c r="D265" s="5"/>
      <c r="E265" s="5"/>
      <c r="F265" s="5"/>
      <c r="G265" s="5"/>
      <c r="H265" s="12" t="str">
        <f>IF(OR(D265="",E265=""),"",IF(IFERROR(INDEX(Stats!$D:$D,MATCH($C265,Stats!$A:$A,0)),FALSE),ROUND(D265+(E265-D265)*(1+G265)*((1-1)/(MaxLevel-1))^(2^F265),0),D265+(E265-D265)*(1+G265)*((1-1)/(MaxLevel-1))^(2^F265)))</f>
        <v/>
      </c>
      <c r="I265" s="12" t="str">
        <f>IF(OR(D265="",E265=""),"",IF(IFERROR(INDEX(Stats!$D:$D,MATCH($C265,Stats!$A:$A,0)),FALSE),ROUND(D265+(E265-D265)*(1+G265)*((2-1)/(MaxLevel-1))^(2^F265),0),D265+(E265-D265)*(1+G265)*((2-1)/(MaxLevel-1))^(2^F265)))</f>
        <v/>
      </c>
      <c r="J265" s="12" t="str">
        <f>IF(OR(D265="",E265=""),"",IF(IFERROR(INDEX(Stats!$D:$D,MATCH($C265,Stats!$A:$A,0)),FALSE),ROUND(D265+(E265-D265)*(1+G265)*((3-1)/(MaxLevel-1))^(2^F265),0),D265+(E265-D265)*(1+G265)*((3-1)/(MaxLevel-1))^(2^F265)))</f>
        <v/>
      </c>
      <c r="K265" s="12" t="str">
        <f>IF(OR(D265="",E265=""),"",IF(IFERROR(INDEX(Stats!$D:$D,MATCH($C265,Stats!$A:$A,0)),FALSE),ROUND(D265+(E265-D265)*(1+G265)*((4-1)/(MaxLevel-1))^(2^F265),0),D265+(E265-D265)*(1+G265)*((4-1)/(MaxLevel-1))^(2^F265)))</f>
        <v/>
      </c>
      <c r="L265" s="12" t="str">
        <f>IF(OR(D265="",E265=""),"",IF(IFERROR(INDEX(Stats!$D:$D,MATCH($C265,Stats!$A:$A,0)),FALSE),ROUND(D265+(E265-D265)*(1+G265)*((5-1)/(MaxLevel-1))^(2^F265),0),D265+(E265-D265)*(1+G265)*((5-1)/(MaxLevel-1))^(2^F265)))</f>
        <v/>
      </c>
      <c r="M265" s="12" t="str">
        <f>IF(OR(D265="",E265=""),"",IF(IFERROR(INDEX(Stats!$D:$D,MATCH($C265,Stats!$A:$A,0)),FALSE),ROUND(D265+(E265-D265)*(1+G265)*((6-1)/(MaxLevel-1))^(2^F265),0),D265+(E265-D265)*(1+G265)*((6-1)/(MaxLevel-1))^(2^F265)))</f>
        <v/>
      </c>
      <c r="N265" s="12" t="str">
        <f>IF(OR(D265="",E265=""),"",IF(IFERROR(INDEX(Stats!$D:$D,MATCH($C265,Stats!$A:$A,0)),FALSE),ROUND(D265+(E265-D265)*(1+G265)*((7-1)/(MaxLevel-1))^(2^F265),0),D265+(E265-D265)*(1+G265)*((7-1)/(MaxLevel-1))^(2^F265)))</f>
        <v/>
      </c>
      <c r="O265" s="12" t="str">
        <f>IF(OR(D265="",E265=""),"",IF(IFERROR(INDEX(Stats!$D:$D,MATCH($C265,Stats!$A:$A,0)),FALSE),ROUND(D265+(E265-D265)*(1+G265)*((8-1)/(MaxLevel-1))^(2^F265),0),D265+(E265-D265)*(1+G265)*((8-1)/(MaxLevel-1))^(2^F265)))</f>
        <v/>
      </c>
      <c r="P265" s="12" t="str">
        <f>IF(OR(D265="",E265=""),"",IF(IFERROR(INDEX(Stats!$D:$D,MATCH($C265,Stats!$A:$A,0)),FALSE),ROUND(D265+(E265-D265)*(1+G265)*((9-1)/(MaxLevel-1))^(2^F265),0),D265+(E265-D265)*(1+G265)*((9-1)/(MaxLevel-1))^(2^F265)))</f>
        <v/>
      </c>
      <c r="Q265" s="12" t="str">
        <f>IF(OR(D265="",E265=""),"",IF(IFERROR(INDEX(Stats!$D:$D,MATCH($C265,Stats!$A:$A,0)),FALSE),ROUND(D265+(E265-D265)*(1+G265)*((10-1)/(MaxLevel-1))^(2^F265),0),D265+(E265-D265)*(1+G265)*((10-1)/(MaxLevel-1))^(2^F265)))</f>
        <v/>
      </c>
    </row>
    <row r="266" spans="1:17" x14ac:dyDescent="0.25">
      <c r="A266" s="4" t="s">
        <v>185</v>
      </c>
      <c r="B266" s="19" t="s">
        <v>228</v>
      </c>
      <c r="C266" s="4" t="s">
        <v>58</v>
      </c>
      <c r="D266" s="5"/>
      <c r="E266" s="5"/>
      <c r="F266" s="5"/>
      <c r="G266" s="5"/>
      <c r="H266" s="12" t="str">
        <f>IF(OR(D266="",E266=""),"",IF(IFERROR(INDEX(Stats!$D:$D,MATCH($C266,Stats!$A:$A,0)),FALSE),ROUND(D266+(E266-D266)*(1+G266)*((1-1)/(MaxLevel-1))^(2^F266),0),D266+(E266-D266)*(1+G266)*((1-1)/(MaxLevel-1))^(2^F266)))</f>
        <v/>
      </c>
      <c r="I266" s="12" t="str">
        <f>IF(OR(D266="",E266=""),"",IF(IFERROR(INDEX(Stats!$D:$D,MATCH($C266,Stats!$A:$A,0)),FALSE),ROUND(D266+(E266-D266)*(1+G266)*((2-1)/(MaxLevel-1))^(2^F266),0),D266+(E266-D266)*(1+G266)*((2-1)/(MaxLevel-1))^(2^F266)))</f>
        <v/>
      </c>
      <c r="J266" s="12" t="str">
        <f>IF(OR(D266="",E266=""),"",IF(IFERROR(INDEX(Stats!$D:$D,MATCH($C266,Stats!$A:$A,0)),FALSE),ROUND(D266+(E266-D266)*(1+G266)*((3-1)/(MaxLevel-1))^(2^F266),0),D266+(E266-D266)*(1+G266)*((3-1)/(MaxLevel-1))^(2^F266)))</f>
        <v/>
      </c>
      <c r="K266" s="12" t="str">
        <f>IF(OR(D266="",E266=""),"",IF(IFERROR(INDEX(Stats!$D:$D,MATCH($C266,Stats!$A:$A,0)),FALSE),ROUND(D266+(E266-D266)*(1+G266)*((4-1)/(MaxLevel-1))^(2^F266),0),D266+(E266-D266)*(1+G266)*((4-1)/(MaxLevel-1))^(2^F266)))</f>
        <v/>
      </c>
      <c r="L266" s="12" t="str">
        <f>IF(OR(D266="",E266=""),"",IF(IFERROR(INDEX(Stats!$D:$D,MATCH($C266,Stats!$A:$A,0)),FALSE),ROUND(D266+(E266-D266)*(1+G266)*((5-1)/(MaxLevel-1))^(2^F266),0),D266+(E266-D266)*(1+G266)*((5-1)/(MaxLevel-1))^(2^F266)))</f>
        <v/>
      </c>
      <c r="M266" s="12" t="str">
        <f>IF(OR(D266="",E266=""),"",IF(IFERROR(INDEX(Stats!$D:$D,MATCH($C266,Stats!$A:$A,0)),FALSE),ROUND(D266+(E266-D266)*(1+G266)*((6-1)/(MaxLevel-1))^(2^F266),0),D266+(E266-D266)*(1+G266)*((6-1)/(MaxLevel-1))^(2^F266)))</f>
        <v/>
      </c>
      <c r="N266" s="12" t="str">
        <f>IF(OR(D266="",E266=""),"",IF(IFERROR(INDEX(Stats!$D:$D,MATCH($C266,Stats!$A:$A,0)),FALSE),ROUND(D266+(E266-D266)*(1+G266)*((7-1)/(MaxLevel-1))^(2^F266),0),D266+(E266-D266)*(1+G266)*((7-1)/(MaxLevel-1))^(2^F266)))</f>
        <v/>
      </c>
      <c r="O266" s="12" t="str">
        <f>IF(OR(D266="",E266=""),"",IF(IFERROR(INDEX(Stats!$D:$D,MATCH($C266,Stats!$A:$A,0)),FALSE),ROUND(D266+(E266-D266)*(1+G266)*((8-1)/(MaxLevel-1))^(2^F266),0),D266+(E266-D266)*(1+G266)*((8-1)/(MaxLevel-1))^(2^F266)))</f>
        <v/>
      </c>
      <c r="P266" s="12" t="str">
        <f>IF(OR(D266="",E266=""),"",IF(IFERROR(INDEX(Stats!$D:$D,MATCH($C266,Stats!$A:$A,0)),FALSE),ROUND(D266+(E266-D266)*(1+G266)*((9-1)/(MaxLevel-1))^(2^F266),0),D266+(E266-D266)*(1+G266)*((9-1)/(MaxLevel-1))^(2^F266)))</f>
        <v/>
      </c>
      <c r="Q266" s="12" t="str">
        <f>IF(OR(D266="",E266=""),"",IF(IFERROR(INDEX(Stats!$D:$D,MATCH($C266,Stats!$A:$A,0)),FALSE),ROUND(D266+(E266-D266)*(1+G266)*((10-1)/(MaxLevel-1))^(2^F266),0),D266+(E266-D266)*(1+G266)*((10-1)/(MaxLevel-1))^(2^F266)))</f>
        <v/>
      </c>
    </row>
    <row r="267" spans="1:17" x14ac:dyDescent="0.25">
      <c r="A267" s="4" t="s">
        <v>185</v>
      </c>
      <c r="B267" s="19" t="s">
        <v>228</v>
      </c>
      <c r="C267" s="4" t="s">
        <v>60</v>
      </c>
      <c r="D267" s="5"/>
      <c r="E267" s="5"/>
      <c r="F267" s="5"/>
      <c r="G267" s="5"/>
      <c r="H267" s="12" t="str">
        <f>IF(OR(D267="",E267=""),"",IF(IFERROR(INDEX(Stats!$D:$D,MATCH($C267,Stats!$A:$A,0)),FALSE),ROUND(D267+(E267-D267)*(1+G267)*((1-1)/(MaxLevel-1))^(2^F267),0),D267+(E267-D267)*(1+G267)*((1-1)/(MaxLevel-1))^(2^F267)))</f>
        <v/>
      </c>
      <c r="I267" s="12" t="str">
        <f>IF(OR(D267="",E267=""),"",IF(IFERROR(INDEX(Stats!$D:$D,MATCH($C267,Stats!$A:$A,0)),FALSE),ROUND(D267+(E267-D267)*(1+G267)*((2-1)/(MaxLevel-1))^(2^F267),0),D267+(E267-D267)*(1+G267)*((2-1)/(MaxLevel-1))^(2^F267)))</f>
        <v/>
      </c>
      <c r="J267" s="12" t="str">
        <f>IF(OR(D267="",E267=""),"",IF(IFERROR(INDEX(Stats!$D:$D,MATCH($C267,Stats!$A:$A,0)),FALSE),ROUND(D267+(E267-D267)*(1+G267)*((3-1)/(MaxLevel-1))^(2^F267),0),D267+(E267-D267)*(1+G267)*((3-1)/(MaxLevel-1))^(2^F267)))</f>
        <v/>
      </c>
      <c r="K267" s="12" t="str">
        <f>IF(OR(D267="",E267=""),"",IF(IFERROR(INDEX(Stats!$D:$D,MATCH($C267,Stats!$A:$A,0)),FALSE),ROUND(D267+(E267-D267)*(1+G267)*((4-1)/(MaxLevel-1))^(2^F267),0),D267+(E267-D267)*(1+G267)*((4-1)/(MaxLevel-1))^(2^F267)))</f>
        <v/>
      </c>
      <c r="L267" s="12" t="str">
        <f>IF(OR(D267="",E267=""),"",IF(IFERROR(INDEX(Stats!$D:$D,MATCH($C267,Stats!$A:$A,0)),FALSE),ROUND(D267+(E267-D267)*(1+G267)*((5-1)/(MaxLevel-1))^(2^F267),0),D267+(E267-D267)*(1+G267)*((5-1)/(MaxLevel-1))^(2^F267)))</f>
        <v/>
      </c>
      <c r="M267" s="12" t="str">
        <f>IF(OR(D267="",E267=""),"",IF(IFERROR(INDEX(Stats!$D:$D,MATCH($C267,Stats!$A:$A,0)),FALSE),ROUND(D267+(E267-D267)*(1+G267)*((6-1)/(MaxLevel-1))^(2^F267),0),D267+(E267-D267)*(1+G267)*((6-1)/(MaxLevel-1))^(2^F267)))</f>
        <v/>
      </c>
      <c r="N267" s="12" t="str">
        <f>IF(OR(D267="",E267=""),"",IF(IFERROR(INDEX(Stats!$D:$D,MATCH($C267,Stats!$A:$A,0)),FALSE),ROUND(D267+(E267-D267)*(1+G267)*((7-1)/(MaxLevel-1))^(2^F267),0),D267+(E267-D267)*(1+G267)*((7-1)/(MaxLevel-1))^(2^F267)))</f>
        <v/>
      </c>
      <c r="O267" s="12" t="str">
        <f>IF(OR(D267="",E267=""),"",IF(IFERROR(INDEX(Stats!$D:$D,MATCH($C267,Stats!$A:$A,0)),FALSE),ROUND(D267+(E267-D267)*(1+G267)*((8-1)/(MaxLevel-1))^(2^F267),0),D267+(E267-D267)*(1+G267)*((8-1)/(MaxLevel-1))^(2^F267)))</f>
        <v/>
      </c>
      <c r="P267" s="12" t="str">
        <f>IF(OR(D267="",E267=""),"",IF(IFERROR(INDEX(Stats!$D:$D,MATCH($C267,Stats!$A:$A,0)),FALSE),ROUND(D267+(E267-D267)*(1+G267)*((9-1)/(MaxLevel-1))^(2^F267),0),D267+(E267-D267)*(1+G267)*((9-1)/(MaxLevel-1))^(2^F267)))</f>
        <v/>
      </c>
      <c r="Q267" s="12" t="str">
        <f>IF(OR(D267="",E267=""),"",IF(IFERROR(INDEX(Stats!$D:$D,MATCH($C267,Stats!$A:$A,0)),FALSE),ROUND(D267+(E267-D267)*(1+G267)*((10-1)/(MaxLevel-1))^(2^F267),0),D267+(E267-D267)*(1+G267)*((10-1)/(MaxLevel-1))^(2^F267)))</f>
        <v/>
      </c>
    </row>
    <row r="268" spans="1:17" x14ac:dyDescent="0.25">
      <c r="A268" s="4" t="s">
        <v>185</v>
      </c>
      <c r="B268" s="19" t="s">
        <v>229</v>
      </c>
      <c r="C268" s="4" t="s">
        <v>24</v>
      </c>
      <c r="D268" s="5">
        <v>0</v>
      </c>
      <c r="E268" s="5">
        <v>10000</v>
      </c>
      <c r="F268" s="5">
        <v>1</v>
      </c>
      <c r="G268" s="5">
        <v>0</v>
      </c>
      <c r="H268" s="12">
        <f>IF(OR(D268="",E268=""),"",IF(IFERROR(INDEX(Stats!$D:$D,MATCH($C268,Stats!$A:$A,0)),FALSE),ROUND(D268+(E268-D268)*(1+G268)*((1-1)/(MaxLevel-1))^(2^F268),0),D268+(E268-D268)*(1+G268)*((1-1)/(MaxLevel-1))^(2^F268)))</f>
        <v>0</v>
      </c>
      <c r="I268" s="12">
        <f>IF(OR(D268="",E268=""),"",IF(IFERROR(INDEX(Stats!$D:$D,MATCH($C268,Stats!$A:$A,0)),FALSE),ROUND(D268+(E268-D268)*(1+G268)*((2-1)/(MaxLevel-1))^(2^F268),0),D268+(E268-D268)*(1+G268)*((2-1)/(MaxLevel-1))^(2^F268)))</f>
        <v>123</v>
      </c>
      <c r="J268" s="12">
        <f>IF(OR(D268="",E268=""),"",IF(IFERROR(INDEX(Stats!$D:$D,MATCH($C268,Stats!$A:$A,0)),FALSE),ROUND(D268+(E268-D268)*(1+G268)*((3-1)/(MaxLevel-1))^(2^F268),0),D268+(E268-D268)*(1+G268)*((3-1)/(MaxLevel-1))^(2^F268)))</f>
        <v>494</v>
      </c>
      <c r="K268" s="12">
        <f>IF(OR(D268="",E268=""),"",IF(IFERROR(INDEX(Stats!$D:$D,MATCH($C268,Stats!$A:$A,0)),FALSE),ROUND(D268+(E268-D268)*(1+G268)*((4-1)/(MaxLevel-1))^(2^F268),0),D268+(E268-D268)*(1+G268)*((4-1)/(MaxLevel-1))^(2^F268)))</f>
        <v>1111</v>
      </c>
      <c r="L268" s="12">
        <f>IF(OR(D268="",E268=""),"",IF(IFERROR(INDEX(Stats!$D:$D,MATCH($C268,Stats!$A:$A,0)),FALSE),ROUND(D268+(E268-D268)*(1+G268)*((5-1)/(MaxLevel-1))^(2^F268),0),D268+(E268-D268)*(1+G268)*((5-1)/(MaxLevel-1))^(2^F268)))</f>
        <v>1975</v>
      </c>
      <c r="M268" s="12">
        <f>IF(OR(D268="",E268=""),"",IF(IFERROR(INDEX(Stats!$D:$D,MATCH($C268,Stats!$A:$A,0)),FALSE),ROUND(D268+(E268-D268)*(1+G268)*((6-1)/(MaxLevel-1))^(2^F268),0),D268+(E268-D268)*(1+G268)*((6-1)/(MaxLevel-1))^(2^F268)))</f>
        <v>3086</v>
      </c>
      <c r="N268" s="12">
        <f>IF(OR(D268="",E268=""),"",IF(IFERROR(INDEX(Stats!$D:$D,MATCH($C268,Stats!$A:$A,0)),FALSE),ROUND(D268+(E268-D268)*(1+G268)*((7-1)/(MaxLevel-1))^(2^F268),0),D268+(E268-D268)*(1+G268)*((7-1)/(MaxLevel-1))^(2^F268)))</f>
        <v>4444</v>
      </c>
      <c r="O268" s="12">
        <f>IF(OR(D268="",E268=""),"",IF(IFERROR(INDEX(Stats!$D:$D,MATCH($C268,Stats!$A:$A,0)),FALSE),ROUND(D268+(E268-D268)*(1+G268)*((8-1)/(MaxLevel-1))^(2^F268),0),D268+(E268-D268)*(1+G268)*((8-1)/(MaxLevel-1))^(2^F268)))</f>
        <v>6049</v>
      </c>
      <c r="P268" s="12">
        <f>IF(OR(D268="",E268=""),"",IF(IFERROR(INDEX(Stats!$D:$D,MATCH($C268,Stats!$A:$A,0)),FALSE),ROUND(D268+(E268-D268)*(1+G268)*((9-1)/(MaxLevel-1))^(2^F268),0),D268+(E268-D268)*(1+G268)*((9-1)/(MaxLevel-1))^(2^F268)))</f>
        <v>7901</v>
      </c>
      <c r="Q268" s="12">
        <f>IF(OR(D268="",E268=""),"",IF(IFERROR(INDEX(Stats!$D:$D,MATCH($C268,Stats!$A:$A,0)),FALSE),ROUND(D268+(E268-D268)*(1+G268)*((10-1)/(MaxLevel-1))^(2^F268),0),D268+(E268-D268)*(1+G268)*((10-1)/(MaxLevel-1))^(2^F268)))</f>
        <v>10000</v>
      </c>
    </row>
    <row r="269" spans="1:17" x14ac:dyDescent="0.25">
      <c r="A269" s="4" t="s">
        <v>185</v>
      </c>
      <c r="B269" s="19" t="s">
        <v>229</v>
      </c>
      <c r="C269" s="4" t="s">
        <v>26</v>
      </c>
      <c r="D269" s="5">
        <v>25</v>
      </c>
      <c r="E269" s="5">
        <v>150</v>
      </c>
      <c r="F269" s="5">
        <v>0</v>
      </c>
      <c r="G269" s="5">
        <v>0</v>
      </c>
      <c r="H269" s="12">
        <f>IF(OR(D269="",E269=""),"",IF(IFERROR(INDEX(Stats!$D:$D,MATCH($C269,Stats!$A:$A,0)),FALSE),ROUND(D269+(E269-D269)*(1+G269)*((1-1)/(MaxLevel-1))^(2^F269),0),D269+(E269-D269)*(1+G269)*((1-1)/(MaxLevel-1))^(2^F269)))</f>
        <v>25</v>
      </c>
      <c r="I269" s="12">
        <f>IF(OR(D269="",E269=""),"",IF(IFERROR(INDEX(Stats!$D:$D,MATCH($C269,Stats!$A:$A,0)),FALSE),ROUND(D269+(E269-D269)*(1+G269)*((2-1)/(MaxLevel-1))^(2^F269),0),D269+(E269-D269)*(1+G269)*((2-1)/(MaxLevel-1))^(2^F269)))</f>
        <v>39</v>
      </c>
      <c r="J269" s="12">
        <f>IF(OR(D269="",E269=""),"",IF(IFERROR(INDEX(Stats!$D:$D,MATCH($C269,Stats!$A:$A,0)),FALSE),ROUND(D269+(E269-D269)*(1+G269)*((3-1)/(MaxLevel-1))^(2^F269),0),D269+(E269-D269)*(1+G269)*((3-1)/(MaxLevel-1))^(2^F269)))</f>
        <v>53</v>
      </c>
      <c r="K269" s="12">
        <f>IF(OR(D269="",E269=""),"",IF(IFERROR(INDEX(Stats!$D:$D,MATCH($C269,Stats!$A:$A,0)),FALSE),ROUND(D269+(E269-D269)*(1+G269)*((4-1)/(MaxLevel-1))^(2^F269),0),D269+(E269-D269)*(1+G269)*((4-1)/(MaxLevel-1))^(2^F269)))</f>
        <v>67</v>
      </c>
      <c r="L269" s="12">
        <f>IF(OR(D269="",E269=""),"",IF(IFERROR(INDEX(Stats!$D:$D,MATCH($C269,Stats!$A:$A,0)),FALSE),ROUND(D269+(E269-D269)*(1+G269)*((5-1)/(MaxLevel-1))^(2^F269),0),D269+(E269-D269)*(1+G269)*((5-1)/(MaxLevel-1))^(2^F269)))</f>
        <v>81</v>
      </c>
      <c r="M269" s="12">
        <f>IF(OR(D269="",E269=""),"",IF(IFERROR(INDEX(Stats!$D:$D,MATCH($C269,Stats!$A:$A,0)),FALSE),ROUND(D269+(E269-D269)*(1+G269)*((6-1)/(MaxLevel-1))^(2^F269),0),D269+(E269-D269)*(1+G269)*((6-1)/(MaxLevel-1))^(2^F269)))</f>
        <v>94</v>
      </c>
      <c r="N269" s="12">
        <f>IF(OR(D269="",E269=""),"",IF(IFERROR(INDEX(Stats!$D:$D,MATCH($C269,Stats!$A:$A,0)),FALSE),ROUND(D269+(E269-D269)*(1+G269)*((7-1)/(MaxLevel-1))^(2^F269),0),D269+(E269-D269)*(1+G269)*((7-1)/(MaxLevel-1))^(2^F269)))</f>
        <v>108</v>
      </c>
      <c r="O269" s="12">
        <f>IF(OR(D269="",E269=""),"",IF(IFERROR(INDEX(Stats!$D:$D,MATCH($C269,Stats!$A:$A,0)),FALSE),ROUND(D269+(E269-D269)*(1+G269)*((8-1)/(MaxLevel-1))^(2^F269),0),D269+(E269-D269)*(1+G269)*((8-1)/(MaxLevel-1))^(2^F269)))</f>
        <v>122</v>
      </c>
      <c r="P269" s="12">
        <f>IF(OR(D269="",E269=""),"",IF(IFERROR(INDEX(Stats!$D:$D,MATCH($C269,Stats!$A:$A,0)),FALSE),ROUND(D269+(E269-D269)*(1+G269)*((9-1)/(MaxLevel-1))^(2^F269),0),D269+(E269-D269)*(1+G269)*((9-1)/(MaxLevel-1))^(2^F269)))</f>
        <v>136</v>
      </c>
      <c r="Q269" s="12">
        <f>IF(OR(D269="",E269=""),"",IF(IFERROR(INDEX(Stats!$D:$D,MATCH($C269,Stats!$A:$A,0)),FALSE),ROUND(D269+(E269-D269)*(1+G269)*((10-1)/(MaxLevel-1))^(2^F269),0),D269+(E269-D269)*(1+G269)*((10-1)/(MaxLevel-1))^(2^F269)))</f>
        <v>150</v>
      </c>
    </row>
    <row r="270" spans="1:17" x14ac:dyDescent="0.25">
      <c r="A270" s="4" t="s">
        <v>185</v>
      </c>
      <c r="B270" s="19" t="s">
        <v>229</v>
      </c>
      <c r="C270" s="4" t="s">
        <v>28</v>
      </c>
      <c r="D270" s="5">
        <v>300</v>
      </c>
      <c r="E270" s="5">
        <v>1200</v>
      </c>
      <c r="F270" s="5">
        <v>0</v>
      </c>
      <c r="G270" s="5">
        <v>-0.1</v>
      </c>
      <c r="H270" s="12">
        <f>IF(OR(D270="",E270=""),"",IF(IFERROR(INDEX(Stats!$D:$D,MATCH($C270,Stats!$A:$A,0)),FALSE),ROUND(D270+(E270-D270)*(1+G270)*((1-1)/(MaxLevel-1))^(2^F270),0),D270+(E270-D270)*(1+G270)*((1-1)/(MaxLevel-1))^(2^F270)))</f>
        <v>300</v>
      </c>
      <c r="I270" s="12">
        <f>IF(OR(D270="",E270=""),"",IF(IFERROR(INDEX(Stats!$D:$D,MATCH($C270,Stats!$A:$A,0)),FALSE),ROUND(D270+(E270-D270)*(1+G270)*((2-1)/(MaxLevel-1))^(2^F270),0),D270+(E270-D270)*(1+G270)*((2-1)/(MaxLevel-1))^(2^F270)))</f>
        <v>390</v>
      </c>
      <c r="J270" s="12">
        <f>IF(OR(D270="",E270=""),"",IF(IFERROR(INDEX(Stats!$D:$D,MATCH($C270,Stats!$A:$A,0)),FALSE),ROUND(D270+(E270-D270)*(1+G270)*((3-1)/(MaxLevel-1))^(2^F270),0),D270+(E270-D270)*(1+G270)*((3-1)/(MaxLevel-1))^(2^F270)))</f>
        <v>480</v>
      </c>
      <c r="K270" s="12">
        <f>IF(OR(D270="",E270=""),"",IF(IFERROR(INDEX(Stats!$D:$D,MATCH($C270,Stats!$A:$A,0)),FALSE),ROUND(D270+(E270-D270)*(1+G270)*((4-1)/(MaxLevel-1))^(2^F270),0),D270+(E270-D270)*(1+G270)*((4-1)/(MaxLevel-1))^(2^F270)))</f>
        <v>570</v>
      </c>
      <c r="L270" s="12">
        <f>IF(OR(D270="",E270=""),"",IF(IFERROR(INDEX(Stats!$D:$D,MATCH($C270,Stats!$A:$A,0)),FALSE),ROUND(D270+(E270-D270)*(1+G270)*((5-1)/(MaxLevel-1))^(2^F270),0),D270+(E270-D270)*(1+G270)*((5-1)/(MaxLevel-1))^(2^F270)))</f>
        <v>660</v>
      </c>
      <c r="M270" s="12">
        <f>IF(OR(D270="",E270=""),"",IF(IFERROR(INDEX(Stats!$D:$D,MATCH($C270,Stats!$A:$A,0)),FALSE),ROUND(D270+(E270-D270)*(1+G270)*((6-1)/(MaxLevel-1))^(2^F270),0),D270+(E270-D270)*(1+G270)*((6-1)/(MaxLevel-1))^(2^F270)))</f>
        <v>750</v>
      </c>
      <c r="N270" s="12">
        <f>IF(OR(D270="",E270=""),"",IF(IFERROR(INDEX(Stats!$D:$D,MATCH($C270,Stats!$A:$A,0)),FALSE),ROUND(D270+(E270-D270)*(1+G270)*((7-1)/(MaxLevel-1))^(2^F270),0),D270+(E270-D270)*(1+G270)*((7-1)/(MaxLevel-1))^(2^F270)))</f>
        <v>840</v>
      </c>
      <c r="O270" s="12">
        <f>IF(OR(D270="",E270=""),"",IF(IFERROR(INDEX(Stats!$D:$D,MATCH($C270,Stats!$A:$A,0)),FALSE),ROUND(D270+(E270-D270)*(1+G270)*((8-1)/(MaxLevel-1))^(2^F270),0),D270+(E270-D270)*(1+G270)*((8-1)/(MaxLevel-1))^(2^F270)))</f>
        <v>930</v>
      </c>
      <c r="P270" s="12">
        <f>IF(OR(D270="",E270=""),"",IF(IFERROR(INDEX(Stats!$D:$D,MATCH($C270,Stats!$A:$A,0)),FALSE),ROUND(D270+(E270-D270)*(1+G270)*((9-1)/(MaxLevel-1))^(2^F270),0),D270+(E270-D270)*(1+G270)*((9-1)/(MaxLevel-1))^(2^F270)))</f>
        <v>1020</v>
      </c>
      <c r="Q270" s="12">
        <f>IF(OR(D270="",E270=""),"",IF(IFERROR(INDEX(Stats!$D:$D,MATCH($C270,Stats!$A:$A,0)),FALSE),ROUND(D270+(E270-D270)*(1+G270)*((10-1)/(MaxLevel-1))^(2^F270),0),D270+(E270-D270)*(1+G270)*((10-1)/(MaxLevel-1))^(2^F270)))</f>
        <v>1110</v>
      </c>
    </row>
    <row r="271" spans="1:17" x14ac:dyDescent="0.25">
      <c r="A271" s="4" t="s">
        <v>185</v>
      </c>
      <c r="B271" s="19" t="s">
        <v>229</v>
      </c>
      <c r="C271" s="4" t="s">
        <v>30</v>
      </c>
      <c r="D271" s="5">
        <v>25</v>
      </c>
      <c r="E271" s="5">
        <v>110</v>
      </c>
      <c r="F271" s="5">
        <v>0.5</v>
      </c>
      <c r="G271" s="5">
        <v>0</v>
      </c>
      <c r="H271" s="12">
        <f>IF(OR(D271="",E271=""),"",IF(IFERROR(INDEX(Stats!$D:$D,MATCH($C271,Stats!$A:$A,0)),FALSE),ROUND(D271+(E271-D271)*(1+G271)*((1-1)/(MaxLevel-1))^(2^F271),0),D271+(E271-D271)*(1+G271)*((1-1)/(MaxLevel-1))^(2^F271)))</f>
        <v>25</v>
      </c>
      <c r="I271" s="12">
        <f>IF(OR(D271="",E271=""),"",IF(IFERROR(INDEX(Stats!$D:$D,MATCH($C271,Stats!$A:$A,0)),FALSE),ROUND(D271+(E271-D271)*(1+G271)*((2-1)/(MaxLevel-1))^(2^F271),0),D271+(E271-D271)*(1+G271)*((2-1)/(MaxLevel-1))^(2^F271)))</f>
        <v>29</v>
      </c>
      <c r="J271" s="12">
        <f>IF(OR(D271="",E271=""),"",IF(IFERROR(INDEX(Stats!$D:$D,MATCH($C271,Stats!$A:$A,0)),FALSE),ROUND(D271+(E271-D271)*(1+G271)*((3-1)/(MaxLevel-1))^(2^F271),0),D271+(E271-D271)*(1+G271)*((3-1)/(MaxLevel-1))^(2^F271)))</f>
        <v>35</v>
      </c>
      <c r="K271" s="12">
        <f>IF(OR(D271="",E271=""),"",IF(IFERROR(INDEX(Stats!$D:$D,MATCH($C271,Stats!$A:$A,0)),FALSE),ROUND(D271+(E271-D271)*(1+G271)*((4-1)/(MaxLevel-1))^(2^F271),0),D271+(E271-D271)*(1+G271)*((4-1)/(MaxLevel-1))^(2^F271)))</f>
        <v>43</v>
      </c>
      <c r="L271" s="12">
        <f>IF(OR(D271="",E271=""),"",IF(IFERROR(INDEX(Stats!$D:$D,MATCH($C271,Stats!$A:$A,0)),FALSE),ROUND(D271+(E271-D271)*(1+G271)*((5-1)/(MaxLevel-1))^(2^F271),0),D271+(E271-D271)*(1+G271)*((5-1)/(MaxLevel-1))^(2^F271)))</f>
        <v>52</v>
      </c>
      <c r="M271" s="12">
        <f>IF(OR(D271="",E271=""),"",IF(IFERROR(INDEX(Stats!$D:$D,MATCH($C271,Stats!$A:$A,0)),FALSE),ROUND(D271+(E271-D271)*(1+G271)*((6-1)/(MaxLevel-1))^(2^F271),0),D271+(E271-D271)*(1+G271)*((6-1)/(MaxLevel-1))^(2^F271)))</f>
        <v>62</v>
      </c>
      <c r="N271" s="12">
        <f>IF(OR(D271="",E271=""),"",IF(IFERROR(INDEX(Stats!$D:$D,MATCH($C271,Stats!$A:$A,0)),FALSE),ROUND(D271+(E271-D271)*(1+G271)*((7-1)/(MaxLevel-1))^(2^F271),0),D271+(E271-D271)*(1+G271)*((7-1)/(MaxLevel-1))^(2^F271)))</f>
        <v>73</v>
      </c>
      <c r="O271" s="12">
        <f>IF(OR(D271="",E271=""),"",IF(IFERROR(INDEX(Stats!$D:$D,MATCH($C271,Stats!$A:$A,0)),FALSE),ROUND(D271+(E271-D271)*(1+G271)*((8-1)/(MaxLevel-1))^(2^F271),0),D271+(E271-D271)*(1+G271)*((8-1)/(MaxLevel-1))^(2^F271)))</f>
        <v>85</v>
      </c>
      <c r="P271" s="12">
        <f>IF(OR(D271="",E271=""),"",IF(IFERROR(INDEX(Stats!$D:$D,MATCH($C271,Stats!$A:$A,0)),FALSE),ROUND(D271+(E271-D271)*(1+G271)*((9-1)/(MaxLevel-1))^(2^F271),0),D271+(E271-D271)*(1+G271)*((9-1)/(MaxLevel-1))^(2^F271)))</f>
        <v>97</v>
      </c>
      <c r="Q271" s="12">
        <f>IF(OR(D271="",E271=""),"",IF(IFERROR(INDEX(Stats!$D:$D,MATCH($C271,Stats!$A:$A,0)),FALSE),ROUND(D271+(E271-D271)*(1+G271)*((10-1)/(MaxLevel-1))^(2^F271),0),D271+(E271-D271)*(1+G271)*((10-1)/(MaxLevel-1))^(2^F271)))</f>
        <v>110</v>
      </c>
    </row>
    <row r="272" spans="1:17" x14ac:dyDescent="0.25">
      <c r="A272" s="4" t="s">
        <v>185</v>
      </c>
      <c r="B272" s="19" t="s">
        <v>229</v>
      </c>
      <c r="C272" s="4" t="s">
        <v>32</v>
      </c>
      <c r="D272" s="5"/>
      <c r="E272" s="5"/>
      <c r="F272" s="5"/>
      <c r="G272" s="5"/>
      <c r="H272" s="12" t="str">
        <f>IF(OR(D272="",E272=""),"",IF(IFERROR(INDEX(Stats!$D:$D,MATCH($C272,Stats!$A:$A,0)),FALSE),ROUND(D272+(E272-D272)*(1+G272)*((1-1)/(MaxLevel-1))^(2^F272),0),D272+(E272-D272)*(1+G272)*((1-1)/(MaxLevel-1))^(2^F272)))</f>
        <v/>
      </c>
      <c r="I272" s="12" t="str">
        <f>IF(OR(D272="",E272=""),"",IF(IFERROR(INDEX(Stats!$D:$D,MATCH($C272,Stats!$A:$A,0)),FALSE),ROUND(D272+(E272-D272)*(1+G272)*((2-1)/(MaxLevel-1))^(2^F272),0),D272+(E272-D272)*(1+G272)*((2-1)/(MaxLevel-1))^(2^F272)))</f>
        <v/>
      </c>
      <c r="J272" s="12" t="str">
        <f>IF(OR(D272="",E272=""),"",IF(IFERROR(INDEX(Stats!$D:$D,MATCH($C272,Stats!$A:$A,0)),FALSE),ROUND(D272+(E272-D272)*(1+G272)*((3-1)/(MaxLevel-1))^(2^F272),0),D272+(E272-D272)*(1+G272)*((3-1)/(MaxLevel-1))^(2^F272)))</f>
        <v/>
      </c>
      <c r="K272" s="12" t="str">
        <f>IF(OR(D272="",E272=""),"",IF(IFERROR(INDEX(Stats!$D:$D,MATCH($C272,Stats!$A:$A,0)),FALSE),ROUND(D272+(E272-D272)*(1+G272)*((4-1)/(MaxLevel-1))^(2^F272),0),D272+(E272-D272)*(1+G272)*((4-1)/(MaxLevel-1))^(2^F272)))</f>
        <v/>
      </c>
      <c r="L272" s="12" t="str">
        <f>IF(OR(D272="",E272=""),"",IF(IFERROR(INDEX(Stats!$D:$D,MATCH($C272,Stats!$A:$A,0)),FALSE),ROUND(D272+(E272-D272)*(1+G272)*((5-1)/(MaxLevel-1))^(2^F272),0),D272+(E272-D272)*(1+G272)*((5-1)/(MaxLevel-1))^(2^F272)))</f>
        <v/>
      </c>
      <c r="M272" s="12" t="str">
        <f>IF(OR(D272="",E272=""),"",IF(IFERROR(INDEX(Stats!$D:$D,MATCH($C272,Stats!$A:$A,0)),FALSE),ROUND(D272+(E272-D272)*(1+G272)*((6-1)/(MaxLevel-1))^(2^F272),0),D272+(E272-D272)*(1+G272)*((6-1)/(MaxLevel-1))^(2^F272)))</f>
        <v/>
      </c>
      <c r="N272" s="12" t="str">
        <f>IF(OR(D272="",E272=""),"",IF(IFERROR(INDEX(Stats!$D:$D,MATCH($C272,Stats!$A:$A,0)),FALSE),ROUND(D272+(E272-D272)*(1+G272)*((7-1)/(MaxLevel-1))^(2^F272),0),D272+(E272-D272)*(1+G272)*((7-1)/(MaxLevel-1))^(2^F272)))</f>
        <v/>
      </c>
      <c r="O272" s="12" t="str">
        <f>IF(OR(D272="",E272=""),"",IF(IFERROR(INDEX(Stats!$D:$D,MATCH($C272,Stats!$A:$A,0)),FALSE),ROUND(D272+(E272-D272)*(1+G272)*((8-1)/(MaxLevel-1))^(2^F272),0),D272+(E272-D272)*(1+G272)*((8-1)/(MaxLevel-1))^(2^F272)))</f>
        <v/>
      </c>
      <c r="P272" s="12" t="str">
        <f>IF(OR(D272="",E272=""),"",IF(IFERROR(INDEX(Stats!$D:$D,MATCH($C272,Stats!$A:$A,0)),FALSE),ROUND(D272+(E272-D272)*(1+G272)*((9-1)/(MaxLevel-1))^(2^F272),0),D272+(E272-D272)*(1+G272)*((9-1)/(MaxLevel-1))^(2^F272)))</f>
        <v/>
      </c>
      <c r="Q272" s="12" t="str">
        <f>IF(OR(D272="",E272=""),"",IF(IFERROR(INDEX(Stats!$D:$D,MATCH($C272,Stats!$A:$A,0)),FALSE),ROUND(D272+(E272-D272)*(1+G272)*((10-1)/(MaxLevel-1))^(2^F272),0),D272+(E272-D272)*(1+G272)*((10-1)/(MaxLevel-1))^(2^F272)))</f>
        <v/>
      </c>
    </row>
    <row r="273" spans="1:17" x14ac:dyDescent="0.25">
      <c r="A273" s="4" t="s">
        <v>185</v>
      </c>
      <c r="B273" s="19" t="s">
        <v>229</v>
      </c>
      <c r="C273" s="4" t="s">
        <v>34</v>
      </c>
      <c r="D273" s="5"/>
      <c r="E273" s="5"/>
      <c r="F273" s="5"/>
      <c r="G273" s="5"/>
      <c r="H273" s="12" t="str">
        <f>IF(OR(D273="",E273=""),"",IF(IFERROR(INDEX(Stats!$D:$D,MATCH($C273,Stats!$A:$A,0)),FALSE),ROUND(D273+(E273-D273)*(1+G273)*((1-1)/(MaxLevel-1))^(2^F273),0),D273+(E273-D273)*(1+G273)*((1-1)/(MaxLevel-1))^(2^F273)))</f>
        <v/>
      </c>
      <c r="I273" s="12" t="str">
        <f>IF(OR(D273="",E273=""),"",IF(IFERROR(INDEX(Stats!$D:$D,MATCH($C273,Stats!$A:$A,0)),FALSE),ROUND(D273+(E273-D273)*(1+G273)*((2-1)/(MaxLevel-1))^(2^F273),0),D273+(E273-D273)*(1+G273)*((2-1)/(MaxLevel-1))^(2^F273)))</f>
        <v/>
      </c>
      <c r="J273" s="12" t="str">
        <f>IF(OR(D273="",E273=""),"",IF(IFERROR(INDEX(Stats!$D:$D,MATCH($C273,Stats!$A:$A,0)),FALSE),ROUND(D273+(E273-D273)*(1+G273)*((3-1)/(MaxLevel-1))^(2^F273),0),D273+(E273-D273)*(1+G273)*((3-1)/(MaxLevel-1))^(2^F273)))</f>
        <v/>
      </c>
      <c r="K273" s="12" t="str">
        <f>IF(OR(D273="",E273=""),"",IF(IFERROR(INDEX(Stats!$D:$D,MATCH($C273,Stats!$A:$A,0)),FALSE),ROUND(D273+(E273-D273)*(1+G273)*((4-1)/(MaxLevel-1))^(2^F273),0),D273+(E273-D273)*(1+G273)*((4-1)/(MaxLevel-1))^(2^F273)))</f>
        <v/>
      </c>
      <c r="L273" s="12" t="str">
        <f>IF(OR(D273="",E273=""),"",IF(IFERROR(INDEX(Stats!$D:$D,MATCH($C273,Stats!$A:$A,0)),FALSE),ROUND(D273+(E273-D273)*(1+G273)*((5-1)/(MaxLevel-1))^(2^F273),0),D273+(E273-D273)*(1+G273)*((5-1)/(MaxLevel-1))^(2^F273)))</f>
        <v/>
      </c>
      <c r="M273" s="12" t="str">
        <f>IF(OR(D273="",E273=""),"",IF(IFERROR(INDEX(Stats!$D:$D,MATCH($C273,Stats!$A:$A,0)),FALSE),ROUND(D273+(E273-D273)*(1+G273)*((6-1)/(MaxLevel-1))^(2^F273),0),D273+(E273-D273)*(1+G273)*((6-1)/(MaxLevel-1))^(2^F273)))</f>
        <v/>
      </c>
      <c r="N273" s="12" t="str">
        <f>IF(OR(D273="",E273=""),"",IF(IFERROR(INDEX(Stats!$D:$D,MATCH($C273,Stats!$A:$A,0)),FALSE),ROUND(D273+(E273-D273)*(1+G273)*((7-1)/(MaxLevel-1))^(2^F273),0),D273+(E273-D273)*(1+G273)*((7-1)/(MaxLevel-1))^(2^F273)))</f>
        <v/>
      </c>
      <c r="O273" s="12" t="str">
        <f>IF(OR(D273="",E273=""),"",IF(IFERROR(INDEX(Stats!$D:$D,MATCH($C273,Stats!$A:$A,0)),FALSE),ROUND(D273+(E273-D273)*(1+G273)*((8-1)/(MaxLevel-1))^(2^F273),0),D273+(E273-D273)*(1+G273)*((8-1)/(MaxLevel-1))^(2^F273)))</f>
        <v/>
      </c>
      <c r="P273" s="12" t="str">
        <f>IF(OR(D273="",E273=""),"",IF(IFERROR(INDEX(Stats!$D:$D,MATCH($C273,Stats!$A:$A,0)),FALSE),ROUND(D273+(E273-D273)*(1+G273)*((9-1)/(MaxLevel-1))^(2^F273),0),D273+(E273-D273)*(1+G273)*((9-1)/(MaxLevel-1))^(2^F273)))</f>
        <v/>
      </c>
      <c r="Q273" s="12" t="str">
        <f>IF(OR(D273="",E273=""),"",IF(IFERROR(INDEX(Stats!$D:$D,MATCH($C273,Stats!$A:$A,0)),FALSE),ROUND(D273+(E273-D273)*(1+G273)*((10-1)/(MaxLevel-1))^(2^F273),0),D273+(E273-D273)*(1+G273)*((10-1)/(MaxLevel-1))^(2^F273)))</f>
        <v/>
      </c>
    </row>
    <row r="274" spans="1:17" x14ac:dyDescent="0.25">
      <c r="A274" s="4" t="s">
        <v>185</v>
      </c>
      <c r="B274" s="19" t="s">
        <v>229</v>
      </c>
      <c r="C274" s="4" t="s">
        <v>36</v>
      </c>
      <c r="D274" s="5"/>
      <c r="E274" s="5"/>
      <c r="F274" s="5"/>
      <c r="G274" s="5"/>
      <c r="H274" s="12" t="str">
        <f>IF(OR(D274="",E274=""),"",IF(IFERROR(INDEX(Stats!$D:$D,MATCH($C274,Stats!$A:$A,0)),FALSE),ROUND(D274+(E274-D274)*(1+G274)*((1-1)/(MaxLevel-1))^(2^F274),0),D274+(E274-D274)*(1+G274)*((1-1)/(MaxLevel-1))^(2^F274)))</f>
        <v/>
      </c>
      <c r="I274" s="12" t="str">
        <f>IF(OR(D274="",E274=""),"",IF(IFERROR(INDEX(Stats!$D:$D,MATCH($C274,Stats!$A:$A,0)),FALSE),ROUND(D274+(E274-D274)*(1+G274)*((2-1)/(MaxLevel-1))^(2^F274),0),D274+(E274-D274)*(1+G274)*((2-1)/(MaxLevel-1))^(2^F274)))</f>
        <v/>
      </c>
      <c r="J274" s="12" t="str">
        <f>IF(OR(D274="",E274=""),"",IF(IFERROR(INDEX(Stats!$D:$D,MATCH($C274,Stats!$A:$A,0)),FALSE),ROUND(D274+(E274-D274)*(1+G274)*((3-1)/(MaxLevel-1))^(2^F274),0),D274+(E274-D274)*(1+G274)*((3-1)/(MaxLevel-1))^(2^F274)))</f>
        <v/>
      </c>
      <c r="K274" s="12" t="str">
        <f>IF(OR(D274="",E274=""),"",IF(IFERROR(INDEX(Stats!$D:$D,MATCH($C274,Stats!$A:$A,0)),FALSE),ROUND(D274+(E274-D274)*(1+G274)*((4-1)/(MaxLevel-1))^(2^F274),0),D274+(E274-D274)*(1+G274)*((4-1)/(MaxLevel-1))^(2^F274)))</f>
        <v/>
      </c>
      <c r="L274" s="12" t="str">
        <f>IF(OR(D274="",E274=""),"",IF(IFERROR(INDEX(Stats!$D:$D,MATCH($C274,Stats!$A:$A,0)),FALSE),ROUND(D274+(E274-D274)*(1+G274)*((5-1)/(MaxLevel-1))^(2^F274),0),D274+(E274-D274)*(1+G274)*((5-1)/(MaxLevel-1))^(2^F274)))</f>
        <v/>
      </c>
      <c r="M274" s="12" t="str">
        <f>IF(OR(D274="",E274=""),"",IF(IFERROR(INDEX(Stats!$D:$D,MATCH($C274,Stats!$A:$A,0)),FALSE),ROUND(D274+(E274-D274)*(1+G274)*((6-1)/(MaxLevel-1))^(2^F274),0),D274+(E274-D274)*(1+G274)*((6-1)/(MaxLevel-1))^(2^F274)))</f>
        <v/>
      </c>
      <c r="N274" s="12" t="str">
        <f>IF(OR(D274="",E274=""),"",IF(IFERROR(INDEX(Stats!$D:$D,MATCH($C274,Stats!$A:$A,0)),FALSE),ROUND(D274+(E274-D274)*(1+G274)*((7-1)/(MaxLevel-1))^(2^F274),0),D274+(E274-D274)*(1+G274)*((7-1)/(MaxLevel-1))^(2^F274)))</f>
        <v/>
      </c>
      <c r="O274" s="12" t="str">
        <f>IF(OR(D274="",E274=""),"",IF(IFERROR(INDEX(Stats!$D:$D,MATCH($C274,Stats!$A:$A,0)),FALSE),ROUND(D274+(E274-D274)*(1+G274)*((8-1)/(MaxLevel-1))^(2^F274),0),D274+(E274-D274)*(1+G274)*((8-1)/(MaxLevel-1))^(2^F274)))</f>
        <v/>
      </c>
      <c r="P274" s="12" t="str">
        <f>IF(OR(D274="",E274=""),"",IF(IFERROR(INDEX(Stats!$D:$D,MATCH($C274,Stats!$A:$A,0)),FALSE),ROUND(D274+(E274-D274)*(1+G274)*((9-1)/(MaxLevel-1))^(2^F274),0),D274+(E274-D274)*(1+G274)*((9-1)/(MaxLevel-1))^(2^F274)))</f>
        <v/>
      </c>
      <c r="Q274" s="12" t="str">
        <f>IF(OR(D274="",E274=""),"",IF(IFERROR(INDEX(Stats!$D:$D,MATCH($C274,Stats!$A:$A,0)),FALSE),ROUND(D274+(E274-D274)*(1+G274)*((10-1)/(MaxLevel-1))^(2^F274),0),D274+(E274-D274)*(1+G274)*((10-1)/(MaxLevel-1))^(2^F274)))</f>
        <v/>
      </c>
    </row>
    <row r="275" spans="1:17" x14ac:dyDescent="0.25">
      <c r="A275" s="4" t="s">
        <v>185</v>
      </c>
      <c r="B275" s="19" t="s">
        <v>229</v>
      </c>
      <c r="C275" s="4" t="s">
        <v>38</v>
      </c>
      <c r="D275" s="5"/>
      <c r="E275" s="5"/>
      <c r="F275" s="5"/>
      <c r="G275" s="5"/>
      <c r="H275" s="12" t="str">
        <f>IF(OR(D275="",E275=""),"",IF(IFERROR(INDEX(Stats!$D:$D,MATCH($C275,Stats!$A:$A,0)),FALSE),ROUND(D275+(E275-D275)*(1+G275)*((1-1)/(MaxLevel-1))^(2^F275),0),D275+(E275-D275)*(1+G275)*((1-1)/(MaxLevel-1))^(2^F275)))</f>
        <v/>
      </c>
      <c r="I275" s="12" t="str">
        <f>IF(OR(D275="",E275=""),"",IF(IFERROR(INDEX(Stats!$D:$D,MATCH($C275,Stats!$A:$A,0)),FALSE),ROUND(D275+(E275-D275)*(1+G275)*((2-1)/(MaxLevel-1))^(2^F275),0),D275+(E275-D275)*(1+G275)*((2-1)/(MaxLevel-1))^(2^F275)))</f>
        <v/>
      </c>
      <c r="J275" s="12" t="str">
        <f>IF(OR(D275="",E275=""),"",IF(IFERROR(INDEX(Stats!$D:$D,MATCH($C275,Stats!$A:$A,0)),FALSE),ROUND(D275+(E275-D275)*(1+G275)*((3-1)/(MaxLevel-1))^(2^F275),0),D275+(E275-D275)*(1+G275)*((3-1)/(MaxLevel-1))^(2^F275)))</f>
        <v/>
      </c>
      <c r="K275" s="12" t="str">
        <f>IF(OR(D275="",E275=""),"",IF(IFERROR(INDEX(Stats!$D:$D,MATCH($C275,Stats!$A:$A,0)),FALSE),ROUND(D275+(E275-D275)*(1+G275)*((4-1)/(MaxLevel-1))^(2^F275),0),D275+(E275-D275)*(1+G275)*((4-1)/(MaxLevel-1))^(2^F275)))</f>
        <v/>
      </c>
      <c r="L275" s="12" t="str">
        <f>IF(OR(D275="",E275=""),"",IF(IFERROR(INDEX(Stats!$D:$D,MATCH($C275,Stats!$A:$A,0)),FALSE),ROUND(D275+(E275-D275)*(1+G275)*((5-1)/(MaxLevel-1))^(2^F275),0),D275+(E275-D275)*(1+G275)*((5-1)/(MaxLevel-1))^(2^F275)))</f>
        <v/>
      </c>
      <c r="M275" s="12" t="str">
        <f>IF(OR(D275="",E275=""),"",IF(IFERROR(INDEX(Stats!$D:$D,MATCH($C275,Stats!$A:$A,0)),FALSE),ROUND(D275+(E275-D275)*(1+G275)*((6-1)/(MaxLevel-1))^(2^F275),0),D275+(E275-D275)*(1+G275)*((6-1)/(MaxLevel-1))^(2^F275)))</f>
        <v/>
      </c>
      <c r="N275" s="12" t="str">
        <f>IF(OR(D275="",E275=""),"",IF(IFERROR(INDEX(Stats!$D:$D,MATCH($C275,Stats!$A:$A,0)),FALSE),ROUND(D275+(E275-D275)*(1+G275)*((7-1)/(MaxLevel-1))^(2^F275),0),D275+(E275-D275)*(1+G275)*((7-1)/(MaxLevel-1))^(2^F275)))</f>
        <v/>
      </c>
      <c r="O275" s="12" t="str">
        <f>IF(OR(D275="",E275=""),"",IF(IFERROR(INDEX(Stats!$D:$D,MATCH($C275,Stats!$A:$A,0)),FALSE),ROUND(D275+(E275-D275)*(1+G275)*((8-1)/(MaxLevel-1))^(2^F275),0),D275+(E275-D275)*(1+G275)*((8-1)/(MaxLevel-1))^(2^F275)))</f>
        <v/>
      </c>
      <c r="P275" s="12" t="str">
        <f>IF(OR(D275="",E275=""),"",IF(IFERROR(INDEX(Stats!$D:$D,MATCH($C275,Stats!$A:$A,0)),FALSE),ROUND(D275+(E275-D275)*(1+G275)*((9-1)/(MaxLevel-1))^(2^F275),0),D275+(E275-D275)*(1+G275)*((9-1)/(MaxLevel-1))^(2^F275)))</f>
        <v/>
      </c>
      <c r="Q275" s="12" t="str">
        <f>IF(OR(D275="",E275=""),"",IF(IFERROR(INDEX(Stats!$D:$D,MATCH($C275,Stats!$A:$A,0)),FALSE),ROUND(D275+(E275-D275)*(1+G275)*((10-1)/(MaxLevel-1))^(2^F275),0),D275+(E275-D275)*(1+G275)*((10-1)/(MaxLevel-1))^(2^F275)))</f>
        <v/>
      </c>
    </row>
    <row r="276" spans="1:17" x14ac:dyDescent="0.25">
      <c r="A276" s="4" t="s">
        <v>185</v>
      </c>
      <c r="B276" s="19" t="s">
        <v>229</v>
      </c>
      <c r="C276" s="4" t="s">
        <v>40</v>
      </c>
      <c r="D276" s="5"/>
      <c r="E276" s="5"/>
      <c r="F276" s="5"/>
      <c r="G276" s="5"/>
      <c r="H276" s="12" t="str">
        <f>IF(OR(D276="",E276=""),"",IF(IFERROR(INDEX(Stats!$D:$D,MATCH($C276,Stats!$A:$A,0)),FALSE),ROUND(D276+(E276-D276)*(1+G276)*((1-1)/(MaxLevel-1))^(2^F276),0),D276+(E276-D276)*(1+G276)*((1-1)/(MaxLevel-1))^(2^F276)))</f>
        <v/>
      </c>
      <c r="I276" s="12" t="str">
        <f>IF(OR(D276="",E276=""),"",IF(IFERROR(INDEX(Stats!$D:$D,MATCH($C276,Stats!$A:$A,0)),FALSE),ROUND(D276+(E276-D276)*(1+G276)*((2-1)/(MaxLevel-1))^(2^F276),0),D276+(E276-D276)*(1+G276)*((2-1)/(MaxLevel-1))^(2^F276)))</f>
        <v/>
      </c>
      <c r="J276" s="12" t="str">
        <f>IF(OR(D276="",E276=""),"",IF(IFERROR(INDEX(Stats!$D:$D,MATCH($C276,Stats!$A:$A,0)),FALSE),ROUND(D276+(E276-D276)*(1+G276)*((3-1)/(MaxLevel-1))^(2^F276),0),D276+(E276-D276)*(1+G276)*((3-1)/(MaxLevel-1))^(2^F276)))</f>
        <v/>
      </c>
      <c r="K276" s="12" t="str">
        <f>IF(OR(D276="",E276=""),"",IF(IFERROR(INDEX(Stats!$D:$D,MATCH($C276,Stats!$A:$A,0)),FALSE),ROUND(D276+(E276-D276)*(1+G276)*((4-1)/(MaxLevel-1))^(2^F276),0),D276+(E276-D276)*(1+G276)*((4-1)/(MaxLevel-1))^(2^F276)))</f>
        <v/>
      </c>
      <c r="L276" s="12" t="str">
        <f>IF(OR(D276="",E276=""),"",IF(IFERROR(INDEX(Stats!$D:$D,MATCH($C276,Stats!$A:$A,0)),FALSE),ROUND(D276+(E276-D276)*(1+G276)*((5-1)/(MaxLevel-1))^(2^F276),0),D276+(E276-D276)*(1+G276)*((5-1)/(MaxLevel-1))^(2^F276)))</f>
        <v/>
      </c>
      <c r="M276" s="12" t="str">
        <f>IF(OR(D276="",E276=""),"",IF(IFERROR(INDEX(Stats!$D:$D,MATCH($C276,Stats!$A:$A,0)),FALSE),ROUND(D276+(E276-D276)*(1+G276)*((6-1)/(MaxLevel-1))^(2^F276),0),D276+(E276-D276)*(1+G276)*((6-1)/(MaxLevel-1))^(2^F276)))</f>
        <v/>
      </c>
      <c r="N276" s="12" t="str">
        <f>IF(OR(D276="",E276=""),"",IF(IFERROR(INDEX(Stats!$D:$D,MATCH($C276,Stats!$A:$A,0)),FALSE),ROUND(D276+(E276-D276)*(1+G276)*((7-1)/(MaxLevel-1))^(2^F276),0),D276+(E276-D276)*(1+G276)*((7-1)/(MaxLevel-1))^(2^F276)))</f>
        <v/>
      </c>
      <c r="O276" s="12" t="str">
        <f>IF(OR(D276="",E276=""),"",IF(IFERROR(INDEX(Stats!$D:$D,MATCH($C276,Stats!$A:$A,0)),FALSE),ROUND(D276+(E276-D276)*(1+G276)*((8-1)/(MaxLevel-1))^(2^F276),0),D276+(E276-D276)*(1+G276)*((8-1)/(MaxLevel-1))^(2^F276)))</f>
        <v/>
      </c>
      <c r="P276" s="12" t="str">
        <f>IF(OR(D276="",E276=""),"",IF(IFERROR(INDEX(Stats!$D:$D,MATCH($C276,Stats!$A:$A,0)),FALSE),ROUND(D276+(E276-D276)*(1+G276)*((9-1)/(MaxLevel-1))^(2^F276),0),D276+(E276-D276)*(1+G276)*((9-1)/(MaxLevel-1))^(2^F276)))</f>
        <v/>
      </c>
      <c r="Q276" s="12" t="str">
        <f>IF(OR(D276="",E276=""),"",IF(IFERROR(INDEX(Stats!$D:$D,MATCH($C276,Stats!$A:$A,0)),FALSE),ROUND(D276+(E276-D276)*(1+G276)*((10-1)/(MaxLevel-1))^(2^F276),0),D276+(E276-D276)*(1+G276)*((10-1)/(MaxLevel-1))^(2^F276)))</f>
        <v/>
      </c>
    </row>
    <row r="277" spans="1:17" x14ac:dyDescent="0.25">
      <c r="A277" s="4" t="s">
        <v>185</v>
      </c>
      <c r="B277" s="19" t="s">
        <v>229</v>
      </c>
      <c r="C277" s="4" t="s">
        <v>42</v>
      </c>
      <c r="D277" s="5"/>
      <c r="E277" s="5"/>
      <c r="F277" s="5"/>
      <c r="G277" s="5"/>
      <c r="H277" s="12" t="str">
        <f>IF(OR(D277="",E277=""),"",IF(IFERROR(INDEX(Stats!$D:$D,MATCH($C277,Stats!$A:$A,0)),FALSE),ROUND(D277+(E277-D277)*(1+G277)*((1-1)/(MaxLevel-1))^(2^F277),0),D277+(E277-D277)*(1+G277)*((1-1)/(MaxLevel-1))^(2^F277)))</f>
        <v/>
      </c>
      <c r="I277" s="12" t="str">
        <f>IF(OR(D277="",E277=""),"",IF(IFERROR(INDEX(Stats!$D:$D,MATCH($C277,Stats!$A:$A,0)),FALSE),ROUND(D277+(E277-D277)*(1+G277)*((2-1)/(MaxLevel-1))^(2^F277),0),D277+(E277-D277)*(1+G277)*((2-1)/(MaxLevel-1))^(2^F277)))</f>
        <v/>
      </c>
      <c r="J277" s="12" t="str">
        <f>IF(OR(D277="",E277=""),"",IF(IFERROR(INDEX(Stats!$D:$D,MATCH($C277,Stats!$A:$A,0)),FALSE),ROUND(D277+(E277-D277)*(1+G277)*((3-1)/(MaxLevel-1))^(2^F277),0),D277+(E277-D277)*(1+G277)*((3-1)/(MaxLevel-1))^(2^F277)))</f>
        <v/>
      </c>
      <c r="K277" s="12" t="str">
        <f>IF(OR(D277="",E277=""),"",IF(IFERROR(INDEX(Stats!$D:$D,MATCH($C277,Stats!$A:$A,0)),FALSE),ROUND(D277+(E277-D277)*(1+G277)*((4-1)/(MaxLevel-1))^(2^F277),0),D277+(E277-D277)*(1+G277)*((4-1)/(MaxLevel-1))^(2^F277)))</f>
        <v/>
      </c>
      <c r="L277" s="12" t="str">
        <f>IF(OR(D277="",E277=""),"",IF(IFERROR(INDEX(Stats!$D:$D,MATCH($C277,Stats!$A:$A,0)),FALSE),ROUND(D277+(E277-D277)*(1+G277)*((5-1)/(MaxLevel-1))^(2^F277),0),D277+(E277-D277)*(1+G277)*((5-1)/(MaxLevel-1))^(2^F277)))</f>
        <v/>
      </c>
      <c r="M277" s="12" t="str">
        <f>IF(OR(D277="",E277=""),"",IF(IFERROR(INDEX(Stats!$D:$D,MATCH($C277,Stats!$A:$A,0)),FALSE),ROUND(D277+(E277-D277)*(1+G277)*((6-1)/(MaxLevel-1))^(2^F277),0),D277+(E277-D277)*(1+G277)*((6-1)/(MaxLevel-1))^(2^F277)))</f>
        <v/>
      </c>
      <c r="N277" s="12" t="str">
        <f>IF(OR(D277="",E277=""),"",IF(IFERROR(INDEX(Stats!$D:$D,MATCH($C277,Stats!$A:$A,0)),FALSE),ROUND(D277+(E277-D277)*(1+G277)*((7-1)/(MaxLevel-1))^(2^F277),0),D277+(E277-D277)*(1+G277)*((7-1)/(MaxLevel-1))^(2^F277)))</f>
        <v/>
      </c>
      <c r="O277" s="12" t="str">
        <f>IF(OR(D277="",E277=""),"",IF(IFERROR(INDEX(Stats!$D:$D,MATCH($C277,Stats!$A:$A,0)),FALSE),ROUND(D277+(E277-D277)*(1+G277)*((8-1)/(MaxLevel-1))^(2^F277),0),D277+(E277-D277)*(1+G277)*((8-1)/(MaxLevel-1))^(2^F277)))</f>
        <v/>
      </c>
      <c r="P277" s="12" t="str">
        <f>IF(OR(D277="",E277=""),"",IF(IFERROR(INDEX(Stats!$D:$D,MATCH($C277,Stats!$A:$A,0)),FALSE),ROUND(D277+(E277-D277)*(1+G277)*((9-1)/(MaxLevel-1))^(2^F277),0),D277+(E277-D277)*(1+G277)*((9-1)/(MaxLevel-1))^(2^F277)))</f>
        <v/>
      </c>
      <c r="Q277" s="12" t="str">
        <f>IF(OR(D277="",E277=""),"",IF(IFERROR(INDEX(Stats!$D:$D,MATCH($C277,Stats!$A:$A,0)),FALSE),ROUND(D277+(E277-D277)*(1+G277)*((10-1)/(MaxLevel-1))^(2^F277),0),D277+(E277-D277)*(1+G277)*((10-1)/(MaxLevel-1))^(2^F277)))</f>
        <v/>
      </c>
    </row>
    <row r="278" spans="1:17" x14ac:dyDescent="0.25">
      <c r="A278" s="4" t="s">
        <v>185</v>
      </c>
      <c r="B278" s="19" t="s">
        <v>229</v>
      </c>
      <c r="C278" s="4" t="s">
        <v>44</v>
      </c>
      <c r="D278" s="5"/>
      <c r="E278" s="5"/>
      <c r="F278" s="5"/>
      <c r="G278" s="5"/>
      <c r="H278" s="12" t="str">
        <f>IF(OR(D278="",E278=""),"",IF(IFERROR(INDEX(Stats!$D:$D,MATCH($C278,Stats!$A:$A,0)),FALSE),ROUND(D278+(E278-D278)*(1+G278)*((1-1)/(MaxLevel-1))^(2^F278),0),D278+(E278-D278)*(1+G278)*((1-1)/(MaxLevel-1))^(2^F278)))</f>
        <v/>
      </c>
      <c r="I278" s="12" t="str">
        <f>IF(OR(D278="",E278=""),"",IF(IFERROR(INDEX(Stats!$D:$D,MATCH($C278,Stats!$A:$A,0)),FALSE),ROUND(D278+(E278-D278)*(1+G278)*((2-1)/(MaxLevel-1))^(2^F278),0),D278+(E278-D278)*(1+G278)*((2-1)/(MaxLevel-1))^(2^F278)))</f>
        <v/>
      </c>
      <c r="J278" s="12" t="str">
        <f>IF(OR(D278="",E278=""),"",IF(IFERROR(INDEX(Stats!$D:$D,MATCH($C278,Stats!$A:$A,0)),FALSE),ROUND(D278+(E278-D278)*(1+G278)*((3-1)/(MaxLevel-1))^(2^F278),0),D278+(E278-D278)*(1+G278)*((3-1)/(MaxLevel-1))^(2^F278)))</f>
        <v/>
      </c>
      <c r="K278" s="12" t="str">
        <f>IF(OR(D278="",E278=""),"",IF(IFERROR(INDEX(Stats!$D:$D,MATCH($C278,Stats!$A:$A,0)),FALSE),ROUND(D278+(E278-D278)*(1+G278)*((4-1)/(MaxLevel-1))^(2^F278),0),D278+(E278-D278)*(1+G278)*((4-1)/(MaxLevel-1))^(2^F278)))</f>
        <v/>
      </c>
      <c r="L278" s="12" t="str">
        <f>IF(OR(D278="",E278=""),"",IF(IFERROR(INDEX(Stats!$D:$D,MATCH($C278,Stats!$A:$A,0)),FALSE),ROUND(D278+(E278-D278)*(1+G278)*((5-1)/(MaxLevel-1))^(2^F278),0),D278+(E278-D278)*(1+G278)*((5-1)/(MaxLevel-1))^(2^F278)))</f>
        <v/>
      </c>
      <c r="M278" s="12" t="str">
        <f>IF(OR(D278="",E278=""),"",IF(IFERROR(INDEX(Stats!$D:$D,MATCH($C278,Stats!$A:$A,0)),FALSE),ROUND(D278+(E278-D278)*(1+G278)*((6-1)/(MaxLevel-1))^(2^F278),0),D278+(E278-D278)*(1+G278)*((6-1)/(MaxLevel-1))^(2^F278)))</f>
        <v/>
      </c>
      <c r="N278" s="12" t="str">
        <f>IF(OR(D278="",E278=""),"",IF(IFERROR(INDEX(Stats!$D:$D,MATCH($C278,Stats!$A:$A,0)),FALSE),ROUND(D278+(E278-D278)*(1+G278)*((7-1)/(MaxLevel-1))^(2^F278),0),D278+(E278-D278)*(1+G278)*((7-1)/(MaxLevel-1))^(2^F278)))</f>
        <v/>
      </c>
      <c r="O278" s="12" t="str">
        <f>IF(OR(D278="",E278=""),"",IF(IFERROR(INDEX(Stats!$D:$D,MATCH($C278,Stats!$A:$A,0)),FALSE),ROUND(D278+(E278-D278)*(1+G278)*((8-1)/(MaxLevel-1))^(2^F278),0),D278+(E278-D278)*(1+G278)*((8-1)/(MaxLevel-1))^(2^F278)))</f>
        <v/>
      </c>
      <c r="P278" s="12" t="str">
        <f>IF(OR(D278="",E278=""),"",IF(IFERROR(INDEX(Stats!$D:$D,MATCH($C278,Stats!$A:$A,0)),FALSE),ROUND(D278+(E278-D278)*(1+G278)*((9-1)/(MaxLevel-1))^(2^F278),0),D278+(E278-D278)*(1+G278)*((9-1)/(MaxLevel-1))^(2^F278)))</f>
        <v/>
      </c>
      <c r="Q278" s="12" t="str">
        <f>IF(OR(D278="",E278=""),"",IF(IFERROR(INDEX(Stats!$D:$D,MATCH($C278,Stats!$A:$A,0)),FALSE),ROUND(D278+(E278-D278)*(1+G278)*((10-1)/(MaxLevel-1))^(2^F278),0),D278+(E278-D278)*(1+G278)*((10-1)/(MaxLevel-1))^(2^F278)))</f>
        <v/>
      </c>
    </row>
    <row r="279" spans="1:17" x14ac:dyDescent="0.25">
      <c r="A279" s="4" t="s">
        <v>185</v>
      </c>
      <c r="B279" s="19" t="s">
        <v>229</v>
      </c>
      <c r="C279" s="4" t="s">
        <v>46</v>
      </c>
      <c r="D279" s="5">
        <v>300</v>
      </c>
      <c r="E279" s="5">
        <v>320</v>
      </c>
      <c r="F279" s="5">
        <v>0</v>
      </c>
      <c r="G279" s="5">
        <v>0</v>
      </c>
      <c r="H279" s="12">
        <f>IF(OR(D279="",E279=""),"",IF(IFERROR(INDEX(Stats!$D:$D,MATCH($C279,Stats!$A:$A,0)),FALSE),ROUND(D279+(E279-D279)*(1+G279)*((1-1)/(MaxLevel-1))^(2^F279),0),D279+(E279-D279)*(1+G279)*((1-1)/(MaxLevel-1))^(2^F279)))</f>
        <v>300</v>
      </c>
      <c r="I279" s="12">
        <f>IF(OR(D279="",E279=""),"",IF(IFERROR(INDEX(Stats!$D:$D,MATCH($C279,Stats!$A:$A,0)),FALSE),ROUND(D279+(E279-D279)*(1+G279)*((2-1)/(MaxLevel-1))^(2^F279),0),D279+(E279-D279)*(1+G279)*((2-1)/(MaxLevel-1))^(2^F279)))</f>
        <v>302.22222222222223</v>
      </c>
      <c r="J279" s="12">
        <f>IF(OR(D279="",E279=""),"",IF(IFERROR(INDEX(Stats!$D:$D,MATCH($C279,Stats!$A:$A,0)),FALSE),ROUND(D279+(E279-D279)*(1+G279)*((3-1)/(MaxLevel-1))^(2^F279),0),D279+(E279-D279)*(1+G279)*((3-1)/(MaxLevel-1))^(2^F279)))</f>
        <v>304.44444444444446</v>
      </c>
      <c r="K279" s="12">
        <f>IF(OR(D279="",E279=""),"",IF(IFERROR(INDEX(Stats!$D:$D,MATCH($C279,Stats!$A:$A,0)),FALSE),ROUND(D279+(E279-D279)*(1+G279)*((4-1)/(MaxLevel-1))^(2^F279),0),D279+(E279-D279)*(1+G279)*((4-1)/(MaxLevel-1))^(2^F279)))</f>
        <v>306.66666666666669</v>
      </c>
      <c r="L279" s="12">
        <f>IF(OR(D279="",E279=""),"",IF(IFERROR(INDEX(Stats!$D:$D,MATCH($C279,Stats!$A:$A,0)),FALSE),ROUND(D279+(E279-D279)*(1+G279)*((5-1)/(MaxLevel-1))^(2^F279),0),D279+(E279-D279)*(1+G279)*((5-1)/(MaxLevel-1))^(2^F279)))</f>
        <v>308.88888888888891</v>
      </c>
      <c r="M279" s="12">
        <f>IF(OR(D279="",E279=""),"",IF(IFERROR(INDEX(Stats!$D:$D,MATCH($C279,Stats!$A:$A,0)),FALSE),ROUND(D279+(E279-D279)*(1+G279)*((6-1)/(MaxLevel-1))^(2^F279),0),D279+(E279-D279)*(1+G279)*((6-1)/(MaxLevel-1))^(2^F279)))</f>
        <v>311.11111111111109</v>
      </c>
      <c r="N279" s="12">
        <f>IF(OR(D279="",E279=""),"",IF(IFERROR(INDEX(Stats!$D:$D,MATCH($C279,Stats!$A:$A,0)),FALSE),ROUND(D279+(E279-D279)*(1+G279)*((7-1)/(MaxLevel-1))^(2^F279),0),D279+(E279-D279)*(1+G279)*((7-1)/(MaxLevel-1))^(2^F279)))</f>
        <v>313.33333333333331</v>
      </c>
      <c r="O279" s="12">
        <f>IF(OR(D279="",E279=""),"",IF(IFERROR(INDEX(Stats!$D:$D,MATCH($C279,Stats!$A:$A,0)),FALSE),ROUND(D279+(E279-D279)*(1+G279)*((8-1)/(MaxLevel-1))^(2^F279),0),D279+(E279-D279)*(1+G279)*((8-1)/(MaxLevel-1))^(2^F279)))</f>
        <v>315.55555555555554</v>
      </c>
      <c r="P279" s="12">
        <f>IF(OR(D279="",E279=""),"",IF(IFERROR(INDEX(Stats!$D:$D,MATCH($C279,Stats!$A:$A,0)),FALSE),ROUND(D279+(E279-D279)*(1+G279)*((9-1)/(MaxLevel-1))^(2^F279),0),D279+(E279-D279)*(1+G279)*((9-1)/(MaxLevel-1))^(2^F279)))</f>
        <v>317.77777777777777</v>
      </c>
      <c r="Q279" s="12">
        <f>IF(OR(D279="",E279=""),"",IF(IFERROR(INDEX(Stats!$D:$D,MATCH($C279,Stats!$A:$A,0)),FALSE),ROUND(D279+(E279-D279)*(1+G279)*((10-1)/(MaxLevel-1))^(2^F279),0),D279+(E279-D279)*(1+G279)*((10-1)/(MaxLevel-1))^(2^F279)))</f>
        <v>320</v>
      </c>
    </row>
    <row r="280" spans="1:17" x14ac:dyDescent="0.25">
      <c r="A280" s="4" t="s">
        <v>185</v>
      </c>
      <c r="B280" s="19" t="s">
        <v>229</v>
      </c>
      <c r="C280" s="4" t="s">
        <v>48</v>
      </c>
      <c r="D280" s="5"/>
      <c r="E280" s="5"/>
      <c r="F280" s="5"/>
      <c r="G280" s="5"/>
      <c r="H280" s="12" t="str">
        <f>IF(OR(D280="",E280=""),"",IF(IFERROR(INDEX(Stats!$D:$D,MATCH($C280,Stats!$A:$A,0)),FALSE),ROUND(D280+(E280-D280)*(1+G280)*((1-1)/(MaxLevel-1))^(2^F280),0),D280+(E280-D280)*(1+G280)*((1-1)/(MaxLevel-1))^(2^F280)))</f>
        <v/>
      </c>
      <c r="I280" s="12" t="str">
        <f>IF(OR(D280="",E280=""),"",IF(IFERROR(INDEX(Stats!$D:$D,MATCH($C280,Stats!$A:$A,0)),FALSE),ROUND(D280+(E280-D280)*(1+G280)*((2-1)/(MaxLevel-1))^(2^F280),0),D280+(E280-D280)*(1+G280)*((2-1)/(MaxLevel-1))^(2^F280)))</f>
        <v/>
      </c>
      <c r="J280" s="12" t="str">
        <f>IF(OR(D280="",E280=""),"",IF(IFERROR(INDEX(Stats!$D:$D,MATCH($C280,Stats!$A:$A,0)),FALSE),ROUND(D280+(E280-D280)*(1+G280)*((3-1)/(MaxLevel-1))^(2^F280),0),D280+(E280-D280)*(1+G280)*((3-1)/(MaxLevel-1))^(2^F280)))</f>
        <v/>
      </c>
      <c r="K280" s="12" t="str">
        <f>IF(OR(D280="",E280=""),"",IF(IFERROR(INDEX(Stats!$D:$D,MATCH($C280,Stats!$A:$A,0)),FALSE),ROUND(D280+(E280-D280)*(1+G280)*((4-1)/(MaxLevel-1))^(2^F280),0),D280+(E280-D280)*(1+G280)*((4-1)/(MaxLevel-1))^(2^F280)))</f>
        <v/>
      </c>
      <c r="L280" s="12" t="str">
        <f>IF(OR(D280="",E280=""),"",IF(IFERROR(INDEX(Stats!$D:$D,MATCH($C280,Stats!$A:$A,0)),FALSE),ROUND(D280+(E280-D280)*(1+G280)*((5-1)/(MaxLevel-1))^(2^F280),0),D280+(E280-D280)*(1+G280)*((5-1)/(MaxLevel-1))^(2^F280)))</f>
        <v/>
      </c>
      <c r="M280" s="12" t="str">
        <f>IF(OR(D280="",E280=""),"",IF(IFERROR(INDEX(Stats!$D:$D,MATCH($C280,Stats!$A:$A,0)),FALSE),ROUND(D280+(E280-D280)*(1+G280)*((6-1)/(MaxLevel-1))^(2^F280),0),D280+(E280-D280)*(1+G280)*((6-1)/(MaxLevel-1))^(2^F280)))</f>
        <v/>
      </c>
      <c r="N280" s="12" t="str">
        <f>IF(OR(D280="",E280=""),"",IF(IFERROR(INDEX(Stats!$D:$D,MATCH($C280,Stats!$A:$A,0)),FALSE),ROUND(D280+(E280-D280)*(1+G280)*((7-1)/(MaxLevel-1))^(2^F280),0),D280+(E280-D280)*(1+G280)*((7-1)/(MaxLevel-1))^(2^F280)))</f>
        <v/>
      </c>
      <c r="O280" s="12" t="str">
        <f>IF(OR(D280="",E280=""),"",IF(IFERROR(INDEX(Stats!$D:$D,MATCH($C280,Stats!$A:$A,0)),FALSE),ROUND(D280+(E280-D280)*(1+G280)*((8-1)/(MaxLevel-1))^(2^F280),0),D280+(E280-D280)*(1+G280)*((8-1)/(MaxLevel-1))^(2^F280)))</f>
        <v/>
      </c>
      <c r="P280" s="12" t="str">
        <f>IF(OR(D280="",E280=""),"",IF(IFERROR(INDEX(Stats!$D:$D,MATCH($C280,Stats!$A:$A,0)),FALSE),ROUND(D280+(E280-D280)*(1+G280)*((9-1)/(MaxLevel-1))^(2^F280),0),D280+(E280-D280)*(1+G280)*((9-1)/(MaxLevel-1))^(2^F280)))</f>
        <v/>
      </c>
      <c r="Q280" s="12" t="str">
        <f>IF(OR(D280="",E280=""),"",IF(IFERROR(INDEX(Stats!$D:$D,MATCH($C280,Stats!$A:$A,0)),FALSE),ROUND(D280+(E280-D280)*(1+G280)*((10-1)/(MaxLevel-1))^(2^F280),0),D280+(E280-D280)*(1+G280)*((10-1)/(MaxLevel-1))^(2^F280)))</f>
        <v/>
      </c>
    </row>
    <row r="281" spans="1:17" x14ac:dyDescent="0.25">
      <c r="A281" s="4" t="s">
        <v>185</v>
      </c>
      <c r="B281" s="19" t="s">
        <v>229</v>
      </c>
      <c r="C281" s="4" t="s">
        <v>50</v>
      </c>
      <c r="D281" s="5"/>
      <c r="E281" s="5"/>
      <c r="F281" s="5"/>
      <c r="G281" s="5"/>
      <c r="H281" s="12" t="str">
        <f>IF(OR(D281="",E281=""),"",IF(IFERROR(INDEX(Stats!$D:$D,MATCH($C281,Stats!$A:$A,0)),FALSE),ROUND(D281+(E281-D281)*(1+G281)*((1-1)/(MaxLevel-1))^(2^F281),0),D281+(E281-D281)*(1+G281)*((1-1)/(MaxLevel-1))^(2^F281)))</f>
        <v/>
      </c>
      <c r="I281" s="12" t="str">
        <f>IF(OR(D281="",E281=""),"",IF(IFERROR(INDEX(Stats!$D:$D,MATCH($C281,Stats!$A:$A,0)),FALSE),ROUND(D281+(E281-D281)*(1+G281)*((2-1)/(MaxLevel-1))^(2^F281),0),D281+(E281-D281)*(1+G281)*((2-1)/(MaxLevel-1))^(2^F281)))</f>
        <v/>
      </c>
      <c r="J281" s="12" t="str">
        <f>IF(OR(D281="",E281=""),"",IF(IFERROR(INDEX(Stats!$D:$D,MATCH($C281,Stats!$A:$A,0)),FALSE),ROUND(D281+(E281-D281)*(1+G281)*((3-1)/(MaxLevel-1))^(2^F281),0),D281+(E281-D281)*(1+G281)*((3-1)/(MaxLevel-1))^(2^F281)))</f>
        <v/>
      </c>
      <c r="K281" s="12" t="str">
        <f>IF(OR(D281="",E281=""),"",IF(IFERROR(INDEX(Stats!$D:$D,MATCH($C281,Stats!$A:$A,0)),FALSE),ROUND(D281+(E281-D281)*(1+G281)*((4-1)/(MaxLevel-1))^(2^F281),0),D281+(E281-D281)*(1+G281)*((4-1)/(MaxLevel-1))^(2^F281)))</f>
        <v/>
      </c>
      <c r="L281" s="12" t="str">
        <f>IF(OR(D281="",E281=""),"",IF(IFERROR(INDEX(Stats!$D:$D,MATCH($C281,Stats!$A:$A,0)),FALSE),ROUND(D281+(E281-D281)*(1+G281)*((5-1)/(MaxLevel-1))^(2^F281),0),D281+(E281-D281)*(1+G281)*((5-1)/(MaxLevel-1))^(2^F281)))</f>
        <v/>
      </c>
      <c r="M281" s="12" t="str">
        <f>IF(OR(D281="",E281=""),"",IF(IFERROR(INDEX(Stats!$D:$D,MATCH($C281,Stats!$A:$A,0)),FALSE),ROUND(D281+(E281-D281)*(1+G281)*((6-1)/(MaxLevel-1))^(2^F281),0),D281+(E281-D281)*(1+G281)*((6-1)/(MaxLevel-1))^(2^F281)))</f>
        <v/>
      </c>
      <c r="N281" s="12" t="str">
        <f>IF(OR(D281="",E281=""),"",IF(IFERROR(INDEX(Stats!$D:$D,MATCH($C281,Stats!$A:$A,0)),FALSE),ROUND(D281+(E281-D281)*(1+G281)*((7-1)/(MaxLevel-1))^(2^F281),0),D281+(E281-D281)*(1+G281)*((7-1)/(MaxLevel-1))^(2^F281)))</f>
        <v/>
      </c>
      <c r="O281" s="12" t="str">
        <f>IF(OR(D281="",E281=""),"",IF(IFERROR(INDEX(Stats!$D:$D,MATCH($C281,Stats!$A:$A,0)),FALSE),ROUND(D281+(E281-D281)*(1+G281)*((8-1)/(MaxLevel-1))^(2^F281),0),D281+(E281-D281)*(1+G281)*((8-1)/(MaxLevel-1))^(2^F281)))</f>
        <v/>
      </c>
      <c r="P281" s="12" t="str">
        <f>IF(OR(D281="",E281=""),"",IF(IFERROR(INDEX(Stats!$D:$D,MATCH($C281,Stats!$A:$A,0)),FALSE),ROUND(D281+(E281-D281)*(1+G281)*((9-1)/(MaxLevel-1))^(2^F281),0),D281+(E281-D281)*(1+G281)*((9-1)/(MaxLevel-1))^(2^F281)))</f>
        <v/>
      </c>
      <c r="Q281" s="12" t="str">
        <f>IF(OR(D281="",E281=""),"",IF(IFERROR(INDEX(Stats!$D:$D,MATCH($C281,Stats!$A:$A,0)),FALSE),ROUND(D281+(E281-D281)*(1+G281)*((10-1)/(MaxLevel-1))^(2^F281),0),D281+(E281-D281)*(1+G281)*((10-1)/(MaxLevel-1))^(2^F281)))</f>
        <v/>
      </c>
    </row>
    <row r="282" spans="1:17" x14ac:dyDescent="0.25">
      <c r="A282" s="4" t="s">
        <v>185</v>
      </c>
      <c r="B282" s="19" t="s">
        <v>229</v>
      </c>
      <c r="C282" s="4" t="s">
        <v>52</v>
      </c>
      <c r="D282" s="5"/>
      <c r="E282" s="5"/>
      <c r="F282" s="5"/>
      <c r="G282" s="5"/>
      <c r="H282" s="12" t="str">
        <f>IF(OR(D282="",E282=""),"",IF(IFERROR(INDEX(Stats!$D:$D,MATCH($C282,Stats!$A:$A,0)),FALSE),ROUND(D282+(E282-D282)*(1+G282)*((1-1)/(MaxLevel-1))^(2^F282),0),D282+(E282-D282)*(1+G282)*((1-1)/(MaxLevel-1))^(2^F282)))</f>
        <v/>
      </c>
      <c r="I282" s="12" t="str">
        <f>IF(OR(D282="",E282=""),"",IF(IFERROR(INDEX(Stats!$D:$D,MATCH($C282,Stats!$A:$A,0)),FALSE),ROUND(D282+(E282-D282)*(1+G282)*((2-1)/(MaxLevel-1))^(2^F282),0),D282+(E282-D282)*(1+G282)*((2-1)/(MaxLevel-1))^(2^F282)))</f>
        <v/>
      </c>
      <c r="J282" s="12" t="str">
        <f>IF(OR(D282="",E282=""),"",IF(IFERROR(INDEX(Stats!$D:$D,MATCH($C282,Stats!$A:$A,0)),FALSE),ROUND(D282+(E282-D282)*(1+G282)*((3-1)/(MaxLevel-1))^(2^F282),0),D282+(E282-D282)*(1+G282)*((3-1)/(MaxLevel-1))^(2^F282)))</f>
        <v/>
      </c>
      <c r="K282" s="12" t="str">
        <f>IF(OR(D282="",E282=""),"",IF(IFERROR(INDEX(Stats!$D:$D,MATCH($C282,Stats!$A:$A,0)),FALSE),ROUND(D282+(E282-D282)*(1+G282)*((4-1)/(MaxLevel-1))^(2^F282),0),D282+(E282-D282)*(1+G282)*((4-1)/(MaxLevel-1))^(2^F282)))</f>
        <v/>
      </c>
      <c r="L282" s="12" t="str">
        <f>IF(OR(D282="",E282=""),"",IF(IFERROR(INDEX(Stats!$D:$D,MATCH($C282,Stats!$A:$A,0)),FALSE),ROUND(D282+(E282-D282)*(1+G282)*((5-1)/(MaxLevel-1))^(2^F282),0),D282+(E282-D282)*(1+G282)*((5-1)/(MaxLevel-1))^(2^F282)))</f>
        <v/>
      </c>
      <c r="M282" s="12" t="str">
        <f>IF(OR(D282="",E282=""),"",IF(IFERROR(INDEX(Stats!$D:$D,MATCH($C282,Stats!$A:$A,0)),FALSE),ROUND(D282+(E282-D282)*(1+G282)*((6-1)/(MaxLevel-1))^(2^F282),0),D282+(E282-D282)*(1+G282)*((6-1)/(MaxLevel-1))^(2^F282)))</f>
        <v/>
      </c>
      <c r="N282" s="12" t="str">
        <f>IF(OR(D282="",E282=""),"",IF(IFERROR(INDEX(Stats!$D:$D,MATCH($C282,Stats!$A:$A,0)),FALSE),ROUND(D282+(E282-D282)*(1+G282)*((7-1)/(MaxLevel-1))^(2^F282),0),D282+(E282-D282)*(1+G282)*((7-1)/(MaxLevel-1))^(2^F282)))</f>
        <v/>
      </c>
      <c r="O282" s="12" t="str">
        <f>IF(OR(D282="",E282=""),"",IF(IFERROR(INDEX(Stats!$D:$D,MATCH($C282,Stats!$A:$A,0)),FALSE),ROUND(D282+(E282-D282)*(1+G282)*((8-1)/(MaxLevel-1))^(2^F282),0),D282+(E282-D282)*(1+G282)*((8-1)/(MaxLevel-1))^(2^F282)))</f>
        <v/>
      </c>
      <c r="P282" s="12" t="str">
        <f>IF(OR(D282="",E282=""),"",IF(IFERROR(INDEX(Stats!$D:$D,MATCH($C282,Stats!$A:$A,0)),FALSE),ROUND(D282+(E282-D282)*(1+G282)*((9-1)/(MaxLevel-1))^(2^F282),0),D282+(E282-D282)*(1+G282)*((9-1)/(MaxLevel-1))^(2^F282)))</f>
        <v/>
      </c>
      <c r="Q282" s="12" t="str">
        <f>IF(OR(D282="",E282=""),"",IF(IFERROR(INDEX(Stats!$D:$D,MATCH($C282,Stats!$A:$A,0)),FALSE),ROUND(D282+(E282-D282)*(1+G282)*((10-1)/(MaxLevel-1))^(2^F282),0),D282+(E282-D282)*(1+G282)*((10-1)/(MaxLevel-1))^(2^F282)))</f>
        <v/>
      </c>
    </row>
    <row r="283" spans="1:17" x14ac:dyDescent="0.25">
      <c r="A283" s="4" t="s">
        <v>185</v>
      </c>
      <c r="B283" s="19" t="s">
        <v>229</v>
      </c>
      <c r="C283" s="4" t="s">
        <v>54</v>
      </c>
      <c r="D283" s="5"/>
      <c r="E283" s="5"/>
      <c r="F283" s="5"/>
      <c r="G283" s="5"/>
      <c r="H283" s="12" t="str">
        <f>IF(OR(D283="",E283=""),"",IF(IFERROR(INDEX(Stats!$D:$D,MATCH($C283,Stats!$A:$A,0)),FALSE),ROUND(D283+(E283-D283)*(1+G283)*((1-1)/(MaxLevel-1))^(2^F283),0),D283+(E283-D283)*(1+G283)*((1-1)/(MaxLevel-1))^(2^F283)))</f>
        <v/>
      </c>
      <c r="I283" s="12" t="str">
        <f>IF(OR(D283="",E283=""),"",IF(IFERROR(INDEX(Stats!$D:$D,MATCH($C283,Stats!$A:$A,0)),FALSE),ROUND(D283+(E283-D283)*(1+G283)*((2-1)/(MaxLevel-1))^(2^F283),0),D283+(E283-D283)*(1+G283)*((2-1)/(MaxLevel-1))^(2^F283)))</f>
        <v/>
      </c>
      <c r="J283" s="12" t="str">
        <f>IF(OR(D283="",E283=""),"",IF(IFERROR(INDEX(Stats!$D:$D,MATCH($C283,Stats!$A:$A,0)),FALSE),ROUND(D283+(E283-D283)*(1+G283)*((3-1)/(MaxLevel-1))^(2^F283),0),D283+(E283-D283)*(1+G283)*((3-1)/(MaxLevel-1))^(2^F283)))</f>
        <v/>
      </c>
      <c r="K283" s="12" t="str">
        <f>IF(OR(D283="",E283=""),"",IF(IFERROR(INDEX(Stats!$D:$D,MATCH($C283,Stats!$A:$A,0)),FALSE),ROUND(D283+(E283-D283)*(1+G283)*((4-1)/(MaxLevel-1))^(2^F283),0),D283+(E283-D283)*(1+G283)*((4-1)/(MaxLevel-1))^(2^F283)))</f>
        <v/>
      </c>
      <c r="L283" s="12" t="str">
        <f>IF(OR(D283="",E283=""),"",IF(IFERROR(INDEX(Stats!$D:$D,MATCH($C283,Stats!$A:$A,0)),FALSE),ROUND(D283+(E283-D283)*(1+G283)*((5-1)/(MaxLevel-1))^(2^F283),0),D283+(E283-D283)*(1+G283)*((5-1)/(MaxLevel-1))^(2^F283)))</f>
        <v/>
      </c>
      <c r="M283" s="12" t="str">
        <f>IF(OR(D283="",E283=""),"",IF(IFERROR(INDEX(Stats!$D:$D,MATCH($C283,Stats!$A:$A,0)),FALSE),ROUND(D283+(E283-D283)*(1+G283)*((6-1)/(MaxLevel-1))^(2^F283),0),D283+(E283-D283)*(1+G283)*((6-1)/(MaxLevel-1))^(2^F283)))</f>
        <v/>
      </c>
      <c r="N283" s="12" t="str">
        <f>IF(OR(D283="",E283=""),"",IF(IFERROR(INDEX(Stats!$D:$D,MATCH($C283,Stats!$A:$A,0)),FALSE),ROUND(D283+(E283-D283)*(1+G283)*((7-1)/(MaxLevel-1))^(2^F283),0),D283+(E283-D283)*(1+G283)*((7-1)/(MaxLevel-1))^(2^F283)))</f>
        <v/>
      </c>
      <c r="O283" s="12" t="str">
        <f>IF(OR(D283="",E283=""),"",IF(IFERROR(INDEX(Stats!$D:$D,MATCH($C283,Stats!$A:$A,0)),FALSE),ROUND(D283+(E283-D283)*(1+G283)*((8-1)/(MaxLevel-1))^(2^F283),0),D283+(E283-D283)*(1+G283)*((8-1)/(MaxLevel-1))^(2^F283)))</f>
        <v/>
      </c>
      <c r="P283" s="12" t="str">
        <f>IF(OR(D283="",E283=""),"",IF(IFERROR(INDEX(Stats!$D:$D,MATCH($C283,Stats!$A:$A,0)),FALSE),ROUND(D283+(E283-D283)*(1+G283)*((9-1)/(MaxLevel-1))^(2^F283),0),D283+(E283-D283)*(1+G283)*((9-1)/(MaxLevel-1))^(2^F283)))</f>
        <v/>
      </c>
      <c r="Q283" s="12" t="str">
        <f>IF(OR(D283="",E283=""),"",IF(IFERROR(INDEX(Stats!$D:$D,MATCH($C283,Stats!$A:$A,0)),FALSE),ROUND(D283+(E283-D283)*(1+G283)*((10-1)/(MaxLevel-1))^(2^F283),0),D283+(E283-D283)*(1+G283)*((10-1)/(MaxLevel-1))^(2^F283)))</f>
        <v/>
      </c>
    </row>
    <row r="284" spans="1:17" x14ac:dyDescent="0.25">
      <c r="A284" s="4" t="s">
        <v>185</v>
      </c>
      <c r="B284" s="19" t="s">
        <v>229</v>
      </c>
      <c r="C284" s="4" t="s">
        <v>56</v>
      </c>
      <c r="D284" s="5"/>
      <c r="E284" s="5"/>
      <c r="F284" s="5"/>
      <c r="G284" s="5"/>
      <c r="H284" s="12" t="str">
        <f>IF(OR(D284="",E284=""),"",IF(IFERROR(INDEX(Stats!$D:$D,MATCH($C284,Stats!$A:$A,0)),FALSE),ROUND(D284+(E284-D284)*(1+G284)*((1-1)/(MaxLevel-1))^(2^F284),0),D284+(E284-D284)*(1+G284)*((1-1)/(MaxLevel-1))^(2^F284)))</f>
        <v/>
      </c>
      <c r="I284" s="12" t="str">
        <f>IF(OR(D284="",E284=""),"",IF(IFERROR(INDEX(Stats!$D:$D,MATCH($C284,Stats!$A:$A,0)),FALSE),ROUND(D284+(E284-D284)*(1+G284)*((2-1)/(MaxLevel-1))^(2^F284),0),D284+(E284-D284)*(1+G284)*((2-1)/(MaxLevel-1))^(2^F284)))</f>
        <v/>
      </c>
      <c r="J284" s="12" t="str">
        <f>IF(OR(D284="",E284=""),"",IF(IFERROR(INDEX(Stats!$D:$D,MATCH($C284,Stats!$A:$A,0)),FALSE),ROUND(D284+(E284-D284)*(1+G284)*((3-1)/(MaxLevel-1))^(2^F284),0),D284+(E284-D284)*(1+G284)*((3-1)/(MaxLevel-1))^(2^F284)))</f>
        <v/>
      </c>
      <c r="K284" s="12" t="str">
        <f>IF(OR(D284="",E284=""),"",IF(IFERROR(INDEX(Stats!$D:$D,MATCH($C284,Stats!$A:$A,0)),FALSE),ROUND(D284+(E284-D284)*(1+G284)*((4-1)/(MaxLevel-1))^(2^F284),0),D284+(E284-D284)*(1+G284)*((4-1)/(MaxLevel-1))^(2^F284)))</f>
        <v/>
      </c>
      <c r="L284" s="12" t="str">
        <f>IF(OR(D284="",E284=""),"",IF(IFERROR(INDEX(Stats!$D:$D,MATCH($C284,Stats!$A:$A,0)),FALSE),ROUND(D284+(E284-D284)*(1+G284)*((5-1)/(MaxLevel-1))^(2^F284),0),D284+(E284-D284)*(1+G284)*((5-1)/(MaxLevel-1))^(2^F284)))</f>
        <v/>
      </c>
      <c r="M284" s="12" t="str">
        <f>IF(OR(D284="",E284=""),"",IF(IFERROR(INDEX(Stats!$D:$D,MATCH($C284,Stats!$A:$A,0)),FALSE),ROUND(D284+(E284-D284)*(1+G284)*((6-1)/(MaxLevel-1))^(2^F284),0),D284+(E284-D284)*(1+G284)*((6-1)/(MaxLevel-1))^(2^F284)))</f>
        <v/>
      </c>
      <c r="N284" s="12" t="str">
        <f>IF(OR(D284="",E284=""),"",IF(IFERROR(INDEX(Stats!$D:$D,MATCH($C284,Stats!$A:$A,0)),FALSE),ROUND(D284+(E284-D284)*(1+G284)*((7-1)/(MaxLevel-1))^(2^F284),0),D284+(E284-D284)*(1+G284)*((7-1)/(MaxLevel-1))^(2^F284)))</f>
        <v/>
      </c>
      <c r="O284" s="12" t="str">
        <f>IF(OR(D284="",E284=""),"",IF(IFERROR(INDEX(Stats!$D:$D,MATCH($C284,Stats!$A:$A,0)),FALSE),ROUND(D284+(E284-D284)*(1+G284)*((8-1)/(MaxLevel-1))^(2^F284),0),D284+(E284-D284)*(1+G284)*((8-1)/(MaxLevel-1))^(2^F284)))</f>
        <v/>
      </c>
      <c r="P284" s="12" t="str">
        <f>IF(OR(D284="",E284=""),"",IF(IFERROR(INDEX(Stats!$D:$D,MATCH($C284,Stats!$A:$A,0)),FALSE),ROUND(D284+(E284-D284)*(1+G284)*((9-1)/(MaxLevel-1))^(2^F284),0),D284+(E284-D284)*(1+G284)*((9-1)/(MaxLevel-1))^(2^F284)))</f>
        <v/>
      </c>
      <c r="Q284" s="12" t="str">
        <f>IF(OR(D284="",E284=""),"",IF(IFERROR(INDEX(Stats!$D:$D,MATCH($C284,Stats!$A:$A,0)),FALSE),ROUND(D284+(E284-D284)*(1+G284)*((10-1)/(MaxLevel-1))^(2^F284),0),D284+(E284-D284)*(1+G284)*((10-1)/(MaxLevel-1))^(2^F284)))</f>
        <v/>
      </c>
    </row>
    <row r="285" spans="1:17" x14ac:dyDescent="0.25">
      <c r="A285" s="4" t="s">
        <v>185</v>
      </c>
      <c r="B285" s="19" t="s">
        <v>229</v>
      </c>
      <c r="C285" s="4" t="s">
        <v>58</v>
      </c>
      <c r="D285" s="5"/>
      <c r="E285" s="5"/>
      <c r="F285" s="5"/>
      <c r="G285" s="5"/>
      <c r="H285" s="12" t="str">
        <f>IF(OR(D285="",E285=""),"",IF(IFERROR(INDEX(Stats!$D:$D,MATCH($C285,Stats!$A:$A,0)),FALSE),ROUND(D285+(E285-D285)*(1+G285)*((1-1)/(MaxLevel-1))^(2^F285),0),D285+(E285-D285)*(1+G285)*((1-1)/(MaxLevel-1))^(2^F285)))</f>
        <v/>
      </c>
      <c r="I285" s="12" t="str">
        <f>IF(OR(D285="",E285=""),"",IF(IFERROR(INDEX(Stats!$D:$D,MATCH($C285,Stats!$A:$A,0)),FALSE),ROUND(D285+(E285-D285)*(1+G285)*((2-1)/(MaxLevel-1))^(2^F285),0),D285+(E285-D285)*(1+G285)*((2-1)/(MaxLevel-1))^(2^F285)))</f>
        <v/>
      </c>
      <c r="J285" s="12" t="str">
        <f>IF(OR(D285="",E285=""),"",IF(IFERROR(INDEX(Stats!$D:$D,MATCH($C285,Stats!$A:$A,0)),FALSE),ROUND(D285+(E285-D285)*(1+G285)*((3-1)/(MaxLevel-1))^(2^F285),0),D285+(E285-D285)*(1+G285)*((3-1)/(MaxLevel-1))^(2^F285)))</f>
        <v/>
      </c>
      <c r="K285" s="12" t="str">
        <f>IF(OR(D285="",E285=""),"",IF(IFERROR(INDEX(Stats!$D:$D,MATCH($C285,Stats!$A:$A,0)),FALSE),ROUND(D285+(E285-D285)*(1+G285)*((4-1)/(MaxLevel-1))^(2^F285),0),D285+(E285-D285)*(1+G285)*((4-1)/(MaxLevel-1))^(2^F285)))</f>
        <v/>
      </c>
      <c r="L285" s="12" t="str">
        <f>IF(OR(D285="",E285=""),"",IF(IFERROR(INDEX(Stats!$D:$D,MATCH($C285,Stats!$A:$A,0)),FALSE),ROUND(D285+(E285-D285)*(1+G285)*((5-1)/(MaxLevel-1))^(2^F285),0),D285+(E285-D285)*(1+G285)*((5-1)/(MaxLevel-1))^(2^F285)))</f>
        <v/>
      </c>
      <c r="M285" s="12" t="str">
        <f>IF(OR(D285="",E285=""),"",IF(IFERROR(INDEX(Stats!$D:$D,MATCH($C285,Stats!$A:$A,0)),FALSE),ROUND(D285+(E285-D285)*(1+G285)*((6-1)/(MaxLevel-1))^(2^F285),0),D285+(E285-D285)*(1+G285)*((6-1)/(MaxLevel-1))^(2^F285)))</f>
        <v/>
      </c>
      <c r="N285" s="12" t="str">
        <f>IF(OR(D285="",E285=""),"",IF(IFERROR(INDEX(Stats!$D:$D,MATCH($C285,Stats!$A:$A,0)),FALSE),ROUND(D285+(E285-D285)*(1+G285)*((7-1)/(MaxLevel-1))^(2^F285),0),D285+(E285-D285)*(1+G285)*((7-1)/(MaxLevel-1))^(2^F285)))</f>
        <v/>
      </c>
      <c r="O285" s="12" t="str">
        <f>IF(OR(D285="",E285=""),"",IF(IFERROR(INDEX(Stats!$D:$D,MATCH($C285,Stats!$A:$A,0)),FALSE),ROUND(D285+(E285-D285)*(1+G285)*((8-1)/(MaxLevel-1))^(2^F285),0),D285+(E285-D285)*(1+G285)*((8-1)/(MaxLevel-1))^(2^F285)))</f>
        <v/>
      </c>
      <c r="P285" s="12" t="str">
        <f>IF(OR(D285="",E285=""),"",IF(IFERROR(INDEX(Stats!$D:$D,MATCH($C285,Stats!$A:$A,0)),FALSE),ROUND(D285+(E285-D285)*(1+G285)*((9-1)/(MaxLevel-1))^(2^F285),0),D285+(E285-D285)*(1+G285)*((9-1)/(MaxLevel-1))^(2^F285)))</f>
        <v/>
      </c>
      <c r="Q285" s="12" t="str">
        <f>IF(OR(D285="",E285=""),"",IF(IFERROR(INDEX(Stats!$D:$D,MATCH($C285,Stats!$A:$A,0)),FALSE),ROUND(D285+(E285-D285)*(1+G285)*((10-1)/(MaxLevel-1))^(2^F285),0),D285+(E285-D285)*(1+G285)*((10-1)/(MaxLevel-1))^(2^F285)))</f>
        <v/>
      </c>
    </row>
    <row r="286" spans="1:17" x14ac:dyDescent="0.25">
      <c r="A286" s="4" t="s">
        <v>185</v>
      </c>
      <c r="B286" s="19" t="s">
        <v>229</v>
      </c>
      <c r="C286" s="4" t="s">
        <v>60</v>
      </c>
      <c r="D286" s="5"/>
      <c r="E286" s="5"/>
      <c r="F286" s="5"/>
      <c r="G286" s="5"/>
      <c r="H286" s="12" t="str">
        <f>IF(OR(D286="",E286=""),"",IF(IFERROR(INDEX(Stats!$D:$D,MATCH($C286,Stats!$A:$A,0)),FALSE),ROUND(D286+(E286-D286)*(1+G286)*((1-1)/(MaxLevel-1))^(2^F286),0),D286+(E286-D286)*(1+G286)*((1-1)/(MaxLevel-1))^(2^F286)))</f>
        <v/>
      </c>
      <c r="I286" s="12" t="str">
        <f>IF(OR(D286="",E286=""),"",IF(IFERROR(INDEX(Stats!$D:$D,MATCH($C286,Stats!$A:$A,0)),FALSE),ROUND(D286+(E286-D286)*(1+G286)*((2-1)/(MaxLevel-1))^(2^F286),0),D286+(E286-D286)*(1+G286)*((2-1)/(MaxLevel-1))^(2^F286)))</f>
        <v/>
      </c>
      <c r="J286" s="12" t="str">
        <f>IF(OR(D286="",E286=""),"",IF(IFERROR(INDEX(Stats!$D:$D,MATCH($C286,Stats!$A:$A,0)),FALSE),ROUND(D286+(E286-D286)*(1+G286)*((3-1)/(MaxLevel-1))^(2^F286),0),D286+(E286-D286)*(1+G286)*((3-1)/(MaxLevel-1))^(2^F286)))</f>
        <v/>
      </c>
      <c r="K286" s="12" t="str">
        <f>IF(OR(D286="",E286=""),"",IF(IFERROR(INDEX(Stats!$D:$D,MATCH($C286,Stats!$A:$A,0)),FALSE),ROUND(D286+(E286-D286)*(1+G286)*((4-1)/(MaxLevel-1))^(2^F286),0),D286+(E286-D286)*(1+G286)*((4-1)/(MaxLevel-1))^(2^F286)))</f>
        <v/>
      </c>
      <c r="L286" s="12" t="str">
        <f>IF(OR(D286="",E286=""),"",IF(IFERROR(INDEX(Stats!$D:$D,MATCH($C286,Stats!$A:$A,0)),FALSE),ROUND(D286+(E286-D286)*(1+G286)*((5-1)/(MaxLevel-1))^(2^F286),0),D286+(E286-D286)*(1+G286)*((5-1)/(MaxLevel-1))^(2^F286)))</f>
        <v/>
      </c>
      <c r="M286" s="12" t="str">
        <f>IF(OR(D286="",E286=""),"",IF(IFERROR(INDEX(Stats!$D:$D,MATCH($C286,Stats!$A:$A,0)),FALSE),ROUND(D286+(E286-D286)*(1+G286)*((6-1)/(MaxLevel-1))^(2^F286),0),D286+(E286-D286)*(1+G286)*((6-1)/(MaxLevel-1))^(2^F286)))</f>
        <v/>
      </c>
      <c r="N286" s="12" t="str">
        <f>IF(OR(D286="",E286=""),"",IF(IFERROR(INDEX(Stats!$D:$D,MATCH($C286,Stats!$A:$A,0)),FALSE),ROUND(D286+(E286-D286)*(1+G286)*((7-1)/(MaxLevel-1))^(2^F286),0),D286+(E286-D286)*(1+G286)*((7-1)/(MaxLevel-1))^(2^F286)))</f>
        <v/>
      </c>
      <c r="O286" s="12" t="str">
        <f>IF(OR(D286="",E286=""),"",IF(IFERROR(INDEX(Stats!$D:$D,MATCH($C286,Stats!$A:$A,0)),FALSE),ROUND(D286+(E286-D286)*(1+G286)*((8-1)/(MaxLevel-1))^(2^F286),0),D286+(E286-D286)*(1+G286)*((8-1)/(MaxLevel-1))^(2^F286)))</f>
        <v/>
      </c>
      <c r="P286" s="12" t="str">
        <f>IF(OR(D286="",E286=""),"",IF(IFERROR(INDEX(Stats!$D:$D,MATCH($C286,Stats!$A:$A,0)),FALSE),ROUND(D286+(E286-D286)*(1+G286)*((9-1)/(MaxLevel-1))^(2^F286),0),D286+(E286-D286)*(1+G286)*((9-1)/(MaxLevel-1))^(2^F286)))</f>
        <v/>
      </c>
      <c r="Q286" s="12" t="str">
        <f>IF(OR(D286="",E286=""),"",IF(IFERROR(INDEX(Stats!$D:$D,MATCH($C286,Stats!$A:$A,0)),FALSE),ROUND(D286+(E286-D286)*(1+G286)*((10-1)/(MaxLevel-1))^(2^F286),0),D286+(E286-D286)*(1+G286)*((10-1)/(MaxLevel-1))^(2^F286)))</f>
        <v/>
      </c>
    </row>
    <row r="287" spans="1:17" x14ac:dyDescent="0.25">
      <c r="A287" s="4" t="s">
        <v>185</v>
      </c>
      <c r="B287" s="19" t="s">
        <v>230</v>
      </c>
      <c r="C287" s="4" t="s">
        <v>24</v>
      </c>
      <c r="D287" s="5">
        <v>0</v>
      </c>
      <c r="E287" s="5">
        <v>5000</v>
      </c>
      <c r="F287" s="5">
        <v>1</v>
      </c>
      <c r="G287" s="5">
        <v>0</v>
      </c>
      <c r="H287" s="12">
        <f>IF(OR(D287="",E287=""),"",IF(IFERROR(INDEX(Stats!$D:$D,MATCH($C287,Stats!$A:$A,0)),FALSE),ROUND(D287+(E287-D287)*(1+G287)*((1-1)/(MaxLevel-1))^(2^F287),0),D287+(E287-D287)*(1+G287)*((1-1)/(MaxLevel-1))^(2^F287)))</f>
        <v>0</v>
      </c>
      <c r="I287" s="12">
        <f>IF(OR(D287="",E287=""),"",IF(IFERROR(INDEX(Stats!$D:$D,MATCH($C287,Stats!$A:$A,0)),FALSE),ROUND(D287+(E287-D287)*(1+G287)*((2-1)/(MaxLevel-1))^(2^F287),0),D287+(E287-D287)*(1+G287)*((2-1)/(MaxLevel-1))^(2^F287)))</f>
        <v>62</v>
      </c>
      <c r="J287" s="12">
        <f>IF(OR(D287="",E287=""),"",IF(IFERROR(INDEX(Stats!$D:$D,MATCH($C287,Stats!$A:$A,0)),FALSE),ROUND(D287+(E287-D287)*(1+G287)*((3-1)/(MaxLevel-1))^(2^F287),0),D287+(E287-D287)*(1+G287)*((3-1)/(MaxLevel-1))^(2^F287)))</f>
        <v>247</v>
      </c>
      <c r="K287" s="12">
        <f>IF(OR(D287="",E287=""),"",IF(IFERROR(INDEX(Stats!$D:$D,MATCH($C287,Stats!$A:$A,0)),FALSE),ROUND(D287+(E287-D287)*(1+G287)*((4-1)/(MaxLevel-1))^(2^F287),0),D287+(E287-D287)*(1+G287)*((4-1)/(MaxLevel-1))^(2^F287)))</f>
        <v>556</v>
      </c>
      <c r="L287" s="12">
        <f>IF(OR(D287="",E287=""),"",IF(IFERROR(INDEX(Stats!$D:$D,MATCH($C287,Stats!$A:$A,0)),FALSE),ROUND(D287+(E287-D287)*(1+G287)*((5-1)/(MaxLevel-1))^(2^F287),0),D287+(E287-D287)*(1+G287)*((5-1)/(MaxLevel-1))^(2^F287)))</f>
        <v>988</v>
      </c>
      <c r="M287" s="12">
        <f>IF(OR(D287="",E287=""),"",IF(IFERROR(INDEX(Stats!$D:$D,MATCH($C287,Stats!$A:$A,0)),FALSE),ROUND(D287+(E287-D287)*(1+G287)*((6-1)/(MaxLevel-1))^(2^F287),0),D287+(E287-D287)*(1+G287)*((6-1)/(MaxLevel-1))^(2^F287)))</f>
        <v>1543</v>
      </c>
      <c r="N287" s="12">
        <f>IF(OR(D287="",E287=""),"",IF(IFERROR(INDEX(Stats!$D:$D,MATCH($C287,Stats!$A:$A,0)),FALSE),ROUND(D287+(E287-D287)*(1+G287)*((7-1)/(MaxLevel-1))^(2^F287),0),D287+(E287-D287)*(1+G287)*((7-1)/(MaxLevel-1))^(2^F287)))</f>
        <v>2222</v>
      </c>
      <c r="O287" s="12">
        <f>IF(OR(D287="",E287=""),"",IF(IFERROR(INDEX(Stats!$D:$D,MATCH($C287,Stats!$A:$A,0)),FALSE),ROUND(D287+(E287-D287)*(1+G287)*((8-1)/(MaxLevel-1))^(2^F287),0),D287+(E287-D287)*(1+G287)*((8-1)/(MaxLevel-1))^(2^F287)))</f>
        <v>3025</v>
      </c>
      <c r="P287" s="12">
        <f>IF(OR(D287="",E287=""),"",IF(IFERROR(INDEX(Stats!$D:$D,MATCH($C287,Stats!$A:$A,0)),FALSE),ROUND(D287+(E287-D287)*(1+G287)*((9-1)/(MaxLevel-1))^(2^F287),0),D287+(E287-D287)*(1+G287)*((9-1)/(MaxLevel-1))^(2^F287)))</f>
        <v>3951</v>
      </c>
      <c r="Q287" s="12">
        <f>IF(OR(D287="",E287=""),"",IF(IFERROR(INDEX(Stats!$D:$D,MATCH($C287,Stats!$A:$A,0)),FALSE),ROUND(D287+(E287-D287)*(1+G287)*((10-1)/(MaxLevel-1))^(2^F287),0),D287+(E287-D287)*(1+G287)*((10-1)/(MaxLevel-1))^(2^F287)))</f>
        <v>5000</v>
      </c>
    </row>
    <row r="288" spans="1:17" x14ac:dyDescent="0.25">
      <c r="A288" s="4" t="s">
        <v>185</v>
      </c>
      <c r="B288" s="19" t="s">
        <v>230</v>
      </c>
      <c r="C288" s="4" t="s">
        <v>26</v>
      </c>
      <c r="D288" s="5">
        <v>10</v>
      </c>
      <c r="E288" s="5">
        <v>80</v>
      </c>
      <c r="F288" s="5">
        <v>0</v>
      </c>
      <c r="G288" s="5">
        <v>0</v>
      </c>
      <c r="H288" s="12">
        <f>IF(OR(D288="",E288=""),"",IF(IFERROR(INDEX(Stats!$D:$D,MATCH($C288,Stats!$A:$A,0)),FALSE),ROUND(D288+(E288-D288)*(1+G288)*((1-1)/(MaxLevel-1))^(2^F288),0),D288+(E288-D288)*(1+G288)*((1-1)/(MaxLevel-1))^(2^F288)))</f>
        <v>10</v>
      </c>
      <c r="I288" s="12">
        <f>IF(OR(D288="",E288=""),"",IF(IFERROR(INDEX(Stats!$D:$D,MATCH($C288,Stats!$A:$A,0)),FALSE),ROUND(D288+(E288-D288)*(1+G288)*((2-1)/(MaxLevel-1))^(2^F288),0),D288+(E288-D288)*(1+G288)*((2-1)/(MaxLevel-1))^(2^F288)))</f>
        <v>18</v>
      </c>
      <c r="J288" s="12">
        <f>IF(OR(D288="",E288=""),"",IF(IFERROR(INDEX(Stats!$D:$D,MATCH($C288,Stats!$A:$A,0)),FALSE),ROUND(D288+(E288-D288)*(1+G288)*((3-1)/(MaxLevel-1))^(2^F288),0),D288+(E288-D288)*(1+G288)*((3-1)/(MaxLevel-1))^(2^F288)))</f>
        <v>26</v>
      </c>
      <c r="K288" s="12">
        <f>IF(OR(D288="",E288=""),"",IF(IFERROR(INDEX(Stats!$D:$D,MATCH($C288,Stats!$A:$A,0)),FALSE),ROUND(D288+(E288-D288)*(1+G288)*((4-1)/(MaxLevel-1))^(2^F288),0),D288+(E288-D288)*(1+G288)*((4-1)/(MaxLevel-1))^(2^F288)))</f>
        <v>33</v>
      </c>
      <c r="L288" s="12">
        <f>IF(OR(D288="",E288=""),"",IF(IFERROR(INDEX(Stats!$D:$D,MATCH($C288,Stats!$A:$A,0)),FALSE),ROUND(D288+(E288-D288)*(1+G288)*((5-1)/(MaxLevel-1))^(2^F288),0),D288+(E288-D288)*(1+G288)*((5-1)/(MaxLevel-1))^(2^F288)))</f>
        <v>41</v>
      </c>
      <c r="M288" s="12">
        <f>IF(OR(D288="",E288=""),"",IF(IFERROR(INDEX(Stats!$D:$D,MATCH($C288,Stats!$A:$A,0)),FALSE),ROUND(D288+(E288-D288)*(1+G288)*((6-1)/(MaxLevel-1))^(2^F288),0),D288+(E288-D288)*(1+G288)*((6-1)/(MaxLevel-1))^(2^F288)))</f>
        <v>49</v>
      </c>
      <c r="N288" s="12">
        <f>IF(OR(D288="",E288=""),"",IF(IFERROR(INDEX(Stats!$D:$D,MATCH($C288,Stats!$A:$A,0)),FALSE),ROUND(D288+(E288-D288)*(1+G288)*((7-1)/(MaxLevel-1))^(2^F288),0),D288+(E288-D288)*(1+G288)*((7-1)/(MaxLevel-1))^(2^F288)))</f>
        <v>57</v>
      </c>
      <c r="O288" s="12">
        <f>IF(OR(D288="",E288=""),"",IF(IFERROR(INDEX(Stats!$D:$D,MATCH($C288,Stats!$A:$A,0)),FALSE),ROUND(D288+(E288-D288)*(1+G288)*((8-1)/(MaxLevel-1))^(2^F288),0),D288+(E288-D288)*(1+G288)*((8-1)/(MaxLevel-1))^(2^F288)))</f>
        <v>64</v>
      </c>
      <c r="P288" s="12">
        <f>IF(OR(D288="",E288=""),"",IF(IFERROR(INDEX(Stats!$D:$D,MATCH($C288,Stats!$A:$A,0)),FALSE),ROUND(D288+(E288-D288)*(1+G288)*((9-1)/(MaxLevel-1))^(2^F288),0),D288+(E288-D288)*(1+G288)*((9-1)/(MaxLevel-1))^(2^F288)))</f>
        <v>72</v>
      </c>
      <c r="Q288" s="12">
        <f>IF(OR(D288="",E288=""),"",IF(IFERROR(INDEX(Stats!$D:$D,MATCH($C288,Stats!$A:$A,0)),FALSE),ROUND(D288+(E288-D288)*(1+G288)*((10-1)/(MaxLevel-1))^(2^F288),0),D288+(E288-D288)*(1+G288)*((10-1)/(MaxLevel-1))^(2^F288)))</f>
        <v>80</v>
      </c>
    </row>
    <row r="289" spans="1:17" x14ac:dyDescent="0.25">
      <c r="A289" s="4" t="s">
        <v>185</v>
      </c>
      <c r="B289" s="19" t="s">
        <v>230</v>
      </c>
      <c r="C289" s="4" t="s">
        <v>28</v>
      </c>
      <c r="D289" s="5">
        <v>80</v>
      </c>
      <c r="E289" s="5">
        <v>400</v>
      </c>
      <c r="F289" s="5">
        <v>-0.5</v>
      </c>
      <c r="G289" s="5">
        <v>0</v>
      </c>
      <c r="H289" s="12">
        <f>IF(OR(D289="",E289=""),"",IF(IFERROR(INDEX(Stats!$D:$D,MATCH($C289,Stats!$A:$A,0)),FALSE),ROUND(D289+(E289-D289)*(1+G289)*((1-1)/(MaxLevel-1))^(2^F289),0),D289+(E289-D289)*(1+G289)*((1-1)/(MaxLevel-1))^(2^F289)))</f>
        <v>80</v>
      </c>
      <c r="I289" s="12">
        <f>IF(OR(D289="",E289=""),"",IF(IFERROR(INDEX(Stats!$D:$D,MATCH($C289,Stats!$A:$A,0)),FALSE),ROUND(D289+(E289-D289)*(1+G289)*((2-1)/(MaxLevel-1))^(2^F289),0),D289+(E289-D289)*(1+G289)*((2-1)/(MaxLevel-1))^(2^F289)))</f>
        <v>148</v>
      </c>
      <c r="J289" s="12">
        <f>IF(OR(D289="",E289=""),"",IF(IFERROR(INDEX(Stats!$D:$D,MATCH($C289,Stats!$A:$A,0)),FALSE),ROUND(D289+(E289-D289)*(1+G289)*((3-1)/(MaxLevel-1))^(2^F289),0),D289+(E289-D289)*(1+G289)*((3-1)/(MaxLevel-1))^(2^F289)))</f>
        <v>190</v>
      </c>
      <c r="K289" s="12">
        <f>IF(OR(D289="",E289=""),"",IF(IFERROR(INDEX(Stats!$D:$D,MATCH($C289,Stats!$A:$A,0)),FALSE),ROUND(D289+(E289-D289)*(1+G289)*((4-1)/(MaxLevel-1))^(2^F289),0),D289+(E289-D289)*(1+G289)*((4-1)/(MaxLevel-1))^(2^F289)))</f>
        <v>227</v>
      </c>
      <c r="L289" s="12">
        <f>IF(OR(D289="",E289=""),"",IF(IFERROR(INDEX(Stats!$D:$D,MATCH($C289,Stats!$A:$A,0)),FALSE),ROUND(D289+(E289-D289)*(1+G289)*((5-1)/(MaxLevel-1))^(2^F289),0),D289+(E289-D289)*(1+G289)*((5-1)/(MaxLevel-1))^(2^F289)))</f>
        <v>260</v>
      </c>
      <c r="M289" s="12">
        <f>IF(OR(D289="",E289=""),"",IF(IFERROR(INDEX(Stats!$D:$D,MATCH($C289,Stats!$A:$A,0)),FALSE),ROUND(D289+(E289-D289)*(1+G289)*((6-1)/(MaxLevel-1))^(2^F289),0),D289+(E289-D289)*(1+G289)*((6-1)/(MaxLevel-1))^(2^F289)))</f>
        <v>291</v>
      </c>
      <c r="N289" s="12">
        <f>IF(OR(D289="",E289=""),"",IF(IFERROR(INDEX(Stats!$D:$D,MATCH($C289,Stats!$A:$A,0)),FALSE),ROUND(D289+(E289-D289)*(1+G289)*((7-1)/(MaxLevel-1))^(2^F289),0),D289+(E289-D289)*(1+G289)*((7-1)/(MaxLevel-1))^(2^F289)))</f>
        <v>320</v>
      </c>
      <c r="O289" s="12">
        <f>IF(OR(D289="",E289=""),"",IF(IFERROR(INDEX(Stats!$D:$D,MATCH($C289,Stats!$A:$A,0)),FALSE),ROUND(D289+(E289-D289)*(1+G289)*((8-1)/(MaxLevel-1))^(2^F289),0),D289+(E289-D289)*(1+G289)*((8-1)/(MaxLevel-1))^(2^F289)))</f>
        <v>348</v>
      </c>
      <c r="P289" s="12">
        <f>IF(OR(D289="",E289=""),"",IF(IFERROR(INDEX(Stats!$D:$D,MATCH($C289,Stats!$A:$A,0)),FALSE),ROUND(D289+(E289-D289)*(1+G289)*((9-1)/(MaxLevel-1))^(2^F289),0),D289+(E289-D289)*(1+G289)*((9-1)/(MaxLevel-1))^(2^F289)))</f>
        <v>374</v>
      </c>
      <c r="Q289" s="12">
        <f>IF(OR(D289="",E289=""),"",IF(IFERROR(INDEX(Stats!$D:$D,MATCH($C289,Stats!$A:$A,0)),FALSE),ROUND(D289+(E289-D289)*(1+G289)*((10-1)/(MaxLevel-1))^(2^F289),0),D289+(E289-D289)*(1+G289)*((10-1)/(MaxLevel-1))^(2^F289)))</f>
        <v>400</v>
      </c>
    </row>
    <row r="290" spans="1:17" x14ac:dyDescent="0.25">
      <c r="A290" s="4" t="s">
        <v>185</v>
      </c>
      <c r="B290" s="19" t="s">
        <v>230</v>
      </c>
      <c r="C290" s="4" t="s">
        <v>30</v>
      </c>
      <c r="D290" s="5"/>
      <c r="E290" s="5"/>
      <c r="F290" s="5"/>
      <c r="G290" s="5"/>
      <c r="H290" s="12" t="str">
        <f>IF(OR(D290="",E290=""),"",IF(IFERROR(INDEX(Stats!$D:$D,MATCH($C290,Stats!$A:$A,0)),FALSE),ROUND(D290+(E290-D290)*(1+G290)*((1-1)/(MaxLevel-1))^(2^F290),0),D290+(E290-D290)*(1+G290)*((1-1)/(MaxLevel-1))^(2^F290)))</f>
        <v/>
      </c>
      <c r="I290" s="12" t="str">
        <f>IF(OR(D290="",E290=""),"",IF(IFERROR(INDEX(Stats!$D:$D,MATCH($C290,Stats!$A:$A,0)),FALSE),ROUND(D290+(E290-D290)*(1+G290)*((2-1)/(MaxLevel-1))^(2^F290),0),D290+(E290-D290)*(1+G290)*((2-1)/(MaxLevel-1))^(2^F290)))</f>
        <v/>
      </c>
      <c r="J290" s="12" t="str">
        <f>IF(OR(D290="",E290=""),"",IF(IFERROR(INDEX(Stats!$D:$D,MATCH($C290,Stats!$A:$A,0)),FALSE),ROUND(D290+(E290-D290)*(1+G290)*((3-1)/(MaxLevel-1))^(2^F290),0),D290+(E290-D290)*(1+G290)*((3-1)/(MaxLevel-1))^(2^F290)))</f>
        <v/>
      </c>
      <c r="K290" s="12" t="str">
        <f>IF(OR(D290="",E290=""),"",IF(IFERROR(INDEX(Stats!$D:$D,MATCH($C290,Stats!$A:$A,0)),FALSE),ROUND(D290+(E290-D290)*(1+G290)*((4-1)/(MaxLevel-1))^(2^F290),0),D290+(E290-D290)*(1+G290)*((4-1)/(MaxLevel-1))^(2^F290)))</f>
        <v/>
      </c>
      <c r="L290" s="12" t="str">
        <f>IF(OR(D290="",E290=""),"",IF(IFERROR(INDEX(Stats!$D:$D,MATCH($C290,Stats!$A:$A,0)),FALSE),ROUND(D290+(E290-D290)*(1+G290)*((5-1)/(MaxLevel-1))^(2^F290),0),D290+(E290-D290)*(1+G290)*((5-1)/(MaxLevel-1))^(2^F290)))</f>
        <v/>
      </c>
      <c r="M290" s="12" t="str">
        <f>IF(OR(D290="",E290=""),"",IF(IFERROR(INDEX(Stats!$D:$D,MATCH($C290,Stats!$A:$A,0)),FALSE),ROUND(D290+(E290-D290)*(1+G290)*((6-1)/(MaxLevel-1))^(2^F290),0),D290+(E290-D290)*(1+G290)*((6-1)/(MaxLevel-1))^(2^F290)))</f>
        <v/>
      </c>
      <c r="N290" s="12" t="str">
        <f>IF(OR(D290="",E290=""),"",IF(IFERROR(INDEX(Stats!$D:$D,MATCH($C290,Stats!$A:$A,0)),FALSE),ROUND(D290+(E290-D290)*(1+G290)*((7-1)/(MaxLevel-1))^(2^F290),0),D290+(E290-D290)*(1+G290)*((7-1)/(MaxLevel-1))^(2^F290)))</f>
        <v/>
      </c>
      <c r="O290" s="12" t="str">
        <f>IF(OR(D290="",E290=""),"",IF(IFERROR(INDEX(Stats!$D:$D,MATCH($C290,Stats!$A:$A,0)),FALSE),ROUND(D290+(E290-D290)*(1+G290)*((8-1)/(MaxLevel-1))^(2^F290),0),D290+(E290-D290)*(1+G290)*((8-1)/(MaxLevel-1))^(2^F290)))</f>
        <v/>
      </c>
      <c r="P290" s="12" t="str">
        <f>IF(OR(D290="",E290=""),"",IF(IFERROR(INDEX(Stats!$D:$D,MATCH($C290,Stats!$A:$A,0)),FALSE),ROUND(D290+(E290-D290)*(1+G290)*((9-1)/(MaxLevel-1))^(2^F290),0),D290+(E290-D290)*(1+G290)*((9-1)/(MaxLevel-1))^(2^F290)))</f>
        <v/>
      </c>
      <c r="Q290" s="12" t="str">
        <f>IF(OR(D290="",E290=""),"",IF(IFERROR(INDEX(Stats!$D:$D,MATCH($C290,Stats!$A:$A,0)),FALSE),ROUND(D290+(E290-D290)*(1+G290)*((10-1)/(MaxLevel-1))^(2^F290),0),D290+(E290-D290)*(1+G290)*((10-1)/(MaxLevel-1))^(2^F290)))</f>
        <v/>
      </c>
    </row>
    <row r="291" spans="1:17" x14ac:dyDescent="0.25">
      <c r="A291" s="4" t="s">
        <v>185</v>
      </c>
      <c r="B291" s="19" t="s">
        <v>230</v>
      </c>
      <c r="C291" s="4" t="s">
        <v>32</v>
      </c>
      <c r="D291" s="5"/>
      <c r="E291" s="5"/>
      <c r="F291" s="5"/>
      <c r="G291" s="5"/>
      <c r="H291" s="12" t="str">
        <f>IF(OR(D291="",E291=""),"",IF(IFERROR(INDEX(Stats!$D:$D,MATCH($C291,Stats!$A:$A,0)),FALSE),ROUND(D291+(E291-D291)*(1+G291)*((1-1)/(MaxLevel-1))^(2^F291),0),D291+(E291-D291)*(1+G291)*((1-1)/(MaxLevel-1))^(2^F291)))</f>
        <v/>
      </c>
      <c r="I291" s="12" t="str">
        <f>IF(OR(D291="",E291=""),"",IF(IFERROR(INDEX(Stats!$D:$D,MATCH($C291,Stats!$A:$A,0)),FALSE),ROUND(D291+(E291-D291)*(1+G291)*((2-1)/(MaxLevel-1))^(2^F291),0),D291+(E291-D291)*(1+G291)*((2-1)/(MaxLevel-1))^(2^F291)))</f>
        <v/>
      </c>
      <c r="J291" s="12" t="str">
        <f>IF(OR(D291="",E291=""),"",IF(IFERROR(INDEX(Stats!$D:$D,MATCH($C291,Stats!$A:$A,0)),FALSE),ROUND(D291+(E291-D291)*(1+G291)*((3-1)/(MaxLevel-1))^(2^F291),0),D291+(E291-D291)*(1+G291)*((3-1)/(MaxLevel-1))^(2^F291)))</f>
        <v/>
      </c>
      <c r="K291" s="12" t="str">
        <f>IF(OR(D291="",E291=""),"",IF(IFERROR(INDEX(Stats!$D:$D,MATCH($C291,Stats!$A:$A,0)),FALSE),ROUND(D291+(E291-D291)*(1+G291)*((4-1)/(MaxLevel-1))^(2^F291),0),D291+(E291-D291)*(1+G291)*((4-1)/(MaxLevel-1))^(2^F291)))</f>
        <v/>
      </c>
      <c r="L291" s="12" t="str">
        <f>IF(OR(D291="",E291=""),"",IF(IFERROR(INDEX(Stats!$D:$D,MATCH($C291,Stats!$A:$A,0)),FALSE),ROUND(D291+(E291-D291)*(1+G291)*((5-1)/(MaxLevel-1))^(2^F291),0),D291+(E291-D291)*(1+G291)*((5-1)/(MaxLevel-1))^(2^F291)))</f>
        <v/>
      </c>
      <c r="M291" s="12" t="str">
        <f>IF(OR(D291="",E291=""),"",IF(IFERROR(INDEX(Stats!$D:$D,MATCH($C291,Stats!$A:$A,0)),FALSE),ROUND(D291+(E291-D291)*(1+G291)*((6-1)/(MaxLevel-1))^(2^F291),0),D291+(E291-D291)*(1+G291)*((6-1)/(MaxLevel-1))^(2^F291)))</f>
        <v/>
      </c>
      <c r="N291" s="12" t="str">
        <f>IF(OR(D291="",E291=""),"",IF(IFERROR(INDEX(Stats!$D:$D,MATCH($C291,Stats!$A:$A,0)),FALSE),ROUND(D291+(E291-D291)*(1+G291)*((7-1)/(MaxLevel-1))^(2^F291),0),D291+(E291-D291)*(1+G291)*((7-1)/(MaxLevel-1))^(2^F291)))</f>
        <v/>
      </c>
      <c r="O291" s="12" t="str">
        <f>IF(OR(D291="",E291=""),"",IF(IFERROR(INDEX(Stats!$D:$D,MATCH($C291,Stats!$A:$A,0)),FALSE),ROUND(D291+(E291-D291)*(1+G291)*((8-1)/(MaxLevel-1))^(2^F291),0),D291+(E291-D291)*(1+G291)*((8-1)/(MaxLevel-1))^(2^F291)))</f>
        <v/>
      </c>
      <c r="P291" s="12" t="str">
        <f>IF(OR(D291="",E291=""),"",IF(IFERROR(INDEX(Stats!$D:$D,MATCH($C291,Stats!$A:$A,0)),FALSE),ROUND(D291+(E291-D291)*(1+G291)*((9-1)/(MaxLevel-1))^(2^F291),0),D291+(E291-D291)*(1+G291)*((9-1)/(MaxLevel-1))^(2^F291)))</f>
        <v/>
      </c>
      <c r="Q291" s="12" t="str">
        <f>IF(OR(D291="",E291=""),"",IF(IFERROR(INDEX(Stats!$D:$D,MATCH($C291,Stats!$A:$A,0)),FALSE),ROUND(D291+(E291-D291)*(1+G291)*((10-1)/(MaxLevel-1))^(2^F291),0),D291+(E291-D291)*(1+G291)*((10-1)/(MaxLevel-1))^(2^F291)))</f>
        <v/>
      </c>
    </row>
    <row r="292" spans="1:17" x14ac:dyDescent="0.25">
      <c r="A292" s="4" t="s">
        <v>185</v>
      </c>
      <c r="B292" s="19" t="s">
        <v>230</v>
      </c>
      <c r="C292" s="4" t="s">
        <v>34</v>
      </c>
      <c r="D292" s="5"/>
      <c r="E292" s="5"/>
      <c r="F292" s="5"/>
      <c r="G292" s="5"/>
      <c r="H292" s="12" t="str">
        <f>IF(OR(D292="",E292=""),"",IF(IFERROR(INDEX(Stats!$D:$D,MATCH($C292,Stats!$A:$A,0)),FALSE),ROUND(D292+(E292-D292)*(1+G292)*((1-1)/(MaxLevel-1))^(2^F292),0),D292+(E292-D292)*(1+G292)*((1-1)/(MaxLevel-1))^(2^F292)))</f>
        <v/>
      </c>
      <c r="I292" s="12" t="str">
        <f>IF(OR(D292="",E292=""),"",IF(IFERROR(INDEX(Stats!$D:$D,MATCH($C292,Stats!$A:$A,0)),FALSE),ROUND(D292+(E292-D292)*(1+G292)*((2-1)/(MaxLevel-1))^(2^F292),0),D292+(E292-D292)*(1+G292)*((2-1)/(MaxLevel-1))^(2^F292)))</f>
        <v/>
      </c>
      <c r="J292" s="12" t="str">
        <f>IF(OR(D292="",E292=""),"",IF(IFERROR(INDEX(Stats!$D:$D,MATCH($C292,Stats!$A:$A,0)),FALSE),ROUND(D292+(E292-D292)*(1+G292)*((3-1)/(MaxLevel-1))^(2^F292),0),D292+(E292-D292)*(1+G292)*((3-1)/(MaxLevel-1))^(2^F292)))</f>
        <v/>
      </c>
      <c r="K292" s="12" t="str">
        <f>IF(OR(D292="",E292=""),"",IF(IFERROR(INDEX(Stats!$D:$D,MATCH($C292,Stats!$A:$A,0)),FALSE),ROUND(D292+(E292-D292)*(1+G292)*((4-1)/(MaxLevel-1))^(2^F292),0),D292+(E292-D292)*(1+G292)*((4-1)/(MaxLevel-1))^(2^F292)))</f>
        <v/>
      </c>
      <c r="L292" s="12" t="str">
        <f>IF(OR(D292="",E292=""),"",IF(IFERROR(INDEX(Stats!$D:$D,MATCH($C292,Stats!$A:$A,0)),FALSE),ROUND(D292+(E292-D292)*(1+G292)*((5-1)/(MaxLevel-1))^(2^F292),0),D292+(E292-D292)*(1+G292)*((5-1)/(MaxLevel-1))^(2^F292)))</f>
        <v/>
      </c>
      <c r="M292" s="12" t="str">
        <f>IF(OR(D292="",E292=""),"",IF(IFERROR(INDEX(Stats!$D:$D,MATCH($C292,Stats!$A:$A,0)),FALSE),ROUND(D292+(E292-D292)*(1+G292)*((6-1)/(MaxLevel-1))^(2^F292),0),D292+(E292-D292)*(1+G292)*((6-1)/(MaxLevel-1))^(2^F292)))</f>
        <v/>
      </c>
      <c r="N292" s="12" t="str">
        <f>IF(OR(D292="",E292=""),"",IF(IFERROR(INDEX(Stats!$D:$D,MATCH($C292,Stats!$A:$A,0)),FALSE),ROUND(D292+(E292-D292)*(1+G292)*((7-1)/(MaxLevel-1))^(2^F292),0),D292+(E292-D292)*(1+G292)*((7-1)/(MaxLevel-1))^(2^F292)))</f>
        <v/>
      </c>
      <c r="O292" s="12" t="str">
        <f>IF(OR(D292="",E292=""),"",IF(IFERROR(INDEX(Stats!$D:$D,MATCH($C292,Stats!$A:$A,0)),FALSE),ROUND(D292+(E292-D292)*(1+G292)*((8-1)/(MaxLevel-1))^(2^F292),0),D292+(E292-D292)*(1+G292)*((8-1)/(MaxLevel-1))^(2^F292)))</f>
        <v/>
      </c>
      <c r="P292" s="12" t="str">
        <f>IF(OR(D292="",E292=""),"",IF(IFERROR(INDEX(Stats!$D:$D,MATCH($C292,Stats!$A:$A,0)),FALSE),ROUND(D292+(E292-D292)*(1+G292)*((9-1)/(MaxLevel-1))^(2^F292),0),D292+(E292-D292)*(1+G292)*((9-1)/(MaxLevel-1))^(2^F292)))</f>
        <v/>
      </c>
      <c r="Q292" s="12" t="str">
        <f>IF(OR(D292="",E292=""),"",IF(IFERROR(INDEX(Stats!$D:$D,MATCH($C292,Stats!$A:$A,0)),FALSE),ROUND(D292+(E292-D292)*(1+G292)*((10-1)/(MaxLevel-1))^(2^F292),0),D292+(E292-D292)*(1+G292)*((10-1)/(MaxLevel-1))^(2^F292)))</f>
        <v/>
      </c>
    </row>
    <row r="293" spans="1:17" x14ac:dyDescent="0.25">
      <c r="A293" s="4" t="s">
        <v>185</v>
      </c>
      <c r="B293" s="19" t="s">
        <v>230</v>
      </c>
      <c r="C293" s="4" t="s">
        <v>36</v>
      </c>
      <c r="D293" s="5"/>
      <c r="E293" s="5"/>
      <c r="F293" s="5"/>
      <c r="G293" s="5"/>
      <c r="H293" s="12" t="str">
        <f>IF(OR(D293="",E293=""),"",IF(IFERROR(INDEX(Stats!$D:$D,MATCH($C293,Stats!$A:$A,0)),FALSE),ROUND(D293+(E293-D293)*(1+G293)*((1-1)/(MaxLevel-1))^(2^F293),0),D293+(E293-D293)*(1+G293)*((1-1)/(MaxLevel-1))^(2^F293)))</f>
        <v/>
      </c>
      <c r="I293" s="12" t="str">
        <f>IF(OR(D293="",E293=""),"",IF(IFERROR(INDEX(Stats!$D:$D,MATCH($C293,Stats!$A:$A,0)),FALSE),ROUND(D293+(E293-D293)*(1+G293)*((2-1)/(MaxLevel-1))^(2^F293),0),D293+(E293-D293)*(1+G293)*((2-1)/(MaxLevel-1))^(2^F293)))</f>
        <v/>
      </c>
      <c r="J293" s="12" t="str">
        <f>IF(OR(D293="",E293=""),"",IF(IFERROR(INDEX(Stats!$D:$D,MATCH($C293,Stats!$A:$A,0)),FALSE),ROUND(D293+(E293-D293)*(1+G293)*((3-1)/(MaxLevel-1))^(2^F293),0),D293+(E293-D293)*(1+G293)*((3-1)/(MaxLevel-1))^(2^F293)))</f>
        <v/>
      </c>
      <c r="K293" s="12" t="str">
        <f>IF(OR(D293="",E293=""),"",IF(IFERROR(INDEX(Stats!$D:$D,MATCH($C293,Stats!$A:$A,0)),FALSE),ROUND(D293+(E293-D293)*(1+G293)*((4-1)/(MaxLevel-1))^(2^F293),0),D293+(E293-D293)*(1+G293)*((4-1)/(MaxLevel-1))^(2^F293)))</f>
        <v/>
      </c>
      <c r="L293" s="12" t="str">
        <f>IF(OR(D293="",E293=""),"",IF(IFERROR(INDEX(Stats!$D:$D,MATCH($C293,Stats!$A:$A,0)),FALSE),ROUND(D293+(E293-D293)*(1+G293)*((5-1)/(MaxLevel-1))^(2^F293),0),D293+(E293-D293)*(1+G293)*((5-1)/(MaxLevel-1))^(2^F293)))</f>
        <v/>
      </c>
      <c r="M293" s="12" t="str">
        <f>IF(OR(D293="",E293=""),"",IF(IFERROR(INDEX(Stats!$D:$D,MATCH($C293,Stats!$A:$A,0)),FALSE),ROUND(D293+(E293-D293)*(1+G293)*((6-1)/(MaxLevel-1))^(2^F293),0),D293+(E293-D293)*(1+G293)*((6-1)/(MaxLevel-1))^(2^F293)))</f>
        <v/>
      </c>
      <c r="N293" s="12" t="str">
        <f>IF(OR(D293="",E293=""),"",IF(IFERROR(INDEX(Stats!$D:$D,MATCH($C293,Stats!$A:$A,0)),FALSE),ROUND(D293+(E293-D293)*(1+G293)*((7-1)/(MaxLevel-1))^(2^F293),0),D293+(E293-D293)*(1+G293)*((7-1)/(MaxLevel-1))^(2^F293)))</f>
        <v/>
      </c>
      <c r="O293" s="12" t="str">
        <f>IF(OR(D293="",E293=""),"",IF(IFERROR(INDEX(Stats!$D:$D,MATCH($C293,Stats!$A:$A,0)),FALSE),ROUND(D293+(E293-D293)*(1+G293)*((8-1)/(MaxLevel-1))^(2^F293),0),D293+(E293-D293)*(1+G293)*((8-1)/(MaxLevel-1))^(2^F293)))</f>
        <v/>
      </c>
      <c r="P293" s="12" t="str">
        <f>IF(OR(D293="",E293=""),"",IF(IFERROR(INDEX(Stats!$D:$D,MATCH($C293,Stats!$A:$A,0)),FALSE),ROUND(D293+(E293-D293)*(1+G293)*((9-1)/(MaxLevel-1))^(2^F293),0),D293+(E293-D293)*(1+G293)*((9-1)/(MaxLevel-1))^(2^F293)))</f>
        <v/>
      </c>
      <c r="Q293" s="12" t="str">
        <f>IF(OR(D293="",E293=""),"",IF(IFERROR(INDEX(Stats!$D:$D,MATCH($C293,Stats!$A:$A,0)),FALSE),ROUND(D293+(E293-D293)*(1+G293)*((10-1)/(MaxLevel-1))^(2^F293),0),D293+(E293-D293)*(1+G293)*((10-1)/(MaxLevel-1))^(2^F293)))</f>
        <v/>
      </c>
    </row>
    <row r="294" spans="1:17" x14ac:dyDescent="0.25">
      <c r="A294" s="4" t="s">
        <v>185</v>
      </c>
      <c r="B294" s="19" t="s">
        <v>230</v>
      </c>
      <c r="C294" s="4" t="s">
        <v>38</v>
      </c>
      <c r="D294" s="5">
        <v>1.5</v>
      </c>
      <c r="E294" s="5">
        <v>2</v>
      </c>
      <c r="F294" s="5">
        <v>-1</v>
      </c>
      <c r="G294" s="5">
        <v>0</v>
      </c>
      <c r="H294" s="12">
        <f>IF(OR(D294="",E294=""),"",IF(IFERROR(INDEX(Stats!$D:$D,MATCH($C294,Stats!$A:$A,0)),FALSE),ROUND(D294+(E294-D294)*(1+G294)*((1-1)/(MaxLevel-1))^(2^F294),0),D294+(E294-D294)*(1+G294)*((1-1)/(MaxLevel-1))^(2^F294)))</f>
        <v>1.5</v>
      </c>
      <c r="I294" s="12">
        <f>IF(OR(D294="",E294=""),"",IF(IFERROR(INDEX(Stats!$D:$D,MATCH($C294,Stats!$A:$A,0)),FALSE),ROUND(D294+(E294-D294)*(1+G294)*((2-1)/(MaxLevel-1))^(2^F294),0),D294+(E294-D294)*(1+G294)*((2-1)/(MaxLevel-1))^(2^F294)))</f>
        <v>1.6666666666666667</v>
      </c>
      <c r="J294" s="12">
        <f>IF(OR(D294="",E294=""),"",IF(IFERROR(INDEX(Stats!$D:$D,MATCH($C294,Stats!$A:$A,0)),FALSE),ROUND(D294+(E294-D294)*(1+G294)*((3-1)/(MaxLevel-1))^(2^F294),0),D294+(E294-D294)*(1+G294)*((3-1)/(MaxLevel-1))^(2^F294)))</f>
        <v>1.7357022603955159</v>
      </c>
      <c r="K294" s="12">
        <f>IF(OR(D294="",E294=""),"",IF(IFERROR(INDEX(Stats!$D:$D,MATCH($C294,Stats!$A:$A,0)),FALSE),ROUND(D294+(E294-D294)*(1+G294)*((4-1)/(MaxLevel-1))^(2^F294),0),D294+(E294-D294)*(1+G294)*((4-1)/(MaxLevel-1))^(2^F294)))</f>
        <v>1.7886751345948129</v>
      </c>
      <c r="L294" s="12">
        <f>IF(OR(D294="",E294=""),"",IF(IFERROR(INDEX(Stats!$D:$D,MATCH($C294,Stats!$A:$A,0)),FALSE),ROUND(D294+(E294-D294)*(1+G294)*((5-1)/(MaxLevel-1))^(2^F294),0),D294+(E294-D294)*(1+G294)*((5-1)/(MaxLevel-1))^(2^F294)))</f>
        <v>1.8333333333333333</v>
      </c>
      <c r="M294" s="12">
        <f>IF(OR(D294="",E294=""),"",IF(IFERROR(INDEX(Stats!$D:$D,MATCH($C294,Stats!$A:$A,0)),FALSE),ROUND(D294+(E294-D294)*(1+G294)*((6-1)/(MaxLevel-1))^(2^F294),0),D294+(E294-D294)*(1+G294)*((6-1)/(MaxLevel-1))^(2^F294)))</f>
        <v>1.8726779962499649</v>
      </c>
      <c r="N294" s="12">
        <f>IF(OR(D294="",E294=""),"",IF(IFERROR(INDEX(Stats!$D:$D,MATCH($C294,Stats!$A:$A,0)),FALSE),ROUND(D294+(E294-D294)*(1+G294)*((7-1)/(MaxLevel-1))^(2^F294),0),D294+(E294-D294)*(1+G294)*((7-1)/(MaxLevel-1))^(2^F294)))</f>
        <v>1.9082482904638631</v>
      </c>
      <c r="O294" s="12">
        <f>IF(OR(D294="",E294=""),"",IF(IFERROR(INDEX(Stats!$D:$D,MATCH($C294,Stats!$A:$A,0)),FALSE),ROUND(D294+(E294-D294)*(1+G294)*((8-1)/(MaxLevel-1))^(2^F294),0),D294+(E294-D294)*(1+G294)*((8-1)/(MaxLevel-1))^(2^F294)))</f>
        <v>1.9409585518440984</v>
      </c>
      <c r="P294" s="12">
        <f>IF(OR(D294="",E294=""),"",IF(IFERROR(INDEX(Stats!$D:$D,MATCH($C294,Stats!$A:$A,0)),FALSE),ROUND(D294+(E294-D294)*(1+G294)*((9-1)/(MaxLevel-1))^(2^F294),0),D294+(E294-D294)*(1+G294)*((9-1)/(MaxLevel-1))^(2^F294)))</f>
        <v>1.9714045207910318</v>
      </c>
      <c r="Q294" s="12">
        <f>IF(OR(D294="",E294=""),"",IF(IFERROR(INDEX(Stats!$D:$D,MATCH($C294,Stats!$A:$A,0)),FALSE),ROUND(D294+(E294-D294)*(1+G294)*((10-1)/(MaxLevel-1))^(2^F294),0),D294+(E294-D294)*(1+G294)*((10-1)/(MaxLevel-1))^(2^F294)))</f>
        <v>2</v>
      </c>
    </row>
    <row r="295" spans="1:17" x14ac:dyDescent="0.25">
      <c r="A295" s="4" t="s">
        <v>185</v>
      </c>
      <c r="B295" s="19" t="s">
        <v>230</v>
      </c>
      <c r="C295" s="4" t="s">
        <v>40</v>
      </c>
      <c r="D295" s="5">
        <v>20</v>
      </c>
      <c r="E295" s="5">
        <v>100</v>
      </c>
      <c r="F295" s="5">
        <v>1</v>
      </c>
      <c r="G295" s="5">
        <v>0.1</v>
      </c>
      <c r="H295" s="12">
        <f>IF(OR(D295="",E295=""),"",IF(IFERROR(INDEX(Stats!$D:$D,MATCH($C295,Stats!$A:$A,0)),FALSE),ROUND(D295+(E295-D295)*(1+G295)*((1-1)/(MaxLevel-1))^(2^F295),0),D295+(E295-D295)*(1+G295)*((1-1)/(MaxLevel-1))^(2^F295)))</f>
        <v>20</v>
      </c>
      <c r="I295" s="12">
        <f>IF(OR(D295="",E295=""),"",IF(IFERROR(INDEX(Stats!$D:$D,MATCH($C295,Stats!$A:$A,0)),FALSE),ROUND(D295+(E295-D295)*(1+G295)*((2-1)/(MaxLevel-1))^(2^F295),0),D295+(E295-D295)*(1+G295)*((2-1)/(MaxLevel-1))^(2^F295)))</f>
        <v>21</v>
      </c>
      <c r="J295" s="12">
        <f>IF(OR(D295="",E295=""),"",IF(IFERROR(INDEX(Stats!$D:$D,MATCH($C295,Stats!$A:$A,0)),FALSE),ROUND(D295+(E295-D295)*(1+G295)*((3-1)/(MaxLevel-1))^(2^F295),0),D295+(E295-D295)*(1+G295)*((3-1)/(MaxLevel-1))^(2^F295)))</f>
        <v>24</v>
      </c>
      <c r="K295" s="12">
        <f>IF(OR(D295="",E295=""),"",IF(IFERROR(INDEX(Stats!$D:$D,MATCH($C295,Stats!$A:$A,0)),FALSE),ROUND(D295+(E295-D295)*(1+G295)*((4-1)/(MaxLevel-1))^(2^F295),0),D295+(E295-D295)*(1+G295)*((4-1)/(MaxLevel-1))^(2^F295)))</f>
        <v>30</v>
      </c>
      <c r="L295" s="12">
        <f>IF(OR(D295="",E295=""),"",IF(IFERROR(INDEX(Stats!$D:$D,MATCH($C295,Stats!$A:$A,0)),FALSE),ROUND(D295+(E295-D295)*(1+G295)*((5-1)/(MaxLevel-1))^(2^F295),0),D295+(E295-D295)*(1+G295)*((5-1)/(MaxLevel-1))^(2^F295)))</f>
        <v>37</v>
      </c>
      <c r="M295" s="12">
        <f>IF(OR(D295="",E295=""),"",IF(IFERROR(INDEX(Stats!$D:$D,MATCH($C295,Stats!$A:$A,0)),FALSE),ROUND(D295+(E295-D295)*(1+G295)*((6-1)/(MaxLevel-1))^(2^F295),0),D295+(E295-D295)*(1+G295)*((6-1)/(MaxLevel-1))^(2^F295)))</f>
        <v>47</v>
      </c>
      <c r="N295" s="12">
        <f>IF(OR(D295="",E295=""),"",IF(IFERROR(INDEX(Stats!$D:$D,MATCH($C295,Stats!$A:$A,0)),FALSE),ROUND(D295+(E295-D295)*(1+G295)*((7-1)/(MaxLevel-1))^(2^F295),0),D295+(E295-D295)*(1+G295)*((7-1)/(MaxLevel-1))^(2^F295)))</f>
        <v>59</v>
      </c>
      <c r="O295" s="12">
        <f>IF(OR(D295="",E295=""),"",IF(IFERROR(INDEX(Stats!$D:$D,MATCH($C295,Stats!$A:$A,0)),FALSE),ROUND(D295+(E295-D295)*(1+G295)*((8-1)/(MaxLevel-1))^(2^F295),0),D295+(E295-D295)*(1+G295)*((8-1)/(MaxLevel-1))^(2^F295)))</f>
        <v>73</v>
      </c>
      <c r="P295" s="12">
        <f>IF(OR(D295="",E295=""),"",IF(IFERROR(INDEX(Stats!$D:$D,MATCH($C295,Stats!$A:$A,0)),FALSE),ROUND(D295+(E295-D295)*(1+G295)*((9-1)/(MaxLevel-1))^(2^F295),0),D295+(E295-D295)*(1+G295)*((9-1)/(MaxLevel-1))^(2^F295)))</f>
        <v>90</v>
      </c>
      <c r="Q295" s="12">
        <f>IF(OR(D295="",E295=""),"",IF(IFERROR(INDEX(Stats!$D:$D,MATCH($C295,Stats!$A:$A,0)),FALSE),ROUND(D295+(E295-D295)*(1+G295)*((10-1)/(MaxLevel-1))^(2^F295),0),D295+(E295-D295)*(1+G295)*((10-1)/(MaxLevel-1))^(2^F295)))</f>
        <v>108</v>
      </c>
    </row>
    <row r="296" spans="1:17" x14ac:dyDescent="0.25">
      <c r="A296" s="4" t="s">
        <v>185</v>
      </c>
      <c r="B296" s="19" t="s">
        <v>230</v>
      </c>
      <c r="C296" s="4" t="s">
        <v>42</v>
      </c>
      <c r="D296" s="5"/>
      <c r="E296" s="5"/>
      <c r="F296" s="5"/>
      <c r="G296" s="5"/>
      <c r="H296" s="12" t="str">
        <f>IF(OR(D296="",E296=""),"",IF(IFERROR(INDEX(Stats!$D:$D,MATCH($C296,Stats!$A:$A,0)),FALSE),ROUND(D296+(E296-D296)*(1+G296)*((1-1)/(MaxLevel-1))^(2^F296),0),D296+(E296-D296)*(1+G296)*((1-1)/(MaxLevel-1))^(2^F296)))</f>
        <v/>
      </c>
      <c r="I296" s="12" t="str">
        <f>IF(OR(D296="",E296=""),"",IF(IFERROR(INDEX(Stats!$D:$D,MATCH($C296,Stats!$A:$A,0)),FALSE),ROUND(D296+(E296-D296)*(1+G296)*((2-1)/(MaxLevel-1))^(2^F296),0),D296+(E296-D296)*(1+G296)*((2-1)/(MaxLevel-1))^(2^F296)))</f>
        <v/>
      </c>
      <c r="J296" s="12" t="str">
        <f>IF(OR(D296="",E296=""),"",IF(IFERROR(INDEX(Stats!$D:$D,MATCH($C296,Stats!$A:$A,0)),FALSE),ROUND(D296+(E296-D296)*(1+G296)*((3-1)/(MaxLevel-1))^(2^F296),0),D296+(E296-D296)*(1+G296)*((3-1)/(MaxLevel-1))^(2^F296)))</f>
        <v/>
      </c>
      <c r="K296" s="12" t="str">
        <f>IF(OR(D296="",E296=""),"",IF(IFERROR(INDEX(Stats!$D:$D,MATCH($C296,Stats!$A:$A,0)),FALSE),ROUND(D296+(E296-D296)*(1+G296)*((4-1)/(MaxLevel-1))^(2^F296),0),D296+(E296-D296)*(1+G296)*((4-1)/(MaxLevel-1))^(2^F296)))</f>
        <v/>
      </c>
      <c r="L296" s="12" t="str">
        <f>IF(OR(D296="",E296=""),"",IF(IFERROR(INDEX(Stats!$D:$D,MATCH($C296,Stats!$A:$A,0)),FALSE),ROUND(D296+(E296-D296)*(1+G296)*((5-1)/(MaxLevel-1))^(2^F296),0),D296+(E296-D296)*(1+G296)*((5-1)/(MaxLevel-1))^(2^F296)))</f>
        <v/>
      </c>
      <c r="M296" s="12" t="str">
        <f>IF(OR(D296="",E296=""),"",IF(IFERROR(INDEX(Stats!$D:$D,MATCH($C296,Stats!$A:$A,0)),FALSE),ROUND(D296+(E296-D296)*(1+G296)*((6-1)/(MaxLevel-1))^(2^F296),0),D296+(E296-D296)*(1+G296)*((6-1)/(MaxLevel-1))^(2^F296)))</f>
        <v/>
      </c>
      <c r="N296" s="12" t="str">
        <f>IF(OR(D296="",E296=""),"",IF(IFERROR(INDEX(Stats!$D:$D,MATCH($C296,Stats!$A:$A,0)),FALSE),ROUND(D296+(E296-D296)*(1+G296)*((7-1)/(MaxLevel-1))^(2^F296),0),D296+(E296-D296)*(1+G296)*((7-1)/(MaxLevel-1))^(2^F296)))</f>
        <v/>
      </c>
      <c r="O296" s="12" t="str">
        <f>IF(OR(D296="",E296=""),"",IF(IFERROR(INDEX(Stats!$D:$D,MATCH($C296,Stats!$A:$A,0)),FALSE),ROUND(D296+(E296-D296)*(1+G296)*((8-1)/(MaxLevel-1))^(2^F296),0),D296+(E296-D296)*(1+G296)*((8-1)/(MaxLevel-1))^(2^F296)))</f>
        <v/>
      </c>
      <c r="P296" s="12" t="str">
        <f>IF(OR(D296="",E296=""),"",IF(IFERROR(INDEX(Stats!$D:$D,MATCH($C296,Stats!$A:$A,0)),FALSE),ROUND(D296+(E296-D296)*(1+G296)*((9-1)/(MaxLevel-1))^(2^F296),0),D296+(E296-D296)*(1+G296)*((9-1)/(MaxLevel-1))^(2^F296)))</f>
        <v/>
      </c>
      <c r="Q296" s="12" t="str">
        <f>IF(OR(D296="",E296=""),"",IF(IFERROR(INDEX(Stats!$D:$D,MATCH($C296,Stats!$A:$A,0)),FALSE),ROUND(D296+(E296-D296)*(1+G296)*((10-1)/(MaxLevel-1))^(2^F296),0),D296+(E296-D296)*(1+G296)*((10-1)/(MaxLevel-1))^(2^F296)))</f>
        <v/>
      </c>
    </row>
    <row r="297" spans="1:17" x14ac:dyDescent="0.25">
      <c r="A297" s="4" t="s">
        <v>185</v>
      </c>
      <c r="B297" s="19" t="s">
        <v>230</v>
      </c>
      <c r="C297" s="4" t="s">
        <v>44</v>
      </c>
      <c r="D297" s="5"/>
      <c r="E297" s="5"/>
      <c r="F297" s="5"/>
      <c r="G297" s="5"/>
      <c r="H297" s="12" t="str">
        <f>IF(OR(D297="",E297=""),"",IF(IFERROR(INDEX(Stats!$D:$D,MATCH($C297,Stats!$A:$A,0)),FALSE),ROUND(D297+(E297-D297)*(1+G297)*((1-1)/(MaxLevel-1))^(2^F297),0),D297+(E297-D297)*(1+G297)*((1-1)/(MaxLevel-1))^(2^F297)))</f>
        <v/>
      </c>
      <c r="I297" s="12" t="str">
        <f>IF(OR(D297="",E297=""),"",IF(IFERROR(INDEX(Stats!$D:$D,MATCH($C297,Stats!$A:$A,0)),FALSE),ROUND(D297+(E297-D297)*(1+G297)*((2-1)/(MaxLevel-1))^(2^F297),0),D297+(E297-D297)*(1+G297)*((2-1)/(MaxLevel-1))^(2^F297)))</f>
        <v/>
      </c>
      <c r="J297" s="12" t="str">
        <f>IF(OR(D297="",E297=""),"",IF(IFERROR(INDEX(Stats!$D:$D,MATCH($C297,Stats!$A:$A,0)),FALSE),ROUND(D297+(E297-D297)*(1+G297)*((3-1)/(MaxLevel-1))^(2^F297),0),D297+(E297-D297)*(1+G297)*((3-1)/(MaxLevel-1))^(2^F297)))</f>
        <v/>
      </c>
      <c r="K297" s="12" t="str">
        <f>IF(OR(D297="",E297=""),"",IF(IFERROR(INDEX(Stats!$D:$D,MATCH($C297,Stats!$A:$A,0)),FALSE),ROUND(D297+(E297-D297)*(1+G297)*((4-1)/(MaxLevel-1))^(2^F297),0),D297+(E297-D297)*(1+G297)*((4-1)/(MaxLevel-1))^(2^F297)))</f>
        <v/>
      </c>
      <c r="L297" s="12" t="str">
        <f>IF(OR(D297="",E297=""),"",IF(IFERROR(INDEX(Stats!$D:$D,MATCH($C297,Stats!$A:$A,0)),FALSE),ROUND(D297+(E297-D297)*(1+G297)*((5-1)/(MaxLevel-1))^(2^F297),0),D297+(E297-D297)*(1+G297)*((5-1)/(MaxLevel-1))^(2^F297)))</f>
        <v/>
      </c>
      <c r="M297" s="12" t="str">
        <f>IF(OR(D297="",E297=""),"",IF(IFERROR(INDEX(Stats!$D:$D,MATCH($C297,Stats!$A:$A,0)),FALSE),ROUND(D297+(E297-D297)*(1+G297)*((6-1)/(MaxLevel-1))^(2^F297),0),D297+(E297-D297)*(1+G297)*((6-1)/(MaxLevel-1))^(2^F297)))</f>
        <v/>
      </c>
      <c r="N297" s="12" t="str">
        <f>IF(OR(D297="",E297=""),"",IF(IFERROR(INDEX(Stats!$D:$D,MATCH($C297,Stats!$A:$A,0)),FALSE),ROUND(D297+(E297-D297)*(1+G297)*((7-1)/(MaxLevel-1))^(2^F297),0),D297+(E297-D297)*(1+G297)*((7-1)/(MaxLevel-1))^(2^F297)))</f>
        <v/>
      </c>
      <c r="O297" s="12" t="str">
        <f>IF(OR(D297="",E297=""),"",IF(IFERROR(INDEX(Stats!$D:$D,MATCH($C297,Stats!$A:$A,0)),FALSE),ROUND(D297+(E297-D297)*(1+G297)*((8-1)/(MaxLevel-1))^(2^F297),0),D297+(E297-D297)*(1+G297)*((8-1)/(MaxLevel-1))^(2^F297)))</f>
        <v/>
      </c>
      <c r="P297" s="12" t="str">
        <f>IF(OR(D297="",E297=""),"",IF(IFERROR(INDEX(Stats!$D:$D,MATCH($C297,Stats!$A:$A,0)),FALSE),ROUND(D297+(E297-D297)*(1+G297)*((9-1)/(MaxLevel-1))^(2^F297),0),D297+(E297-D297)*(1+G297)*((9-1)/(MaxLevel-1))^(2^F297)))</f>
        <v/>
      </c>
      <c r="Q297" s="12" t="str">
        <f>IF(OR(D297="",E297=""),"",IF(IFERROR(INDEX(Stats!$D:$D,MATCH($C297,Stats!$A:$A,0)),FALSE),ROUND(D297+(E297-D297)*(1+G297)*((10-1)/(MaxLevel-1))^(2^F297),0),D297+(E297-D297)*(1+G297)*((10-1)/(MaxLevel-1))^(2^F297)))</f>
        <v/>
      </c>
    </row>
    <row r="298" spans="1:17" x14ac:dyDescent="0.25">
      <c r="A298" s="4" t="s">
        <v>185</v>
      </c>
      <c r="B298" s="19" t="s">
        <v>230</v>
      </c>
      <c r="C298" s="4" t="s">
        <v>46</v>
      </c>
      <c r="D298" s="5"/>
      <c r="E298" s="5"/>
      <c r="F298" s="5"/>
      <c r="G298" s="5"/>
      <c r="H298" s="12" t="str">
        <f>IF(OR(D298="",E298=""),"",IF(IFERROR(INDEX(Stats!$D:$D,MATCH($C298,Stats!$A:$A,0)),FALSE),ROUND(D298+(E298-D298)*(1+G298)*((1-1)/(MaxLevel-1))^(2^F298),0),D298+(E298-D298)*(1+G298)*((1-1)/(MaxLevel-1))^(2^F298)))</f>
        <v/>
      </c>
      <c r="I298" s="12" t="str">
        <f>IF(OR(D298="",E298=""),"",IF(IFERROR(INDEX(Stats!$D:$D,MATCH($C298,Stats!$A:$A,0)),FALSE),ROUND(D298+(E298-D298)*(1+G298)*((2-1)/(MaxLevel-1))^(2^F298),0),D298+(E298-D298)*(1+G298)*((2-1)/(MaxLevel-1))^(2^F298)))</f>
        <v/>
      </c>
      <c r="J298" s="12" t="str">
        <f>IF(OR(D298="",E298=""),"",IF(IFERROR(INDEX(Stats!$D:$D,MATCH($C298,Stats!$A:$A,0)),FALSE),ROUND(D298+(E298-D298)*(1+G298)*((3-1)/(MaxLevel-1))^(2^F298),0),D298+(E298-D298)*(1+G298)*((3-1)/(MaxLevel-1))^(2^F298)))</f>
        <v/>
      </c>
      <c r="K298" s="12" t="str">
        <f>IF(OR(D298="",E298=""),"",IF(IFERROR(INDEX(Stats!$D:$D,MATCH($C298,Stats!$A:$A,0)),FALSE),ROUND(D298+(E298-D298)*(1+G298)*((4-1)/(MaxLevel-1))^(2^F298),0),D298+(E298-D298)*(1+G298)*((4-1)/(MaxLevel-1))^(2^F298)))</f>
        <v/>
      </c>
      <c r="L298" s="12" t="str">
        <f>IF(OR(D298="",E298=""),"",IF(IFERROR(INDEX(Stats!$D:$D,MATCH($C298,Stats!$A:$A,0)),FALSE),ROUND(D298+(E298-D298)*(1+G298)*((5-1)/(MaxLevel-1))^(2^F298),0),D298+(E298-D298)*(1+G298)*((5-1)/(MaxLevel-1))^(2^F298)))</f>
        <v/>
      </c>
      <c r="M298" s="12" t="str">
        <f>IF(OR(D298="",E298=""),"",IF(IFERROR(INDEX(Stats!$D:$D,MATCH($C298,Stats!$A:$A,0)),FALSE),ROUND(D298+(E298-D298)*(1+G298)*((6-1)/(MaxLevel-1))^(2^F298),0),D298+(E298-D298)*(1+G298)*((6-1)/(MaxLevel-1))^(2^F298)))</f>
        <v/>
      </c>
      <c r="N298" s="12" t="str">
        <f>IF(OR(D298="",E298=""),"",IF(IFERROR(INDEX(Stats!$D:$D,MATCH($C298,Stats!$A:$A,0)),FALSE),ROUND(D298+(E298-D298)*(1+G298)*((7-1)/(MaxLevel-1))^(2^F298),0),D298+(E298-D298)*(1+G298)*((7-1)/(MaxLevel-1))^(2^F298)))</f>
        <v/>
      </c>
      <c r="O298" s="12" t="str">
        <f>IF(OR(D298="",E298=""),"",IF(IFERROR(INDEX(Stats!$D:$D,MATCH($C298,Stats!$A:$A,0)),FALSE),ROUND(D298+(E298-D298)*(1+G298)*((8-1)/(MaxLevel-1))^(2^F298),0),D298+(E298-D298)*(1+G298)*((8-1)/(MaxLevel-1))^(2^F298)))</f>
        <v/>
      </c>
      <c r="P298" s="12" t="str">
        <f>IF(OR(D298="",E298=""),"",IF(IFERROR(INDEX(Stats!$D:$D,MATCH($C298,Stats!$A:$A,0)),FALSE),ROUND(D298+(E298-D298)*(1+G298)*((9-1)/(MaxLevel-1))^(2^F298),0),D298+(E298-D298)*(1+G298)*((9-1)/(MaxLevel-1))^(2^F298)))</f>
        <v/>
      </c>
      <c r="Q298" s="12" t="str">
        <f>IF(OR(D298="",E298=""),"",IF(IFERROR(INDEX(Stats!$D:$D,MATCH($C298,Stats!$A:$A,0)),FALSE),ROUND(D298+(E298-D298)*(1+G298)*((10-1)/(MaxLevel-1))^(2^F298),0),D298+(E298-D298)*(1+G298)*((10-1)/(MaxLevel-1))^(2^F298)))</f>
        <v/>
      </c>
    </row>
    <row r="299" spans="1:17" x14ac:dyDescent="0.25">
      <c r="A299" s="4" t="s">
        <v>185</v>
      </c>
      <c r="B299" s="19" t="s">
        <v>230</v>
      </c>
      <c r="C299" s="4" t="s">
        <v>48</v>
      </c>
      <c r="D299" s="5"/>
      <c r="E299" s="5"/>
      <c r="F299" s="5"/>
      <c r="G299" s="5"/>
      <c r="H299" s="12" t="str">
        <f>IF(OR(D299="",E299=""),"",IF(IFERROR(INDEX(Stats!$D:$D,MATCH($C299,Stats!$A:$A,0)),FALSE),ROUND(D299+(E299-D299)*(1+G299)*((1-1)/(MaxLevel-1))^(2^F299),0),D299+(E299-D299)*(1+G299)*((1-1)/(MaxLevel-1))^(2^F299)))</f>
        <v/>
      </c>
      <c r="I299" s="12" t="str">
        <f>IF(OR(D299="",E299=""),"",IF(IFERROR(INDEX(Stats!$D:$D,MATCH($C299,Stats!$A:$A,0)),FALSE),ROUND(D299+(E299-D299)*(1+G299)*((2-1)/(MaxLevel-1))^(2^F299),0),D299+(E299-D299)*(1+G299)*((2-1)/(MaxLevel-1))^(2^F299)))</f>
        <v/>
      </c>
      <c r="J299" s="12" t="str">
        <f>IF(OR(D299="",E299=""),"",IF(IFERROR(INDEX(Stats!$D:$D,MATCH($C299,Stats!$A:$A,0)),FALSE),ROUND(D299+(E299-D299)*(1+G299)*((3-1)/(MaxLevel-1))^(2^F299),0),D299+(E299-D299)*(1+G299)*((3-1)/(MaxLevel-1))^(2^F299)))</f>
        <v/>
      </c>
      <c r="K299" s="12" t="str">
        <f>IF(OR(D299="",E299=""),"",IF(IFERROR(INDEX(Stats!$D:$D,MATCH($C299,Stats!$A:$A,0)),FALSE),ROUND(D299+(E299-D299)*(1+G299)*((4-1)/(MaxLevel-1))^(2^F299),0),D299+(E299-D299)*(1+G299)*((4-1)/(MaxLevel-1))^(2^F299)))</f>
        <v/>
      </c>
      <c r="L299" s="12" t="str">
        <f>IF(OR(D299="",E299=""),"",IF(IFERROR(INDEX(Stats!$D:$D,MATCH($C299,Stats!$A:$A,0)),FALSE),ROUND(D299+(E299-D299)*(1+G299)*((5-1)/(MaxLevel-1))^(2^F299),0),D299+(E299-D299)*(1+G299)*((5-1)/(MaxLevel-1))^(2^F299)))</f>
        <v/>
      </c>
      <c r="M299" s="12" t="str">
        <f>IF(OR(D299="",E299=""),"",IF(IFERROR(INDEX(Stats!$D:$D,MATCH($C299,Stats!$A:$A,0)),FALSE),ROUND(D299+(E299-D299)*(1+G299)*((6-1)/(MaxLevel-1))^(2^F299),0),D299+(E299-D299)*(1+G299)*((6-1)/(MaxLevel-1))^(2^F299)))</f>
        <v/>
      </c>
      <c r="N299" s="12" t="str">
        <f>IF(OR(D299="",E299=""),"",IF(IFERROR(INDEX(Stats!$D:$D,MATCH($C299,Stats!$A:$A,0)),FALSE),ROUND(D299+(E299-D299)*(1+G299)*((7-1)/(MaxLevel-1))^(2^F299),0),D299+(E299-D299)*(1+G299)*((7-1)/(MaxLevel-1))^(2^F299)))</f>
        <v/>
      </c>
      <c r="O299" s="12" t="str">
        <f>IF(OR(D299="",E299=""),"",IF(IFERROR(INDEX(Stats!$D:$D,MATCH($C299,Stats!$A:$A,0)),FALSE),ROUND(D299+(E299-D299)*(1+G299)*((8-1)/(MaxLevel-1))^(2^F299),0),D299+(E299-D299)*(1+G299)*((8-1)/(MaxLevel-1))^(2^F299)))</f>
        <v/>
      </c>
      <c r="P299" s="12" t="str">
        <f>IF(OR(D299="",E299=""),"",IF(IFERROR(INDEX(Stats!$D:$D,MATCH($C299,Stats!$A:$A,0)),FALSE),ROUND(D299+(E299-D299)*(1+G299)*((9-1)/(MaxLevel-1))^(2^F299),0),D299+(E299-D299)*(1+G299)*((9-1)/(MaxLevel-1))^(2^F299)))</f>
        <v/>
      </c>
      <c r="Q299" s="12" t="str">
        <f>IF(OR(D299="",E299=""),"",IF(IFERROR(INDEX(Stats!$D:$D,MATCH($C299,Stats!$A:$A,0)),FALSE),ROUND(D299+(E299-D299)*(1+G299)*((10-1)/(MaxLevel-1))^(2^F299),0),D299+(E299-D299)*(1+G299)*((10-1)/(MaxLevel-1))^(2^F299)))</f>
        <v/>
      </c>
    </row>
    <row r="300" spans="1:17" x14ac:dyDescent="0.25">
      <c r="A300" s="4" t="s">
        <v>185</v>
      </c>
      <c r="B300" s="19" t="s">
        <v>230</v>
      </c>
      <c r="C300" s="4" t="s">
        <v>50</v>
      </c>
      <c r="D300" s="5"/>
      <c r="E300" s="5"/>
      <c r="F300" s="5"/>
      <c r="G300" s="5"/>
      <c r="H300" s="12" t="str">
        <f>IF(OR(D300="",E300=""),"",IF(IFERROR(INDEX(Stats!$D:$D,MATCH($C300,Stats!$A:$A,0)),FALSE),ROUND(D300+(E300-D300)*(1+G300)*((1-1)/(MaxLevel-1))^(2^F300),0),D300+(E300-D300)*(1+G300)*((1-1)/(MaxLevel-1))^(2^F300)))</f>
        <v/>
      </c>
      <c r="I300" s="12" t="str">
        <f>IF(OR(D300="",E300=""),"",IF(IFERROR(INDEX(Stats!$D:$D,MATCH($C300,Stats!$A:$A,0)),FALSE),ROUND(D300+(E300-D300)*(1+G300)*((2-1)/(MaxLevel-1))^(2^F300),0),D300+(E300-D300)*(1+G300)*((2-1)/(MaxLevel-1))^(2^F300)))</f>
        <v/>
      </c>
      <c r="J300" s="12" t="str">
        <f>IF(OR(D300="",E300=""),"",IF(IFERROR(INDEX(Stats!$D:$D,MATCH($C300,Stats!$A:$A,0)),FALSE),ROUND(D300+(E300-D300)*(1+G300)*((3-1)/(MaxLevel-1))^(2^F300),0),D300+(E300-D300)*(1+G300)*((3-1)/(MaxLevel-1))^(2^F300)))</f>
        <v/>
      </c>
      <c r="K300" s="12" t="str">
        <f>IF(OR(D300="",E300=""),"",IF(IFERROR(INDEX(Stats!$D:$D,MATCH($C300,Stats!$A:$A,0)),FALSE),ROUND(D300+(E300-D300)*(1+G300)*((4-1)/(MaxLevel-1))^(2^F300),0),D300+(E300-D300)*(1+G300)*((4-1)/(MaxLevel-1))^(2^F300)))</f>
        <v/>
      </c>
      <c r="L300" s="12" t="str">
        <f>IF(OR(D300="",E300=""),"",IF(IFERROR(INDEX(Stats!$D:$D,MATCH($C300,Stats!$A:$A,0)),FALSE),ROUND(D300+(E300-D300)*(1+G300)*((5-1)/(MaxLevel-1))^(2^F300),0),D300+(E300-D300)*(1+G300)*((5-1)/(MaxLevel-1))^(2^F300)))</f>
        <v/>
      </c>
      <c r="M300" s="12" t="str">
        <f>IF(OR(D300="",E300=""),"",IF(IFERROR(INDEX(Stats!$D:$D,MATCH($C300,Stats!$A:$A,0)),FALSE),ROUND(D300+(E300-D300)*(1+G300)*((6-1)/(MaxLevel-1))^(2^F300),0),D300+(E300-D300)*(1+G300)*((6-1)/(MaxLevel-1))^(2^F300)))</f>
        <v/>
      </c>
      <c r="N300" s="12" t="str">
        <f>IF(OR(D300="",E300=""),"",IF(IFERROR(INDEX(Stats!$D:$D,MATCH($C300,Stats!$A:$A,0)),FALSE),ROUND(D300+(E300-D300)*(1+G300)*((7-1)/(MaxLevel-1))^(2^F300),0),D300+(E300-D300)*(1+G300)*((7-1)/(MaxLevel-1))^(2^F300)))</f>
        <v/>
      </c>
      <c r="O300" s="12" t="str">
        <f>IF(OR(D300="",E300=""),"",IF(IFERROR(INDEX(Stats!$D:$D,MATCH($C300,Stats!$A:$A,0)),FALSE),ROUND(D300+(E300-D300)*(1+G300)*((8-1)/(MaxLevel-1))^(2^F300),0),D300+(E300-D300)*(1+G300)*((8-1)/(MaxLevel-1))^(2^F300)))</f>
        <v/>
      </c>
      <c r="P300" s="12" t="str">
        <f>IF(OR(D300="",E300=""),"",IF(IFERROR(INDEX(Stats!$D:$D,MATCH($C300,Stats!$A:$A,0)),FALSE),ROUND(D300+(E300-D300)*(1+G300)*((9-1)/(MaxLevel-1))^(2^F300),0),D300+(E300-D300)*(1+G300)*((9-1)/(MaxLevel-1))^(2^F300)))</f>
        <v/>
      </c>
      <c r="Q300" s="12" t="str">
        <f>IF(OR(D300="",E300=""),"",IF(IFERROR(INDEX(Stats!$D:$D,MATCH($C300,Stats!$A:$A,0)),FALSE),ROUND(D300+(E300-D300)*(1+G300)*((10-1)/(MaxLevel-1))^(2^F300),0),D300+(E300-D300)*(1+G300)*((10-1)/(MaxLevel-1))^(2^F300)))</f>
        <v/>
      </c>
    </row>
    <row r="301" spans="1:17" x14ac:dyDescent="0.25">
      <c r="A301" s="4" t="s">
        <v>185</v>
      </c>
      <c r="B301" s="19" t="s">
        <v>230</v>
      </c>
      <c r="C301" s="4" t="s">
        <v>52</v>
      </c>
      <c r="D301" s="5"/>
      <c r="E301" s="5"/>
      <c r="F301" s="5"/>
      <c r="G301" s="5"/>
      <c r="H301" s="12" t="str">
        <f>IF(OR(D301="",E301=""),"",IF(IFERROR(INDEX(Stats!$D:$D,MATCH($C301,Stats!$A:$A,0)),FALSE),ROUND(D301+(E301-D301)*(1+G301)*((1-1)/(MaxLevel-1))^(2^F301),0),D301+(E301-D301)*(1+G301)*((1-1)/(MaxLevel-1))^(2^F301)))</f>
        <v/>
      </c>
      <c r="I301" s="12" t="str">
        <f>IF(OR(D301="",E301=""),"",IF(IFERROR(INDEX(Stats!$D:$D,MATCH($C301,Stats!$A:$A,0)),FALSE),ROUND(D301+(E301-D301)*(1+G301)*((2-1)/(MaxLevel-1))^(2^F301),0),D301+(E301-D301)*(1+G301)*((2-1)/(MaxLevel-1))^(2^F301)))</f>
        <v/>
      </c>
      <c r="J301" s="12" t="str">
        <f>IF(OR(D301="",E301=""),"",IF(IFERROR(INDEX(Stats!$D:$D,MATCH($C301,Stats!$A:$A,0)),FALSE),ROUND(D301+(E301-D301)*(1+G301)*((3-1)/(MaxLevel-1))^(2^F301),0),D301+(E301-D301)*(1+G301)*((3-1)/(MaxLevel-1))^(2^F301)))</f>
        <v/>
      </c>
      <c r="K301" s="12" t="str">
        <f>IF(OR(D301="",E301=""),"",IF(IFERROR(INDEX(Stats!$D:$D,MATCH($C301,Stats!$A:$A,0)),FALSE),ROUND(D301+(E301-D301)*(1+G301)*((4-1)/(MaxLevel-1))^(2^F301),0),D301+(E301-D301)*(1+G301)*((4-1)/(MaxLevel-1))^(2^F301)))</f>
        <v/>
      </c>
      <c r="L301" s="12" t="str">
        <f>IF(OR(D301="",E301=""),"",IF(IFERROR(INDEX(Stats!$D:$D,MATCH($C301,Stats!$A:$A,0)),FALSE),ROUND(D301+(E301-D301)*(1+G301)*((5-1)/(MaxLevel-1))^(2^F301),0),D301+(E301-D301)*(1+G301)*((5-1)/(MaxLevel-1))^(2^F301)))</f>
        <v/>
      </c>
      <c r="M301" s="12" t="str">
        <f>IF(OR(D301="",E301=""),"",IF(IFERROR(INDEX(Stats!$D:$D,MATCH($C301,Stats!$A:$A,0)),FALSE),ROUND(D301+(E301-D301)*(1+G301)*((6-1)/(MaxLevel-1))^(2^F301),0),D301+(E301-D301)*(1+G301)*((6-1)/(MaxLevel-1))^(2^F301)))</f>
        <v/>
      </c>
      <c r="N301" s="12" t="str">
        <f>IF(OR(D301="",E301=""),"",IF(IFERROR(INDEX(Stats!$D:$D,MATCH($C301,Stats!$A:$A,0)),FALSE),ROUND(D301+(E301-D301)*(1+G301)*((7-1)/(MaxLevel-1))^(2^F301),0),D301+(E301-D301)*(1+G301)*((7-1)/(MaxLevel-1))^(2^F301)))</f>
        <v/>
      </c>
      <c r="O301" s="12" t="str">
        <f>IF(OR(D301="",E301=""),"",IF(IFERROR(INDEX(Stats!$D:$D,MATCH($C301,Stats!$A:$A,0)),FALSE),ROUND(D301+(E301-D301)*(1+G301)*((8-1)/(MaxLevel-1))^(2^F301),0),D301+(E301-D301)*(1+G301)*((8-1)/(MaxLevel-1))^(2^F301)))</f>
        <v/>
      </c>
      <c r="P301" s="12" t="str">
        <f>IF(OR(D301="",E301=""),"",IF(IFERROR(INDEX(Stats!$D:$D,MATCH($C301,Stats!$A:$A,0)),FALSE),ROUND(D301+(E301-D301)*(1+G301)*((9-1)/(MaxLevel-1))^(2^F301),0),D301+(E301-D301)*(1+G301)*((9-1)/(MaxLevel-1))^(2^F301)))</f>
        <v/>
      </c>
      <c r="Q301" s="12" t="str">
        <f>IF(OR(D301="",E301=""),"",IF(IFERROR(INDEX(Stats!$D:$D,MATCH($C301,Stats!$A:$A,0)),FALSE),ROUND(D301+(E301-D301)*(1+G301)*((10-1)/(MaxLevel-1))^(2^F301),0),D301+(E301-D301)*(1+G301)*((10-1)/(MaxLevel-1))^(2^F301)))</f>
        <v/>
      </c>
    </row>
    <row r="302" spans="1:17" x14ac:dyDescent="0.25">
      <c r="A302" s="4" t="s">
        <v>185</v>
      </c>
      <c r="B302" s="19" t="s">
        <v>230</v>
      </c>
      <c r="C302" s="4" t="s">
        <v>54</v>
      </c>
      <c r="D302" s="5"/>
      <c r="E302" s="5"/>
      <c r="F302" s="5"/>
      <c r="G302" s="5"/>
      <c r="H302" s="12" t="str">
        <f>IF(OR(D302="",E302=""),"",IF(IFERROR(INDEX(Stats!$D:$D,MATCH($C302,Stats!$A:$A,0)),FALSE),ROUND(D302+(E302-D302)*(1+G302)*((1-1)/(MaxLevel-1))^(2^F302),0),D302+(E302-D302)*(1+G302)*((1-1)/(MaxLevel-1))^(2^F302)))</f>
        <v/>
      </c>
      <c r="I302" s="12" t="str">
        <f>IF(OR(D302="",E302=""),"",IF(IFERROR(INDEX(Stats!$D:$D,MATCH($C302,Stats!$A:$A,0)),FALSE),ROUND(D302+(E302-D302)*(1+G302)*((2-1)/(MaxLevel-1))^(2^F302),0),D302+(E302-D302)*(1+G302)*((2-1)/(MaxLevel-1))^(2^F302)))</f>
        <v/>
      </c>
      <c r="J302" s="12" t="str">
        <f>IF(OR(D302="",E302=""),"",IF(IFERROR(INDEX(Stats!$D:$D,MATCH($C302,Stats!$A:$A,0)),FALSE),ROUND(D302+(E302-D302)*(1+G302)*((3-1)/(MaxLevel-1))^(2^F302),0),D302+(E302-D302)*(1+G302)*((3-1)/(MaxLevel-1))^(2^F302)))</f>
        <v/>
      </c>
      <c r="K302" s="12" t="str">
        <f>IF(OR(D302="",E302=""),"",IF(IFERROR(INDEX(Stats!$D:$D,MATCH($C302,Stats!$A:$A,0)),FALSE),ROUND(D302+(E302-D302)*(1+G302)*((4-1)/(MaxLevel-1))^(2^F302),0),D302+(E302-D302)*(1+G302)*((4-1)/(MaxLevel-1))^(2^F302)))</f>
        <v/>
      </c>
      <c r="L302" s="12" t="str">
        <f>IF(OR(D302="",E302=""),"",IF(IFERROR(INDEX(Stats!$D:$D,MATCH($C302,Stats!$A:$A,0)),FALSE),ROUND(D302+(E302-D302)*(1+G302)*((5-1)/(MaxLevel-1))^(2^F302),0),D302+(E302-D302)*(1+G302)*((5-1)/(MaxLevel-1))^(2^F302)))</f>
        <v/>
      </c>
      <c r="M302" s="12" t="str">
        <f>IF(OR(D302="",E302=""),"",IF(IFERROR(INDEX(Stats!$D:$D,MATCH($C302,Stats!$A:$A,0)),FALSE),ROUND(D302+(E302-D302)*(1+G302)*((6-1)/(MaxLevel-1))^(2^F302),0),D302+(E302-D302)*(1+G302)*((6-1)/(MaxLevel-1))^(2^F302)))</f>
        <v/>
      </c>
      <c r="N302" s="12" t="str">
        <f>IF(OR(D302="",E302=""),"",IF(IFERROR(INDEX(Stats!$D:$D,MATCH($C302,Stats!$A:$A,0)),FALSE),ROUND(D302+(E302-D302)*(1+G302)*((7-1)/(MaxLevel-1))^(2^F302),0),D302+(E302-D302)*(1+G302)*((7-1)/(MaxLevel-1))^(2^F302)))</f>
        <v/>
      </c>
      <c r="O302" s="12" t="str">
        <f>IF(OR(D302="",E302=""),"",IF(IFERROR(INDEX(Stats!$D:$D,MATCH($C302,Stats!$A:$A,0)),FALSE),ROUND(D302+(E302-D302)*(1+G302)*((8-1)/(MaxLevel-1))^(2^F302),0),D302+(E302-D302)*(1+G302)*((8-1)/(MaxLevel-1))^(2^F302)))</f>
        <v/>
      </c>
      <c r="P302" s="12" t="str">
        <f>IF(OR(D302="",E302=""),"",IF(IFERROR(INDEX(Stats!$D:$D,MATCH($C302,Stats!$A:$A,0)),FALSE),ROUND(D302+(E302-D302)*(1+G302)*((9-1)/(MaxLevel-1))^(2^F302),0),D302+(E302-D302)*(1+G302)*((9-1)/(MaxLevel-1))^(2^F302)))</f>
        <v/>
      </c>
      <c r="Q302" s="12" t="str">
        <f>IF(OR(D302="",E302=""),"",IF(IFERROR(INDEX(Stats!$D:$D,MATCH($C302,Stats!$A:$A,0)),FALSE),ROUND(D302+(E302-D302)*(1+G302)*((10-1)/(MaxLevel-1))^(2^F302),0),D302+(E302-D302)*(1+G302)*((10-1)/(MaxLevel-1))^(2^F302)))</f>
        <v/>
      </c>
    </row>
    <row r="303" spans="1:17" x14ac:dyDescent="0.25">
      <c r="A303" s="4" t="s">
        <v>185</v>
      </c>
      <c r="B303" s="19" t="s">
        <v>230</v>
      </c>
      <c r="C303" s="4" t="s">
        <v>56</v>
      </c>
      <c r="D303" s="5"/>
      <c r="E303" s="5"/>
      <c r="F303" s="5"/>
      <c r="G303" s="5"/>
      <c r="H303" s="12" t="str">
        <f>IF(OR(D303="",E303=""),"",IF(IFERROR(INDEX(Stats!$D:$D,MATCH($C303,Stats!$A:$A,0)),FALSE),ROUND(D303+(E303-D303)*(1+G303)*((1-1)/(MaxLevel-1))^(2^F303),0),D303+(E303-D303)*(1+G303)*((1-1)/(MaxLevel-1))^(2^F303)))</f>
        <v/>
      </c>
      <c r="I303" s="12" t="str">
        <f>IF(OR(D303="",E303=""),"",IF(IFERROR(INDEX(Stats!$D:$D,MATCH($C303,Stats!$A:$A,0)),FALSE),ROUND(D303+(E303-D303)*(1+G303)*((2-1)/(MaxLevel-1))^(2^F303),0),D303+(E303-D303)*(1+G303)*((2-1)/(MaxLevel-1))^(2^F303)))</f>
        <v/>
      </c>
      <c r="J303" s="12" t="str">
        <f>IF(OR(D303="",E303=""),"",IF(IFERROR(INDEX(Stats!$D:$D,MATCH($C303,Stats!$A:$A,0)),FALSE),ROUND(D303+(E303-D303)*(1+G303)*((3-1)/(MaxLevel-1))^(2^F303),0),D303+(E303-D303)*(1+G303)*((3-1)/(MaxLevel-1))^(2^F303)))</f>
        <v/>
      </c>
      <c r="K303" s="12" t="str">
        <f>IF(OR(D303="",E303=""),"",IF(IFERROR(INDEX(Stats!$D:$D,MATCH($C303,Stats!$A:$A,0)),FALSE),ROUND(D303+(E303-D303)*(1+G303)*((4-1)/(MaxLevel-1))^(2^F303),0),D303+(E303-D303)*(1+G303)*((4-1)/(MaxLevel-1))^(2^F303)))</f>
        <v/>
      </c>
      <c r="L303" s="12" t="str">
        <f>IF(OR(D303="",E303=""),"",IF(IFERROR(INDEX(Stats!$D:$D,MATCH($C303,Stats!$A:$A,0)),FALSE),ROUND(D303+(E303-D303)*(1+G303)*((5-1)/(MaxLevel-1))^(2^F303),0),D303+(E303-D303)*(1+G303)*((5-1)/(MaxLevel-1))^(2^F303)))</f>
        <v/>
      </c>
      <c r="M303" s="12" t="str">
        <f>IF(OR(D303="",E303=""),"",IF(IFERROR(INDEX(Stats!$D:$D,MATCH($C303,Stats!$A:$A,0)),FALSE),ROUND(D303+(E303-D303)*(1+G303)*((6-1)/(MaxLevel-1))^(2^F303),0),D303+(E303-D303)*(1+G303)*((6-1)/(MaxLevel-1))^(2^F303)))</f>
        <v/>
      </c>
      <c r="N303" s="12" t="str">
        <f>IF(OR(D303="",E303=""),"",IF(IFERROR(INDEX(Stats!$D:$D,MATCH($C303,Stats!$A:$A,0)),FALSE),ROUND(D303+(E303-D303)*(1+G303)*((7-1)/(MaxLevel-1))^(2^F303),0),D303+(E303-D303)*(1+G303)*((7-1)/(MaxLevel-1))^(2^F303)))</f>
        <v/>
      </c>
      <c r="O303" s="12" t="str">
        <f>IF(OR(D303="",E303=""),"",IF(IFERROR(INDEX(Stats!$D:$D,MATCH($C303,Stats!$A:$A,0)),FALSE),ROUND(D303+(E303-D303)*(1+G303)*((8-1)/(MaxLevel-1))^(2^F303),0),D303+(E303-D303)*(1+G303)*((8-1)/(MaxLevel-1))^(2^F303)))</f>
        <v/>
      </c>
      <c r="P303" s="12" t="str">
        <f>IF(OR(D303="",E303=""),"",IF(IFERROR(INDEX(Stats!$D:$D,MATCH($C303,Stats!$A:$A,0)),FALSE),ROUND(D303+(E303-D303)*(1+G303)*((9-1)/(MaxLevel-1))^(2^F303),0),D303+(E303-D303)*(1+G303)*((9-1)/(MaxLevel-1))^(2^F303)))</f>
        <v/>
      </c>
      <c r="Q303" s="12" t="str">
        <f>IF(OR(D303="",E303=""),"",IF(IFERROR(INDEX(Stats!$D:$D,MATCH($C303,Stats!$A:$A,0)),FALSE),ROUND(D303+(E303-D303)*(1+G303)*((10-1)/(MaxLevel-1))^(2^F303),0),D303+(E303-D303)*(1+G303)*((10-1)/(MaxLevel-1))^(2^F303)))</f>
        <v/>
      </c>
    </row>
    <row r="304" spans="1:17" x14ac:dyDescent="0.25">
      <c r="A304" s="4" t="s">
        <v>185</v>
      </c>
      <c r="B304" s="19" t="s">
        <v>230</v>
      </c>
      <c r="C304" s="4" t="s">
        <v>58</v>
      </c>
      <c r="D304" s="5"/>
      <c r="E304" s="5"/>
      <c r="F304" s="5"/>
      <c r="G304" s="5"/>
      <c r="H304" s="12" t="str">
        <f>IF(OR(D304="",E304=""),"",IF(IFERROR(INDEX(Stats!$D:$D,MATCH($C304,Stats!$A:$A,0)),FALSE),ROUND(D304+(E304-D304)*(1+G304)*((1-1)/(MaxLevel-1))^(2^F304),0),D304+(E304-D304)*(1+G304)*((1-1)/(MaxLevel-1))^(2^F304)))</f>
        <v/>
      </c>
      <c r="I304" s="12" t="str">
        <f>IF(OR(D304="",E304=""),"",IF(IFERROR(INDEX(Stats!$D:$D,MATCH($C304,Stats!$A:$A,0)),FALSE),ROUND(D304+(E304-D304)*(1+G304)*((2-1)/(MaxLevel-1))^(2^F304),0),D304+(E304-D304)*(1+G304)*((2-1)/(MaxLevel-1))^(2^F304)))</f>
        <v/>
      </c>
      <c r="J304" s="12" t="str">
        <f>IF(OR(D304="",E304=""),"",IF(IFERROR(INDEX(Stats!$D:$D,MATCH($C304,Stats!$A:$A,0)),FALSE),ROUND(D304+(E304-D304)*(1+G304)*((3-1)/(MaxLevel-1))^(2^F304),0),D304+(E304-D304)*(1+G304)*((3-1)/(MaxLevel-1))^(2^F304)))</f>
        <v/>
      </c>
      <c r="K304" s="12" t="str">
        <f>IF(OR(D304="",E304=""),"",IF(IFERROR(INDEX(Stats!$D:$D,MATCH($C304,Stats!$A:$A,0)),FALSE),ROUND(D304+(E304-D304)*(1+G304)*((4-1)/(MaxLevel-1))^(2^F304),0),D304+(E304-D304)*(1+G304)*((4-1)/(MaxLevel-1))^(2^F304)))</f>
        <v/>
      </c>
      <c r="L304" s="12" t="str">
        <f>IF(OR(D304="",E304=""),"",IF(IFERROR(INDEX(Stats!$D:$D,MATCH($C304,Stats!$A:$A,0)),FALSE),ROUND(D304+(E304-D304)*(1+G304)*((5-1)/(MaxLevel-1))^(2^F304),0),D304+(E304-D304)*(1+G304)*((5-1)/(MaxLevel-1))^(2^F304)))</f>
        <v/>
      </c>
      <c r="M304" s="12" t="str">
        <f>IF(OR(D304="",E304=""),"",IF(IFERROR(INDEX(Stats!$D:$D,MATCH($C304,Stats!$A:$A,0)),FALSE),ROUND(D304+(E304-D304)*(1+G304)*((6-1)/(MaxLevel-1))^(2^F304),0),D304+(E304-D304)*(1+G304)*((6-1)/(MaxLevel-1))^(2^F304)))</f>
        <v/>
      </c>
      <c r="N304" s="12" t="str">
        <f>IF(OR(D304="",E304=""),"",IF(IFERROR(INDEX(Stats!$D:$D,MATCH($C304,Stats!$A:$A,0)),FALSE),ROUND(D304+(E304-D304)*(1+G304)*((7-1)/(MaxLevel-1))^(2^F304),0),D304+(E304-D304)*(1+G304)*((7-1)/(MaxLevel-1))^(2^F304)))</f>
        <v/>
      </c>
      <c r="O304" s="12" t="str">
        <f>IF(OR(D304="",E304=""),"",IF(IFERROR(INDEX(Stats!$D:$D,MATCH($C304,Stats!$A:$A,0)),FALSE),ROUND(D304+(E304-D304)*(1+G304)*((8-1)/(MaxLevel-1))^(2^F304),0),D304+(E304-D304)*(1+G304)*((8-1)/(MaxLevel-1))^(2^F304)))</f>
        <v/>
      </c>
      <c r="P304" s="12" t="str">
        <f>IF(OR(D304="",E304=""),"",IF(IFERROR(INDEX(Stats!$D:$D,MATCH($C304,Stats!$A:$A,0)),FALSE),ROUND(D304+(E304-D304)*(1+G304)*((9-1)/(MaxLevel-1))^(2^F304),0),D304+(E304-D304)*(1+G304)*((9-1)/(MaxLevel-1))^(2^F304)))</f>
        <v/>
      </c>
      <c r="Q304" s="12" t="str">
        <f>IF(OR(D304="",E304=""),"",IF(IFERROR(INDEX(Stats!$D:$D,MATCH($C304,Stats!$A:$A,0)),FALSE),ROUND(D304+(E304-D304)*(1+G304)*((10-1)/(MaxLevel-1))^(2^F304),0),D304+(E304-D304)*(1+G304)*((10-1)/(MaxLevel-1))^(2^F304)))</f>
        <v/>
      </c>
    </row>
    <row r="305" spans="1:17" x14ac:dyDescent="0.25">
      <c r="A305" s="4" t="s">
        <v>185</v>
      </c>
      <c r="B305" s="19" t="s">
        <v>230</v>
      </c>
      <c r="C305" s="4" t="s">
        <v>60</v>
      </c>
      <c r="D305" s="5"/>
      <c r="E305" s="5"/>
      <c r="F305" s="5"/>
      <c r="G305" s="5"/>
      <c r="H305" s="12" t="str">
        <f>IF(OR(D305="",E305=""),"",IF(IFERROR(INDEX(Stats!$D:$D,MATCH($C305,Stats!$A:$A,0)),FALSE),ROUND(D305+(E305-D305)*(1+G305)*((1-1)/(MaxLevel-1))^(2^F305),0),D305+(E305-D305)*(1+G305)*((1-1)/(MaxLevel-1))^(2^F305)))</f>
        <v/>
      </c>
      <c r="I305" s="12" t="str">
        <f>IF(OR(D305="",E305=""),"",IF(IFERROR(INDEX(Stats!$D:$D,MATCH($C305,Stats!$A:$A,0)),FALSE),ROUND(D305+(E305-D305)*(1+G305)*((2-1)/(MaxLevel-1))^(2^F305),0),D305+(E305-D305)*(1+G305)*((2-1)/(MaxLevel-1))^(2^F305)))</f>
        <v/>
      </c>
      <c r="J305" s="12" t="str">
        <f>IF(OR(D305="",E305=""),"",IF(IFERROR(INDEX(Stats!$D:$D,MATCH($C305,Stats!$A:$A,0)),FALSE),ROUND(D305+(E305-D305)*(1+G305)*((3-1)/(MaxLevel-1))^(2^F305),0),D305+(E305-D305)*(1+G305)*((3-1)/(MaxLevel-1))^(2^F305)))</f>
        <v/>
      </c>
      <c r="K305" s="12" t="str">
        <f>IF(OR(D305="",E305=""),"",IF(IFERROR(INDEX(Stats!$D:$D,MATCH($C305,Stats!$A:$A,0)),FALSE),ROUND(D305+(E305-D305)*(1+G305)*((4-1)/(MaxLevel-1))^(2^F305),0),D305+(E305-D305)*(1+G305)*((4-1)/(MaxLevel-1))^(2^F305)))</f>
        <v/>
      </c>
      <c r="L305" s="12" t="str">
        <f>IF(OR(D305="",E305=""),"",IF(IFERROR(INDEX(Stats!$D:$D,MATCH($C305,Stats!$A:$A,0)),FALSE),ROUND(D305+(E305-D305)*(1+G305)*((5-1)/(MaxLevel-1))^(2^F305),0),D305+(E305-D305)*(1+G305)*((5-1)/(MaxLevel-1))^(2^F305)))</f>
        <v/>
      </c>
      <c r="M305" s="12" t="str">
        <f>IF(OR(D305="",E305=""),"",IF(IFERROR(INDEX(Stats!$D:$D,MATCH($C305,Stats!$A:$A,0)),FALSE),ROUND(D305+(E305-D305)*(1+G305)*((6-1)/(MaxLevel-1))^(2^F305),0),D305+(E305-D305)*(1+G305)*((6-1)/(MaxLevel-1))^(2^F305)))</f>
        <v/>
      </c>
      <c r="N305" s="12" t="str">
        <f>IF(OR(D305="",E305=""),"",IF(IFERROR(INDEX(Stats!$D:$D,MATCH($C305,Stats!$A:$A,0)),FALSE),ROUND(D305+(E305-D305)*(1+G305)*((7-1)/(MaxLevel-1))^(2^F305),0),D305+(E305-D305)*(1+G305)*((7-1)/(MaxLevel-1))^(2^F305)))</f>
        <v/>
      </c>
      <c r="O305" s="12" t="str">
        <f>IF(OR(D305="",E305=""),"",IF(IFERROR(INDEX(Stats!$D:$D,MATCH($C305,Stats!$A:$A,0)),FALSE),ROUND(D305+(E305-D305)*(1+G305)*((8-1)/(MaxLevel-1))^(2^F305),0),D305+(E305-D305)*(1+G305)*((8-1)/(MaxLevel-1))^(2^F305)))</f>
        <v/>
      </c>
      <c r="P305" s="12" t="str">
        <f>IF(OR(D305="",E305=""),"",IF(IFERROR(INDEX(Stats!$D:$D,MATCH($C305,Stats!$A:$A,0)),FALSE),ROUND(D305+(E305-D305)*(1+G305)*((9-1)/(MaxLevel-1))^(2^F305),0),D305+(E305-D305)*(1+G305)*((9-1)/(MaxLevel-1))^(2^F305)))</f>
        <v/>
      </c>
      <c r="Q305" s="12" t="str">
        <f>IF(OR(D305="",E305=""),"",IF(IFERROR(INDEX(Stats!$D:$D,MATCH($C305,Stats!$A:$A,0)),FALSE),ROUND(D305+(E305-D305)*(1+G305)*((10-1)/(MaxLevel-1))^(2^F305),0),D305+(E305-D305)*(1+G305)*((10-1)/(MaxLevel-1))^(2^F305)))</f>
        <v/>
      </c>
    </row>
    <row r="306" spans="1:17" x14ac:dyDescent="0.25">
      <c r="A306" s="4" t="s">
        <v>185</v>
      </c>
      <c r="B306" s="19" t="s">
        <v>231</v>
      </c>
      <c r="C306" s="4" t="s">
        <v>24</v>
      </c>
      <c r="D306" s="5">
        <v>0</v>
      </c>
      <c r="E306" s="5">
        <v>10000</v>
      </c>
      <c r="F306" s="5">
        <v>1</v>
      </c>
      <c r="G306" s="5">
        <v>0</v>
      </c>
      <c r="H306" s="12">
        <f>IF(OR(D306="",E306=""),"",IF(IFERROR(INDEX(Stats!$D:$D,MATCH($C306,Stats!$A:$A,0)),FALSE),ROUND(D306+(E306-D306)*(1+G306)*((1-1)/(MaxLevel-1))^(2^F306),0),D306+(E306-D306)*(1+G306)*((1-1)/(MaxLevel-1))^(2^F306)))</f>
        <v>0</v>
      </c>
      <c r="I306" s="12">
        <f>IF(OR(D306="",E306=""),"",IF(IFERROR(INDEX(Stats!$D:$D,MATCH($C306,Stats!$A:$A,0)),FALSE),ROUND(D306+(E306-D306)*(1+G306)*((2-1)/(MaxLevel-1))^(2^F306),0),D306+(E306-D306)*(1+G306)*((2-1)/(MaxLevel-1))^(2^F306)))</f>
        <v>123</v>
      </c>
      <c r="J306" s="12">
        <f>IF(OR(D306="",E306=""),"",IF(IFERROR(INDEX(Stats!$D:$D,MATCH($C306,Stats!$A:$A,0)),FALSE),ROUND(D306+(E306-D306)*(1+G306)*((3-1)/(MaxLevel-1))^(2^F306),0),D306+(E306-D306)*(1+G306)*((3-1)/(MaxLevel-1))^(2^F306)))</f>
        <v>494</v>
      </c>
      <c r="K306" s="12">
        <f>IF(OR(D306="",E306=""),"",IF(IFERROR(INDEX(Stats!$D:$D,MATCH($C306,Stats!$A:$A,0)),FALSE),ROUND(D306+(E306-D306)*(1+G306)*((4-1)/(MaxLevel-1))^(2^F306),0),D306+(E306-D306)*(1+G306)*((4-1)/(MaxLevel-1))^(2^F306)))</f>
        <v>1111</v>
      </c>
      <c r="L306" s="12">
        <f>IF(OR(D306="",E306=""),"",IF(IFERROR(INDEX(Stats!$D:$D,MATCH($C306,Stats!$A:$A,0)),FALSE),ROUND(D306+(E306-D306)*(1+G306)*((5-1)/(MaxLevel-1))^(2^F306),0),D306+(E306-D306)*(1+G306)*((5-1)/(MaxLevel-1))^(2^F306)))</f>
        <v>1975</v>
      </c>
      <c r="M306" s="12">
        <f>IF(OR(D306="",E306=""),"",IF(IFERROR(INDEX(Stats!$D:$D,MATCH($C306,Stats!$A:$A,0)),FALSE),ROUND(D306+(E306-D306)*(1+G306)*((6-1)/(MaxLevel-1))^(2^F306),0),D306+(E306-D306)*(1+G306)*((6-1)/(MaxLevel-1))^(2^F306)))</f>
        <v>3086</v>
      </c>
      <c r="N306" s="12">
        <f>IF(OR(D306="",E306=""),"",IF(IFERROR(INDEX(Stats!$D:$D,MATCH($C306,Stats!$A:$A,0)),FALSE),ROUND(D306+(E306-D306)*(1+G306)*((7-1)/(MaxLevel-1))^(2^F306),0),D306+(E306-D306)*(1+G306)*((7-1)/(MaxLevel-1))^(2^F306)))</f>
        <v>4444</v>
      </c>
      <c r="O306" s="12">
        <f>IF(OR(D306="",E306=""),"",IF(IFERROR(INDEX(Stats!$D:$D,MATCH($C306,Stats!$A:$A,0)),FALSE),ROUND(D306+(E306-D306)*(1+G306)*((8-1)/(MaxLevel-1))^(2^F306),0),D306+(E306-D306)*(1+G306)*((8-1)/(MaxLevel-1))^(2^F306)))</f>
        <v>6049</v>
      </c>
      <c r="P306" s="12">
        <f>IF(OR(D306="",E306=""),"",IF(IFERROR(INDEX(Stats!$D:$D,MATCH($C306,Stats!$A:$A,0)),FALSE),ROUND(D306+(E306-D306)*(1+G306)*((9-1)/(MaxLevel-1))^(2^F306),0),D306+(E306-D306)*(1+G306)*((9-1)/(MaxLevel-1))^(2^F306)))</f>
        <v>7901</v>
      </c>
      <c r="Q306" s="12">
        <f>IF(OR(D306="",E306=""),"",IF(IFERROR(INDEX(Stats!$D:$D,MATCH($C306,Stats!$A:$A,0)),FALSE),ROUND(D306+(E306-D306)*(1+G306)*((10-1)/(MaxLevel-1))^(2^F306),0),D306+(E306-D306)*(1+G306)*((10-1)/(MaxLevel-1))^(2^F306)))</f>
        <v>10000</v>
      </c>
    </row>
    <row r="307" spans="1:17" x14ac:dyDescent="0.25">
      <c r="A307" s="4" t="s">
        <v>185</v>
      </c>
      <c r="B307" s="19" t="s">
        <v>231</v>
      </c>
      <c r="C307" s="4" t="s">
        <v>26</v>
      </c>
      <c r="D307" s="5">
        <v>25</v>
      </c>
      <c r="E307" s="5">
        <v>150</v>
      </c>
      <c r="F307" s="5">
        <v>0</v>
      </c>
      <c r="G307" s="5">
        <v>0</v>
      </c>
      <c r="H307" s="12">
        <f>IF(OR(D307="",E307=""),"",IF(IFERROR(INDEX(Stats!$D:$D,MATCH($C307,Stats!$A:$A,0)),FALSE),ROUND(D307+(E307-D307)*(1+G307)*((1-1)/(MaxLevel-1))^(2^F307),0),D307+(E307-D307)*(1+G307)*((1-1)/(MaxLevel-1))^(2^F307)))</f>
        <v>25</v>
      </c>
      <c r="I307" s="12">
        <f>IF(OR(D307="",E307=""),"",IF(IFERROR(INDEX(Stats!$D:$D,MATCH($C307,Stats!$A:$A,0)),FALSE),ROUND(D307+(E307-D307)*(1+G307)*((2-1)/(MaxLevel-1))^(2^F307),0),D307+(E307-D307)*(1+G307)*((2-1)/(MaxLevel-1))^(2^F307)))</f>
        <v>39</v>
      </c>
      <c r="J307" s="12">
        <f>IF(OR(D307="",E307=""),"",IF(IFERROR(INDEX(Stats!$D:$D,MATCH($C307,Stats!$A:$A,0)),FALSE),ROUND(D307+(E307-D307)*(1+G307)*((3-1)/(MaxLevel-1))^(2^F307),0),D307+(E307-D307)*(1+G307)*((3-1)/(MaxLevel-1))^(2^F307)))</f>
        <v>53</v>
      </c>
      <c r="K307" s="12">
        <f>IF(OR(D307="",E307=""),"",IF(IFERROR(INDEX(Stats!$D:$D,MATCH($C307,Stats!$A:$A,0)),FALSE),ROUND(D307+(E307-D307)*(1+G307)*((4-1)/(MaxLevel-1))^(2^F307),0),D307+(E307-D307)*(1+G307)*((4-1)/(MaxLevel-1))^(2^F307)))</f>
        <v>67</v>
      </c>
      <c r="L307" s="12">
        <f>IF(OR(D307="",E307=""),"",IF(IFERROR(INDEX(Stats!$D:$D,MATCH($C307,Stats!$A:$A,0)),FALSE),ROUND(D307+(E307-D307)*(1+G307)*((5-1)/(MaxLevel-1))^(2^F307),0),D307+(E307-D307)*(1+G307)*((5-1)/(MaxLevel-1))^(2^F307)))</f>
        <v>81</v>
      </c>
      <c r="M307" s="12">
        <f>IF(OR(D307="",E307=""),"",IF(IFERROR(INDEX(Stats!$D:$D,MATCH($C307,Stats!$A:$A,0)),FALSE),ROUND(D307+(E307-D307)*(1+G307)*((6-1)/(MaxLevel-1))^(2^F307),0),D307+(E307-D307)*(1+G307)*((6-1)/(MaxLevel-1))^(2^F307)))</f>
        <v>94</v>
      </c>
      <c r="N307" s="12">
        <f>IF(OR(D307="",E307=""),"",IF(IFERROR(INDEX(Stats!$D:$D,MATCH($C307,Stats!$A:$A,0)),FALSE),ROUND(D307+(E307-D307)*(1+G307)*((7-1)/(MaxLevel-1))^(2^F307),0),D307+(E307-D307)*(1+G307)*((7-1)/(MaxLevel-1))^(2^F307)))</f>
        <v>108</v>
      </c>
      <c r="O307" s="12">
        <f>IF(OR(D307="",E307=""),"",IF(IFERROR(INDEX(Stats!$D:$D,MATCH($C307,Stats!$A:$A,0)),FALSE),ROUND(D307+(E307-D307)*(1+G307)*((8-1)/(MaxLevel-1))^(2^F307),0),D307+(E307-D307)*(1+G307)*((8-1)/(MaxLevel-1))^(2^F307)))</f>
        <v>122</v>
      </c>
      <c r="P307" s="12">
        <f>IF(OR(D307="",E307=""),"",IF(IFERROR(INDEX(Stats!$D:$D,MATCH($C307,Stats!$A:$A,0)),FALSE),ROUND(D307+(E307-D307)*(1+G307)*((9-1)/(MaxLevel-1))^(2^F307),0),D307+(E307-D307)*(1+G307)*((9-1)/(MaxLevel-1))^(2^F307)))</f>
        <v>136</v>
      </c>
      <c r="Q307" s="12">
        <f>IF(OR(D307="",E307=""),"",IF(IFERROR(INDEX(Stats!$D:$D,MATCH($C307,Stats!$A:$A,0)),FALSE),ROUND(D307+(E307-D307)*(1+G307)*((10-1)/(MaxLevel-1))^(2^F307),0),D307+(E307-D307)*(1+G307)*((10-1)/(MaxLevel-1))^(2^F307)))</f>
        <v>150</v>
      </c>
    </row>
    <row r="308" spans="1:17" x14ac:dyDescent="0.25">
      <c r="A308" s="4" t="s">
        <v>185</v>
      </c>
      <c r="B308" s="19" t="s">
        <v>231</v>
      </c>
      <c r="C308" s="4" t="s">
        <v>28</v>
      </c>
      <c r="D308" s="5">
        <v>300</v>
      </c>
      <c r="E308" s="5">
        <v>1200</v>
      </c>
      <c r="F308" s="5">
        <v>0</v>
      </c>
      <c r="G308" s="5">
        <v>-0.1</v>
      </c>
      <c r="H308" s="12">
        <f>IF(OR(D308="",E308=""),"",IF(IFERROR(INDEX(Stats!$D:$D,MATCH($C308,Stats!$A:$A,0)),FALSE),ROUND(D308+(E308-D308)*(1+G308)*((1-1)/(MaxLevel-1))^(2^F308),0),D308+(E308-D308)*(1+G308)*((1-1)/(MaxLevel-1))^(2^F308)))</f>
        <v>300</v>
      </c>
      <c r="I308" s="12">
        <f>IF(OR(D308="",E308=""),"",IF(IFERROR(INDEX(Stats!$D:$D,MATCH($C308,Stats!$A:$A,0)),FALSE),ROUND(D308+(E308-D308)*(1+G308)*((2-1)/(MaxLevel-1))^(2^F308),0),D308+(E308-D308)*(1+G308)*((2-1)/(MaxLevel-1))^(2^F308)))</f>
        <v>390</v>
      </c>
      <c r="J308" s="12">
        <f>IF(OR(D308="",E308=""),"",IF(IFERROR(INDEX(Stats!$D:$D,MATCH($C308,Stats!$A:$A,0)),FALSE),ROUND(D308+(E308-D308)*(1+G308)*((3-1)/(MaxLevel-1))^(2^F308),0),D308+(E308-D308)*(1+G308)*((3-1)/(MaxLevel-1))^(2^F308)))</f>
        <v>480</v>
      </c>
      <c r="K308" s="12">
        <f>IF(OR(D308="",E308=""),"",IF(IFERROR(INDEX(Stats!$D:$D,MATCH($C308,Stats!$A:$A,0)),FALSE),ROUND(D308+(E308-D308)*(1+G308)*((4-1)/(MaxLevel-1))^(2^F308),0),D308+(E308-D308)*(1+G308)*((4-1)/(MaxLevel-1))^(2^F308)))</f>
        <v>570</v>
      </c>
      <c r="L308" s="12">
        <f>IF(OR(D308="",E308=""),"",IF(IFERROR(INDEX(Stats!$D:$D,MATCH($C308,Stats!$A:$A,0)),FALSE),ROUND(D308+(E308-D308)*(1+G308)*((5-1)/(MaxLevel-1))^(2^F308),0),D308+(E308-D308)*(1+G308)*((5-1)/(MaxLevel-1))^(2^F308)))</f>
        <v>660</v>
      </c>
      <c r="M308" s="12">
        <f>IF(OR(D308="",E308=""),"",IF(IFERROR(INDEX(Stats!$D:$D,MATCH($C308,Stats!$A:$A,0)),FALSE),ROUND(D308+(E308-D308)*(1+G308)*((6-1)/(MaxLevel-1))^(2^F308),0),D308+(E308-D308)*(1+G308)*((6-1)/(MaxLevel-1))^(2^F308)))</f>
        <v>750</v>
      </c>
      <c r="N308" s="12">
        <f>IF(OR(D308="",E308=""),"",IF(IFERROR(INDEX(Stats!$D:$D,MATCH($C308,Stats!$A:$A,0)),FALSE),ROUND(D308+(E308-D308)*(1+G308)*((7-1)/(MaxLevel-1))^(2^F308),0),D308+(E308-D308)*(1+G308)*((7-1)/(MaxLevel-1))^(2^F308)))</f>
        <v>840</v>
      </c>
      <c r="O308" s="12">
        <f>IF(OR(D308="",E308=""),"",IF(IFERROR(INDEX(Stats!$D:$D,MATCH($C308,Stats!$A:$A,0)),FALSE),ROUND(D308+(E308-D308)*(1+G308)*((8-1)/(MaxLevel-1))^(2^F308),0),D308+(E308-D308)*(1+G308)*((8-1)/(MaxLevel-1))^(2^F308)))</f>
        <v>930</v>
      </c>
      <c r="P308" s="12">
        <f>IF(OR(D308="",E308=""),"",IF(IFERROR(INDEX(Stats!$D:$D,MATCH($C308,Stats!$A:$A,0)),FALSE),ROUND(D308+(E308-D308)*(1+G308)*((9-1)/(MaxLevel-1))^(2^F308),0),D308+(E308-D308)*(1+G308)*((9-1)/(MaxLevel-1))^(2^F308)))</f>
        <v>1020</v>
      </c>
      <c r="Q308" s="12">
        <f>IF(OR(D308="",E308=""),"",IF(IFERROR(INDEX(Stats!$D:$D,MATCH($C308,Stats!$A:$A,0)),FALSE),ROUND(D308+(E308-D308)*(1+G308)*((10-1)/(MaxLevel-1))^(2^F308),0),D308+(E308-D308)*(1+G308)*((10-1)/(MaxLevel-1))^(2^F308)))</f>
        <v>1110</v>
      </c>
    </row>
    <row r="309" spans="1:17" x14ac:dyDescent="0.25">
      <c r="A309" s="4" t="s">
        <v>185</v>
      </c>
      <c r="B309" s="19" t="s">
        <v>231</v>
      </c>
      <c r="C309" s="4" t="s">
        <v>30</v>
      </c>
      <c r="D309" s="5">
        <v>25</v>
      </c>
      <c r="E309" s="5">
        <v>110</v>
      </c>
      <c r="F309" s="5">
        <v>0.5</v>
      </c>
      <c r="G309" s="5">
        <v>0</v>
      </c>
      <c r="H309" s="12">
        <f>IF(OR(D309="",E309=""),"",IF(IFERROR(INDEX(Stats!$D:$D,MATCH($C309,Stats!$A:$A,0)),FALSE),ROUND(D309+(E309-D309)*(1+G309)*((1-1)/(MaxLevel-1))^(2^F309),0),D309+(E309-D309)*(1+G309)*((1-1)/(MaxLevel-1))^(2^F309)))</f>
        <v>25</v>
      </c>
      <c r="I309" s="12">
        <f>IF(OR(D309="",E309=""),"",IF(IFERROR(INDEX(Stats!$D:$D,MATCH($C309,Stats!$A:$A,0)),FALSE),ROUND(D309+(E309-D309)*(1+G309)*((2-1)/(MaxLevel-1))^(2^F309),0),D309+(E309-D309)*(1+G309)*((2-1)/(MaxLevel-1))^(2^F309)))</f>
        <v>29</v>
      </c>
      <c r="J309" s="12">
        <f>IF(OR(D309="",E309=""),"",IF(IFERROR(INDEX(Stats!$D:$D,MATCH($C309,Stats!$A:$A,0)),FALSE),ROUND(D309+(E309-D309)*(1+G309)*((3-1)/(MaxLevel-1))^(2^F309),0),D309+(E309-D309)*(1+G309)*((3-1)/(MaxLevel-1))^(2^F309)))</f>
        <v>35</v>
      </c>
      <c r="K309" s="12">
        <f>IF(OR(D309="",E309=""),"",IF(IFERROR(INDEX(Stats!$D:$D,MATCH($C309,Stats!$A:$A,0)),FALSE),ROUND(D309+(E309-D309)*(1+G309)*((4-1)/(MaxLevel-1))^(2^F309),0),D309+(E309-D309)*(1+G309)*((4-1)/(MaxLevel-1))^(2^F309)))</f>
        <v>43</v>
      </c>
      <c r="L309" s="12">
        <f>IF(OR(D309="",E309=""),"",IF(IFERROR(INDEX(Stats!$D:$D,MATCH($C309,Stats!$A:$A,0)),FALSE),ROUND(D309+(E309-D309)*(1+G309)*((5-1)/(MaxLevel-1))^(2^F309),0),D309+(E309-D309)*(1+G309)*((5-1)/(MaxLevel-1))^(2^F309)))</f>
        <v>52</v>
      </c>
      <c r="M309" s="12">
        <f>IF(OR(D309="",E309=""),"",IF(IFERROR(INDEX(Stats!$D:$D,MATCH($C309,Stats!$A:$A,0)),FALSE),ROUND(D309+(E309-D309)*(1+G309)*((6-1)/(MaxLevel-1))^(2^F309),0),D309+(E309-D309)*(1+G309)*((6-1)/(MaxLevel-1))^(2^F309)))</f>
        <v>62</v>
      </c>
      <c r="N309" s="12">
        <f>IF(OR(D309="",E309=""),"",IF(IFERROR(INDEX(Stats!$D:$D,MATCH($C309,Stats!$A:$A,0)),FALSE),ROUND(D309+(E309-D309)*(1+G309)*((7-1)/(MaxLevel-1))^(2^F309),0),D309+(E309-D309)*(1+G309)*((7-1)/(MaxLevel-1))^(2^F309)))</f>
        <v>73</v>
      </c>
      <c r="O309" s="12">
        <f>IF(OR(D309="",E309=""),"",IF(IFERROR(INDEX(Stats!$D:$D,MATCH($C309,Stats!$A:$A,0)),FALSE),ROUND(D309+(E309-D309)*(1+G309)*((8-1)/(MaxLevel-1))^(2^F309),0),D309+(E309-D309)*(1+G309)*((8-1)/(MaxLevel-1))^(2^F309)))</f>
        <v>85</v>
      </c>
      <c r="P309" s="12">
        <f>IF(OR(D309="",E309=""),"",IF(IFERROR(INDEX(Stats!$D:$D,MATCH($C309,Stats!$A:$A,0)),FALSE),ROUND(D309+(E309-D309)*(1+G309)*((9-1)/(MaxLevel-1))^(2^F309),0),D309+(E309-D309)*(1+G309)*((9-1)/(MaxLevel-1))^(2^F309)))</f>
        <v>97</v>
      </c>
      <c r="Q309" s="12">
        <f>IF(OR(D309="",E309=""),"",IF(IFERROR(INDEX(Stats!$D:$D,MATCH($C309,Stats!$A:$A,0)),FALSE),ROUND(D309+(E309-D309)*(1+G309)*((10-1)/(MaxLevel-1))^(2^F309),0),D309+(E309-D309)*(1+G309)*((10-1)/(MaxLevel-1))^(2^F309)))</f>
        <v>110</v>
      </c>
    </row>
    <row r="310" spans="1:17" x14ac:dyDescent="0.25">
      <c r="A310" s="4" t="s">
        <v>185</v>
      </c>
      <c r="B310" s="19" t="s">
        <v>231</v>
      </c>
      <c r="C310" s="4" t="s">
        <v>32</v>
      </c>
      <c r="D310" s="5"/>
      <c r="E310" s="5"/>
      <c r="F310" s="5"/>
      <c r="G310" s="5"/>
      <c r="H310" s="12" t="str">
        <f>IF(OR(D310="",E310=""),"",IF(IFERROR(INDEX(Stats!$D:$D,MATCH($C310,Stats!$A:$A,0)),FALSE),ROUND(D310+(E310-D310)*(1+G310)*((1-1)/(MaxLevel-1))^(2^F310),0),D310+(E310-D310)*(1+G310)*((1-1)/(MaxLevel-1))^(2^F310)))</f>
        <v/>
      </c>
      <c r="I310" s="12" t="str">
        <f>IF(OR(D310="",E310=""),"",IF(IFERROR(INDEX(Stats!$D:$D,MATCH($C310,Stats!$A:$A,0)),FALSE),ROUND(D310+(E310-D310)*(1+G310)*((2-1)/(MaxLevel-1))^(2^F310),0),D310+(E310-D310)*(1+G310)*((2-1)/(MaxLevel-1))^(2^F310)))</f>
        <v/>
      </c>
      <c r="J310" s="12" t="str">
        <f>IF(OR(D310="",E310=""),"",IF(IFERROR(INDEX(Stats!$D:$D,MATCH($C310,Stats!$A:$A,0)),FALSE),ROUND(D310+(E310-D310)*(1+G310)*((3-1)/(MaxLevel-1))^(2^F310),0),D310+(E310-D310)*(1+G310)*((3-1)/(MaxLevel-1))^(2^F310)))</f>
        <v/>
      </c>
      <c r="K310" s="12" t="str">
        <f>IF(OR(D310="",E310=""),"",IF(IFERROR(INDEX(Stats!$D:$D,MATCH($C310,Stats!$A:$A,0)),FALSE),ROUND(D310+(E310-D310)*(1+G310)*((4-1)/(MaxLevel-1))^(2^F310),0),D310+(E310-D310)*(1+G310)*((4-1)/(MaxLevel-1))^(2^F310)))</f>
        <v/>
      </c>
      <c r="L310" s="12" t="str">
        <f>IF(OR(D310="",E310=""),"",IF(IFERROR(INDEX(Stats!$D:$D,MATCH($C310,Stats!$A:$A,0)),FALSE),ROUND(D310+(E310-D310)*(1+G310)*((5-1)/(MaxLevel-1))^(2^F310),0),D310+(E310-D310)*(1+G310)*((5-1)/(MaxLevel-1))^(2^F310)))</f>
        <v/>
      </c>
      <c r="M310" s="12" t="str">
        <f>IF(OR(D310="",E310=""),"",IF(IFERROR(INDEX(Stats!$D:$D,MATCH($C310,Stats!$A:$A,0)),FALSE),ROUND(D310+(E310-D310)*(1+G310)*((6-1)/(MaxLevel-1))^(2^F310),0),D310+(E310-D310)*(1+G310)*((6-1)/(MaxLevel-1))^(2^F310)))</f>
        <v/>
      </c>
      <c r="N310" s="12" t="str">
        <f>IF(OR(D310="",E310=""),"",IF(IFERROR(INDEX(Stats!$D:$D,MATCH($C310,Stats!$A:$A,0)),FALSE),ROUND(D310+(E310-D310)*(1+G310)*((7-1)/(MaxLevel-1))^(2^F310),0),D310+(E310-D310)*(1+G310)*((7-1)/(MaxLevel-1))^(2^F310)))</f>
        <v/>
      </c>
      <c r="O310" s="12" t="str">
        <f>IF(OR(D310="",E310=""),"",IF(IFERROR(INDEX(Stats!$D:$D,MATCH($C310,Stats!$A:$A,0)),FALSE),ROUND(D310+(E310-D310)*(1+G310)*((8-1)/(MaxLevel-1))^(2^F310),0),D310+(E310-D310)*(1+G310)*((8-1)/(MaxLevel-1))^(2^F310)))</f>
        <v/>
      </c>
      <c r="P310" s="12" t="str">
        <f>IF(OR(D310="",E310=""),"",IF(IFERROR(INDEX(Stats!$D:$D,MATCH($C310,Stats!$A:$A,0)),FALSE),ROUND(D310+(E310-D310)*(1+G310)*((9-1)/(MaxLevel-1))^(2^F310),0),D310+(E310-D310)*(1+G310)*((9-1)/(MaxLevel-1))^(2^F310)))</f>
        <v/>
      </c>
      <c r="Q310" s="12" t="str">
        <f>IF(OR(D310="",E310=""),"",IF(IFERROR(INDEX(Stats!$D:$D,MATCH($C310,Stats!$A:$A,0)),FALSE),ROUND(D310+(E310-D310)*(1+G310)*((10-1)/(MaxLevel-1))^(2^F310),0),D310+(E310-D310)*(1+G310)*((10-1)/(MaxLevel-1))^(2^F310)))</f>
        <v/>
      </c>
    </row>
    <row r="311" spans="1:17" x14ac:dyDescent="0.25">
      <c r="A311" s="4" t="s">
        <v>185</v>
      </c>
      <c r="B311" s="19" t="s">
        <v>231</v>
      </c>
      <c r="C311" s="4" t="s">
        <v>34</v>
      </c>
      <c r="D311" s="5"/>
      <c r="E311" s="5"/>
      <c r="F311" s="5"/>
      <c r="G311" s="5"/>
      <c r="H311" s="12" t="str">
        <f>IF(OR(D311="",E311=""),"",IF(IFERROR(INDEX(Stats!$D:$D,MATCH($C311,Stats!$A:$A,0)),FALSE),ROUND(D311+(E311-D311)*(1+G311)*((1-1)/(MaxLevel-1))^(2^F311),0),D311+(E311-D311)*(1+G311)*((1-1)/(MaxLevel-1))^(2^F311)))</f>
        <v/>
      </c>
      <c r="I311" s="12" t="str">
        <f>IF(OR(D311="",E311=""),"",IF(IFERROR(INDEX(Stats!$D:$D,MATCH($C311,Stats!$A:$A,0)),FALSE),ROUND(D311+(E311-D311)*(1+G311)*((2-1)/(MaxLevel-1))^(2^F311),0),D311+(E311-D311)*(1+G311)*((2-1)/(MaxLevel-1))^(2^F311)))</f>
        <v/>
      </c>
      <c r="J311" s="12" t="str">
        <f>IF(OR(D311="",E311=""),"",IF(IFERROR(INDEX(Stats!$D:$D,MATCH($C311,Stats!$A:$A,0)),FALSE),ROUND(D311+(E311-D311)*(1+G311)*((3-1)/(MaxLevel-1))^(2^F311),0),D311+(E311-D311)*(1+G311)*((3-1)/(MaxLevel-1))^(2^F311)))</f>
        <v/>
      </c>
      <c r="K311" s="12" t="str">
        <f>IF(OR(D311="",E311=""),"",IF(IFERROR(INDEX(Stats!$D:$D,MATCH($C311,Stats!$A:$A,0)),FALSE),ROUND(D311+(E311-D311)*(1+G311)*((4-1)/(MaxLevel-1))^(2^F311),0),D311+(E311-D311)*(1+G311)*((4-1)/(MaxLevel-1))^(2^F311)))</f>
        <v/>
      </c>
      <c r="L311" s="12" t="str">
        <f>IF(OR(D311="",E311=""),"",IF(IFERROR(INDEX(Stats!$D:$D,MATCH($C311,Stats!$A:$A,0)),FALSE),ROUND(D311+(E311-D311)*(1+G311)*((5-1)/(MaxLevel-1))^(2^F311),0),D311+(E311-D311)*(1+G311)*((5-1)/(MaxLevel-1))^(2^F311)))</f>
        <v/>
      </c>
      <c r="M311" s="12" t="str">
        <f>IF(OR(D311="",E311=""),"",IF(IFERROR(INDEX(Stats!$D:$D,MATCH($C311,Stats!$A:$A,0)),FALSE),ROUND(D311+(E311-D311)*(1+G311)*((6-1)/(MaxLevel-1))^(2^F311),0),D311+(E311-D311)*(1+G311)*((6-1)/(MaxLevel-1))^(2^F311)))</f>
        <v/>
      </c>
      <c r="N311" s="12" t="str">
        <f>IF(OR(D311="",E311=""),"",IF(IFERROR(INDEX(Stats!$D:$D,MATCH($C311,Stats!$A:$A,0)),FALSE),ROUND(D311+(E311-D311)*(1+G311)*((7-1)/(MaxLevel-1))^(2^F311),0),D311+(E311-D311)*(1+G311)*((7-1)/(MaxLevel-1))^(2^F311)))</f>
        <v/>
      </c>
      <c r="O311" s="12" t="str">
        <f>IF(OR(D311="",E311=""),"",IF(IFERROR(INDEX(Stats!$D:$D,MATCH($C311,Stats!$A:$A,0)),FALSE),ROUND(D311+(E311-D311)*(1+G311)*((8-1)/(MaxLevel-1))^(2^F311),0),D311+(E311-D311)*(1+G311)*((8-1)/(MaxLevel-1))^(2^F311)))</f>
        <v/>
      </c>
      <c r="P311" s="12" t="str">
        <f>IF(OR(D311="",E311=""),"",IF(IFERROR(INDEX(Stats!$D:$D,MATCH($C311,Stats!$A:$A,0)),FALSE),ROUND(D311+(E311-D311)*(1+G311)*((9-1)/(MaxLevel-1))^(2^F311),0),D311+(E311-D311)*(1+G311)*((9-1)/(MaxLevel-1))^(2^F311)))</f>
        <v/>
      </c>
      <c r="Q311" s="12" t="str">
        <f>IF(OR(D311="",E311=""),"",IF(IFERROR(INDEX(Stats!$D:$D,MATCH($C311,Stats!$A:$A,0)),FALSE),ROUND(D311+(E311-D311)*(1+G311)*((10-1)/(MaxLevel-1))^(2^F311),0),D311+(E311-D311)*(1+G311)*((10-1)/(MaxLevel-1))^(2^F311)))</f>
        <v/>
      </c>
    </row>
    <row r="312" spans="1:17" x14ac:dyDescent="0.25">
      <c r="A312" s="4" t="s">
        <v>185</v>
      </c>
      <c r="B312" s="19" t="s">
        <v>231</v>
      </c>
      <c r="C312" s="4" t="s">
        <v>36</v>
      </c>
      <c r="D312" s="5"/>
      <c r="E312" s="5"/>
      <c r="F312" s="5"/>
      <c r="G312" s="5"/>
      <c r="H312" s="12" t="str">
        <f>IF(OR(D312="",E312=""),"",IF(IFERROR(INDEX(Stats!$D:$D,MATCH($C312,Stats!$A:$A,0)),FALSE),ROUND(D312+(E312-D312)*(1+G312)*((1-1)/(MaxLevel-1))^(2^F312),0),D312+(E312-D312)*(1+G312)*((1-1)/(MaxLevel-1))^(2^F312)))</f>
        <v/>
      </c>
      <c r="I312" s="12" t="str">
        <f>IF(OR(D312="",E312=""),"",IF(IFERROR(INDEX(Stats!$D:$D,MATCH($C312,Stats!$A:$A,0)),FALSE),ROUND(D312+(E312-D312)*(1+G312)*((2-1)/(MaxLevel-1))^(2^F312),0),D312+(E312-D312)*(1+G312)*((2-1)/(MaxLevel-1))^(2^F312)))</f>
        <v/>
      </c>
      <c r="J312" s="12" t="str">
        <f>IF(OR(D312="",E312=""),"",IF(IFERROR(INDEX(Stats!$D:$D,MATCH($C312,Stats!$A:$A,0)),FALSE),ROUND(D312+(E312-D312)*(1+G312)*((3-1)/(MaxLevel-1))^(2^F312),0),D312+(E312-D312)*(1+G312)*((3-1)/(MaxLevel-1))^(2^F312)))</f>
        <v/>
      </c>
      <c r="K312" s="12" t="str">
        <f>IF(OR(D312="",E312=""),"",IF(IFERROR(INDEX(Stats!$D:$D,MATCH($C312,Stats!$A:$A,0)),FALSE),ROUND(D312+(E312-D312)*(1+G312)*((4-1)/(MaxLevel-1))^(2^F312),0),D312+(E312-D312)*(1+G312)*((4-1)/(MaxLevel-1))^(2^F312)))</f>
        <v/>
      </c>
      <c r="L312" s="12" t="str">
        <f>IF(OR(D312="",E312=""),"",IF(IFERROR(INDEX(Stats!$D:$D,MATCH($C312,Stats!$A:$A,0)),FALSE),ROUND(D312+(E312-D312)*(1+G312)*((5-1)/(MaxLevel-1))^(2^F312),0),D312+(E312-D312)*(1+G312)*((5-1)/(MaxLevel-1))^(2^F312)))</f>
        <v/>
      </c>
      <c r="M312" s="12" t="str">
        <f>IF(OR(D312="",E312=""),"",IF(IFERROR(INDEX(Stats!$D:$D,MATCH($C312,Stats!$A:$A,0)),FALSE),ROUND(D312+(E312-D312)*(1+G312)*((6-1)/(MaxLevel-1))^(2^F312),0),D312+(E312-D312)*(1+G312)*((6-1)/(MaxLevel-1))^(2^F312)))</f>
        <v/>
      </c>
      <c r="N312" s="12" t="str">
        <f>IF(OR(D312="",E312=""),"",IF(IFERROR(INDEX(Stats!$D:$D,MATCH($C312,Stats!$A:$A,0)),FALSE),ROUND(D312+(E312-D312)*(1+G312)*((7-1)/(MaxLevel-1))^(2^F312),0),D312+(E312-D312)*(1+G312)*((7-1)/(MaxLevel-1))^(2^F312)))</f>
        <v/>
      </c>
      <c r="O312" s="12" t="str">
        <f>IF(OR(D312="",E312=""),"",IF(IFERROR(INDEX(Stats!$D:$D,MATCH($C312,Stats!$A:$A,0)),FALSE),ROUND(D312+(E312-D312)*(1+G312)*((8-1)/(MaxLevel-1))^(2^F312),0),D312+(E312-D312)*(1+G312)*((8-1)/(MaxLevel-1))^(2^F312)))</f>
        <v/>
      </c>
      <c r="P312" s="12" t="str">
        <f>IF(OR(D312="",E312=""),"",IF(IFERROR(INDEX(Stats!$D:$D,MATCH($C312,Stats!$A:$A,0)),FALSE),ROUND(D312+(E312-D312)*(1+G312)*((9-1)/(MaxLevel-1))^(2^F312),0),D312+(E312-D312)*(1+G312)*((9-1)/(MaxLevel-1))^(2^F312)))</f>
        <v/>
      </c>
      <c r="Q312" s="12" t="str">
        <f>IF(OR(D312="",E312=""),"",IF(IFERROR(INDEX(Stats!$D:$D,MATCH($C312,Stats!$A:$A,0)),FALSE),ROUND(D312+(E312-D312)*(1+G312)*((10-1)/(MaxLevel-1))^(2^F312),0),D312+(E312-D312)*(1+G312)*((10-1)/(MaxLevel-1))^(2^F312)))</f>
        <v/>
      </c>
    </row>
    <row r="313" spans="1:17" x14ac:dyDescent="0.25">
      <c r="A313" s="4" t="s">
        <v>185</v>
      </c>
      <c r="B313" s="19" t="s">
        <v>231</v>
      </c>
      <c r="C313" s="4" t="s">
        <v>38</v>
      </c>
      <c r="D313" s="5"/>
      <c r="E313" s="5"/>
      <c r="F313" s="5"/>
      <c r="G313" s="5"/>
      <c r="H313" s="12" t="str">
        <f>IF(OR(D313="",E313=""),"",IF(IFERROR(INDEX(Stats!$D:$D,MATCH($C313,Stats!$A:$A,0)),FALSE),ROUND(D313+(E313-D313)*(1+G313)*((1-1)/(MaxLevel-1))^(2^F313),0),D313+(E313-D313)*(1+G313)*((1-1)/(MaxLevel-1))^(2^F313)))</f>
        <v/>
      </c>
      <c r="I313" s="12" t="str">
        <f>IF(OR(D313="",E313=""),"",IF(IFERROR(INDEX(Stats!$D:$D,MATCH($C313,Stats!$A:$A,0)),FALSE),ROUND(D313+(E313-D313)*(1+G313)*((2-1)/(MaxLevel-1))^(2^F313),0),D313+(E313-D313)*(1+G313)*((2-1)/(MaxLevel-1))^(2^F313)))</f>
        <v/>
      </c>
      <c r="J313" s="12" t="str">
        <f>IF(OR(D313="",E313=""),"",IF(IFERROR(INDEX(Stats!$D:$D,MATCH($C313,Stats!$A:$A,0)),FALSE),ROUND(D313+(E313-D313)*(1+G313)*((3-1)/(MaxLevel-1))^(2^F313),0),D313+(E313-D313)*(1+G313)*((3-1)/(MaxLevel-1))^(2^F313)))</f>
        <v/>
      </c>
      <c r="K313" s="12" t="str">
        <f>IF(OR(D313="",E313=""),"",IF(IFERROR(INDEX(Stats!$D:$D,MATCH($C313,Stats!$A:$A,0)),FALSE),ROUND(D313+(E313-D313)*(1+G313)*((4-1)/(MaxLevel-1))^(2^F313),0),D313+(E313-D313)*(1+G313)*((4-1)/(MaxLevel-1))^(2^F313)))</f>
        <v/>
      </c>
      <c r="L313" s="12" t="str">
        <f>IF(OR(D313="",E313=""),"",IF(IFERROR(INDEX(Stats!$D:$D,MATCH($C313,Stats!$A:$A,0)),FALSE),ROUND(D313+(E313-D313)*(1+G313)*((5-1)/(MaxLevel-1))^(2^F313),0),D313+(E313-D313)*(1+G313)*((5-1)/(MaxLevel-1))^(2^F313)))</f>
        <v/>
      </c>
      <c r="M313" s="12" t="str">
        <f>IF(OR(D313="",E313=""),"",IF(IFERROR(INDEX(Stats!$D:$D,MATCH($C313,Stats!$A:$A,0)),FALSE),ROUND(D313+(E313-D313)*(1+G313)*((6-1)/(MaxLevel-1))^(2^F313),0),D313+(E313-D313)*(1+G313)*((6-1)/(MaxLevel-1))^(2^F313)))</f>
        <v/>
      </c>
      <c r="N313" s="12" t="str">
        <f>IF(OR(D313="",E313=""),"",IF(IFERROR(INDEX(Stats!$D:$D,MATCH($C313,Stats!$A:$A,0)),FALSE),ROUND(D313+(E313-D313)*(1+G313)*((7-1)/(MaxLevel-1))^(2^F313),0),D313+(E313-D313)*(1+G313)*((7-1)/(MaxLevel-1))^(2^F313)))</f>
        <v/>
      </c>
      <c r="O313" s="12" t="str">
        <f>IF(OR(D313="",E313=""),"",IF(IFERROR(INDEX(Stats!$D:$D,MATCH($C313,Stats!$A:$A,0)),FALSE),ROUND(D313+(E313-D313)*(1+G313)*((8-1)/(MaxLevel-1))^(2^F313),0),D313+(E313-D313)*(1+G313)*((8-1)/(MaxLevel-1))^(2^F313)))</f>
        <v/>
      </c>
      <c r="P313" s="12" t="str">
        <f>IF(OR(D313="",E313=""),"",IF(IFERROR(INDEX(Stats!$D:$D,MATCH($C313,Stats!$A:$A,0)),FALSE),ROUND(D313+(E313-D313)*(1+G313)*((9-1)/(MaxLevel-1))^(2^F313),0),D313+(E313-D313)*(1+G313)*((9-1)/(MaxLevel-1))^(2^F313)))</f>
        <v/>
      </c>
      <c r="Q313" s="12" t="str">
        <f>IF(OR(D313="",E313=""),"",IF(IFERROR(INDEX(Stats!$D:$D,MATCH($C313,Stats!$A:$A,0)),FALSE),ROUND(D313+(E313-D313)*(1+G313)*((10-1)/(MaxLevel-1))^(2^F313),0),D313+(E313-D313)*(1+G313)*((10-1)/(MaxLevel-1))^(2^F313)))</f>
        <v/>
      </c>
    </row>
    <row r="314" spans="1:17" x14ac:dyDescent="0.25">
      <c r="A314" s="4" t="s">
        <v>185</v>
      </c>
      <c r="B314" s="19" t="s">
        <v>231</v>
      </c>
      <c r="C314" s="4" t="s">
        <v>40</v>
      </c>
      <c r="D314" s="5"/>
      <c r="E314" s="5"/>
      <c r="F314" s="5"/>
      <c r="G314" s="5"/>
      <c r="H314" s="12" t="str">
        <f>IF(OR(D314="",E314=""),"",IF(IFERROR(INDEX(Stats!$D:$D,MATCH($C314,Stats!$A:$A,0)),FALSE),ROUND(D314+(E314-D314)*(1+G314)*((1-1)/(MaxLevel-1))^(2^F314),0),D314+(E314-D314)*(1+G314)*((1-1)/(MaxLevel-1))^(2^F314)))</f>
        <v/>
      </c>
      <c r="I314" s="12" t="str">
        <f>IF(OR(D314="",E314=""),"",IF(IFERROR(INDEX(Stats!$D:$D,MATCH($C314,Stats!$A:$A,0)),FALSE),ROUND(D314+(E314-D314)*(1+G314)*((2-1)/(MaxLevel-1))^(2^F314),0),D314+(E314-D314)*(1+G314)*((2-1)/(MaxLevel-1))^(2^F314)))</f>
        <v/>
      </c>
      <c r="J314" s="12" t="str">
        <f>IF(OR(D314="",E314=""),"",IF(IFERROR(INDEX(Stats!$D:$D,MATCH($C314,Stats!$A:$A,0)),FALSE),ROUND(D314+(E314-D314)*(1+G314)*((3-1)/(MaxLevel-1))^(2^F314),0),D314+(E314-D314)*(1+G314)*((3-1)/(MaxLevel-1))^(2^F314)))</f>
        <v/>
      </c>
      <c r="K314" s="12" t="str">
        <f>IF(OR(D314="",E314=""),"",IF(IFERROR(INDEX(Stats!$D:$D,MATCH($C314,Stats!$A:$A,0)),FALSE),ROUND(D314+(E314-D314)*(1+G314)*((4-1)/(MaxLevel-1))^(2^F314),0),D314+(E314-D314)*(1+G314)*((4-1)/(MaxLevel-1))^(2^F314)))</f>
        <v/>
      </c>
      <c r="L314" s="12" t="str">
        <f>IF(OR(D314="",E314=""),"",IF(IFERROR(INDEX(Stats!$D:$D,MATCH($C314,Stats!$A:$A,0)),FALSE),ROUND(D314+(E314-D314)*(1+G314)*((5-1)/(MaxLevel-1))^(2^F314),0),D314+(E314-D314)*(1+G314)*((5-1)/(MaxLevel-1))^(2^F314)))</f>
        <v/>
      </c>
      <c r="M314" s="12" t="str">
        <f>IF(OR(D314="",E314=""),"",IF(IFERROR(INDEX(Stats!$D:$D,MATCH($C314,Stats!$A:$A,0)),FALSE),ROUND(D314+(E314-D314)*(1+G314)*((6-1)/(MaxLevel-1))^(2^F314),0),D314+(E314-D314)*(1+G314)*((6-1)/(MaxLevel-1))^(2^F314)))</f>
        <v/>
      </c>
      <c r="N314" s="12" t="str">
        <f>IF(OR(D314="",E314=""),"",IF(IFERROR(INDEX(Stats!$D:$D,MATCH($C314,Stats!$A:$A,0)),FALSE),ROUND(D314+(E314-D314)*(1+G314)*((7-1)/(MaxLevel-1))^(2^F314),0),D314+(E314-D314)*(1+G314)*((7-1)/(MaxLevel-1))^(2^F314)))</f>
        <v/>
      </c>
      <c r="O314" s="12" t="str">
        <f>IF(OR(D314="",E314=""),"",IF(IFERROR(INDEX(Stats!$D:$D,MATCH($C314,Stats!$A:$A,0)),FALSE),ROUND(D314+(E314-D314)*(1+G314)*((8-1)/(MaxLevel-1))^(2^F314),0),D314+(E314-D314)*(1+G314)*((8-1)/(MaxLevel-1))^(2^F314)))</f>
        <v/>
      </c>
      <c r="P314" s="12" t="str">
        <f>IF(OR(D314="",E314=""),"",IF(IFERROR(INDEX(Stats!$D:$D,MATCH($C314,Stats!$A:$A,0)),FALSE),ROUND(D314+(E314-D314)*(1+G314)*((9-1)/(MaxLevel-1))^(2^F314),0),D314+(E314-D314)*(1+G314)*((9-1)/(MaxLevel-1))^(2^F314)))</f>
        <v/>
      </c>
      <c r="Q314" s="12" t="str">
        <f>IF(OR(D314="",E314=""),"",IF(IFERROR(INDEX(Stats!$D:$D,MATCH($C314,Stats!$A:$A,0)),FALSE),ROUND(D314+(E314-D314)*(1+G314)*((10-1)/(MaxLevel-1))^(2^F314),0),D314+(E314-D314)*(1+G314)*((10-1)/(MaxLevel-1))^(2^F314)))</f>
        <v/>
      </c>
    </row>
    <row r="315" spans="1:17" x14ac:dyDescent="0.25">
      <c r="A315" s="4" t="s">
        <v>185</v>
      </c>
      <c r="B315" s="19" t="s">
        <v>231</v>
      </c>
      <c r="C315" s="4" t="s">
        <v>42</v>
      </c>
      <c r="D315" s="5"/>
      <c r="E315" s="5"/>
      <c r="F315" s="5"/>
      <c r="G315" s="5"/>
      <c r="H315" s="12" t="str">
        <f>IF(OR(D315="",E315=""),"",IF(IFERROR(INDEX(Stats!$D:$D,MATCH($C315,Stats!$A:$A,0)),FALSE),ROUND(D315+(E315-D315)*(1+G315)*((1-1)/(MaxLevel-1))^(2^F315),0),D315+(E315-D315)*(1+G315)*((1-1)/(MaxLevel-1))^(2^F315)))</f>
        <v/>
      </c>
      <c r="I315" s="12" t="str">
        <f>IF(OR(D315="",E315=""),"",IF(IFERROR(INDEX(Stats!$D:$D,MATCH($C315,Stats!$A:$A,0)),FALSE),ROUND(D315+(E315-D315)*(1+G315)*((2-1)/(MaxLevel-1))^(2^F315),0),D315+(E315-D315)*(1+G315)*((2-1)/(MaxLevel-1))^(2^F315)))</f>
        <v/>
      </c>
      <c r="J315" s="12" t="str">
        <f>IF(OR(D315="",E315=""),"",IF(IFERROR(INDEX(Stats!$D:$D,MATCH($C315,Stats!$A:$A,0)),FALSE),ROUND(D315+(E315-D315)*(1+G315)*((3-1)/(MaxLevel-1))^(2^F315),0),D315+(E315-D315)*(1+G315)*((3-1)/(MaxLevel-1))^(2^F315)))</f>
        <v/>
      </c>
      <c r="K315" s="12" t="str">
        <f>IF(OR(D315="",E315=""),"",IF(IFERROR(INDEX(Stats!$D:$D,MATCH($C315,Stats!$A:$A,0)),FALSE),ROUND(D315+(E315-D315)*(1+G315)*((4-1)/(MaxLevel-1))^(2^F315),0),D315+(E315-D315)*(1+G315)*((4-1)/(MaxLevel-1))^(2^F315)))</f>
        <v/>
      </c>
      <c r="L315" s="12" t="str">
        <f>IF(OR(D315="",E315=""),"",IF(IFERROR(INDEX(Stats!$D:$D,MATCH($C315,Stats!$A:$A,0)),FALSE),ROUND(D315+(E315-D315)*(1+G315)*((5-1)/(MaxLevel-1))^(2^F315),0),D315+(E315-D315)*(1+G315)*((5-1)/(MaxLevel-1))^(2^F315)))</f>
        <v/>
      </c>
      <c r="M315" s="12" t="str">
        <f>IF(OR(D315="",E315=""),"",IF(IFERROR(INDEX(Stats!$D:$D,MATCH($C315,Stats!$A:$A,0)),FALSE),ROUND(D315+(E315-D315)*(1+G315)*((6-1)/(MaxLevel-1))^(2^F315),0),D315+(E315-D315)*(1+G315)*((6-1)/(MaxLevel-1))^(2^F315)))</f>
        <v/>
      </c>
      <c r="N315" s="12" t="str">
        <f>IF(OR(D315="",E315=""),"",IF(IFERROR(INDEX(Stats!$D:$D,MATCH($C315,Stats!$A:$A,0)),FALSE),ROUND(D315+(E315-D315)*(1+G315)*((7-1)/(MaxLevel-1))^(2^F315),0),D315+(E315-D315)*(1+G315)*((7-1)/(MaxLevel-1))^(2^F315)))</f>
        <v/>
      </c>
      <c r="O315" s="12" t="str">
        <f>IF(OR(D315="",E315=""),"",IF(IFERROR(INDEX(Stats!$D:$D,MATCH($C315,Stats!$A:$A,0)),FALSE),ROUND(D315+(E315-D315)*(1+G315)*((8-1)/(MaxLevel-1))^(2^F315),0),D315+(E315-D315)*(1+G315)*((8-1)/(MaxLevel-1))^(2^F315)))</f>
        <v/>
      </c>
      <c r="P315" s="12" t="str">
        <f>IF(OR(D315="",E315=""),"",IF(IFERROR(INDEX(Stats!$D:$D,MATCH($C315,Stats!$A:$A,0)),FALSE),ROUND(D315+(E315-D315)*(1+G315)*((9-1)/(MaxLevel-1))^(2^F315),0),D315+(E315-D315)*(1+G315)*((9-1)/(MaxLevel-1))^(2^F315)))</f>
        <v/>
      </c>
      <c r="Q315" s="12" t="str">
        <f>IF(OR(D315="",E315=""),"",IF(IFERROR(INDEX(Stats!$D:$D,MATCH($C315,Stats!$A:$A,0)),FALSE),ROUND(D315+(E315-D315)*(1+G315)*((10-1)/(MaxLevel-1))^(2^F315),0),D315+(E315-D315)*(1+G315)*((10-1)/(MaxLevel-1))^(2^F315)))</f>
        <v/>
      </c>
    </row>
    <row r="316" spans="1:17" x14ac:dyDescent="0.25">
      <c r="A316" s="4" t="s">
        <v>185</v>
      </c>
      <c r="B316" s="19" t="s">
        <v>231</v>
      </c>
      <c r="C316" s="4" t="s">
        <v>44</v>
      </c>
      <c r="D316" s="5"/>
      <c r="E316" s="5"/>
      <c r="F316" s="5"/>
      <c r="G316" s="5"/>
      <c r="H316" s="12" t="str">
        <f>IF(OR(D316="",E316=""),"",IF(IFERROR(INDEX(Stats!$D:$D,MATCH($C316,Stats!$A:$A,0)),FALSE),ROUND(D316+(E316-D316)*(1+G316)*((1-1)/(MaxLevel-1))^(2^F316),0),D316+(E316-D316)*(1+G316)*((1-1)/(MaxLevel-1))^(2^F316)))</f>
        <v/>
      </c>
      <c r="I316" s="12" t="str">
        <f>IF(OR(D316="",E316=""),"",IF(IFERROR(INDEX(Stats!$D:$D,MATCH($C316,Stats!$A:$A,0)),FALSE),ROUND(D316+(E316-D316)*(1+G316)*((2-1)/(MaxLevel-1))^(2^F316),0),D316+(E316-D316)*(1+G316)*((2-1)/(MaxLevel-1))^(2^F316)))</f>
        <v/>
      </c>
      <c r="J316" s="12" t="str">
        <f>IF(OR(D316="",E316=""),"",IF(IFERROR(INDEX(Stats!$D:$D,MATCH($C316,Stats!$A:$A,0)),FALSE),ROUND(D316+(E316-D316)*(1+G316)*((3-1)/(MaxLevel-1))^(2^F316),0),D316+(E316-D316)*(1+G316)*((3-1)/(MaxLevel-1))^(2^F316)))</f>
        <v/>
      </c>
      <c r="K316" s="12" t="str">
        <f>IF(OR(D316="",E316=""),"",IF(IFERROR(INDEX(Stats!$D:$D,MATCH($C316,Stats!$A:$A,0)),FALSE),ROUND(D316+(E316-D316)*(1+G316)*((4-1)/(MaxLevel-1))^(2^F316),0),D316+(E316-D316)*(1+G316)*((4-1)/(MaxLevel-1))^(2^F316)))</f>
        <v/>
      </c>
      <c r="L316" s="12" t="str">
        <f>IF(OR(D316="",E316=""),"",IF(IFERROR(INDEX(Stats!$D:$D,MATCH($C316,Stats!$A:$A,0)),FALSE),ROUND(D316+(E316-D316)*(1+G316)*((5-1)/(MaxLevel-1))^(2^F316),0),D316+(E316-D316)*(1+G316)*((5-1)/(MaxLevel-1))^(2^F316)))</f>
        <v/>
      </c>
      <c r="M316" s="12" t="str">
        <f>IF(OR(D316="",E316=""),"",IF(IFERROR(INDEX(Stats!$D:$D,MATCH($C316,Stats!$A:$A,0)),FALSE),ROUND(D316+(E316-D316)*(1+G316)*((6-1)/(MaxLevel-1))^(2^F316),0),D316+(E316-D316)*(1+G316)*((6-1)/(MaxLevel-1))^(2^F316)))</f>
        <v/>
      </c>
      <c r="N316" s="12" t="str">
        <f>IF(OR(D316="",E316=""),"",IF(IFERROR(INDEX(Stats!$D:$D,MATCH($C316,Stats!$A:$A,0)),FALSE),ROUND(D316+(E316-D316)*(1+G316)*((7-1)/(MaxLevel-1))^(2^F316),0),D316+(E316-D316)*(1+G316)*((7-1)/(MaxLevel-1))^(2^F316)))</f>
        <v/>
      </c>
      <c r="O316" s="12" t="str">
        <f>IF(OR(D316="",E316=""),"",IF(IFERROR(INDEX(Stats!$D:$D,MATCH($C316,Stats!$A:$A,0)),FALSE),ROUND(D316+(E316-D316)*(1+G316)*((8-1)/(MaxLevel-1))^(2^F316),0),D316+(E316-D316)*(1+G316)*((8-1)/(MaxLevel-1))^(2^F316)))</f>
        <v/>
      </c>
      <c r="P316" s="12" t="str">
        <f>IF(OR(D316="",E316=""),"",IF(IFERROR(INDEX(Stats!$D:$D,MATCH($C316,Stats!$A:$A,0)),FALSE),ROUND(D316+(E316-D316)*(1+G316)*((9-1)/(MaxLevel-1))^(2^F316),0),D316+(E316-D316)*(1+G316)*((9-1)/(MaxLevel-1))^(2^F316)))</f>
        <v/>
      </c>
      <c r="Q316" s="12" t="str">
        <f>IF(OR(D316="",E316=""),"",IF(IFERROR(INDEX(Stats!$D:$D,MATCH($C316,Stats!$A:$A,0)),FALSE),ROUND(D316+(E316-D316)*(1+G316)*((10-1)/(MaxLevel-1))^(2^F316),0),D316+(E316-D316)*(1+G316)*((10-1)/(MaxLevel-1))^(2^F316)))</f>
        <v/>
      </c>
    </row>
    <row r="317" spans="1:17" x14ac:dyDescent="0.25">
      <c r="A317" s="4" t="s">
        <v>185</v>
      </c>
      <c r="B317" s="19" t="s">
        <v>231</v>
      </c>
      <c r="C317" s="4" t="s">
        <v>46</v>
      </c>
      <c r="D317" s="5">
        <v>300</v>
      </c>
      <c r="E317" s="5">
        <v>320</v>
      </c>
      <c r="F317" s="5">
        <v>0</v>
      </c>
      <c r="G317" s="5">
        <v>0</v>
      </c>
      <c r="H317" s="12">
        <f>IF(OR(D317="",E317=""),"",IF(IFERROR(INDEX(Stats!$D:$D,MATCH($C317,Stats!$A:$A,0)),FALSE),ROUND(D317+(E317-D317)*(1+G317)*((1-1)/(MaxLevel-1))^(2^F317),0),D317+(E317-D317)*(1+G317)*((1-1)/(MaxLevel-1))^(2^F317)))</f>
        <v>300</v>
      </c>
      <c r="I317" s="12">
        <f>IF(OR(D317="",E317=""),"",IF(IFERROR(INDEX(Stats!$D:$D,MATCH($C317,Stats!$A:$A,0)),FALSE),ROUND(D317+(E317-D317)*(1+G317)*((2-1)/(MaxLevel-1))^(2^F317),0),D317+(E317-D317)*(1+G317)*((2-1)/(MaxLevel-1))^(2^F317)))</f>
        <v>302.22222222222223</v>
      </c>
      <c r="J317" s="12">
        <f>IF(OR(D317="",E317=""),"",IF(IFERROR(INDEX(Stats!$D:$D,MATCH($C317,Stats!$A:$A,0)),FALSE),ROUND(D317+(E317-D317)*(1+G317)*((3-1)/(MaxLevel-1))^(2^F317),0),D317+(E317-D317)*(1+G317)*((3-1)/(MaxLevel-1))^(2^F317)))</f>
        <v>304.44444444444446</v>
      </c>
      <c r="K317" s="12">
        <f>IF(OR(D317="",E317=""),"",IF(IFERROR(INDEX(Stats!$D:$D,MATCH($C317,Stats!$A:$A,0)),FALSE),ROUND(D317+(E317-D317)*(1+G317)*((4-1)/(MaxLevel-1))^(2^F317),0),D317+(E317-D317)*(1+G317)*((4-1)/(MaxLevel-1))^(2^F317)))</f>
        <v>306.66666666666669</v>
      </c>
      <c r="L317" s="12">
        <f>IF(OR(D317="",E317=""),"",IF(IFERROR(INDEX(Stats!$D:$D,MATCH($C317,Stats!$A:$A,0)),FALSE),ROUND(D317+(E317-D317)*(1+G317)*((5-1)/(MaxLevel-1))^(2^F317),0),D317+(E317-D317)*(1+G317)*((5-1)/(MaxLevel-1))^(2^F317)))</f>
        <v>308.88888888888891</v>
      </c>
      <c r="M317" s="12">
        <f>IF(OR(D317="",E317=""),"",IF(IFERROR(INDEX(Stats!$D:$D,MATCH($C317,Stats!$A:$A,0)),FALSE),ROUND(D317+(E317-D317)*(1+G317)*((6-1)/(MaxLevel-1))^(2^F317),0),D317+(E317-D317)*(1+G317)*((6-1)/(MaxLevel-1))^(2^F317)))</f>
        <v>311.11111111111109</v>
      </c>
      <c r="N317" s="12">
        <f>IF(OR(D317="",E317=""),"",IF(IFERROR(INDEX(Stats!$D:$D,MATCH($C317,Stats!$A:$A,0)),FALSE),ROUND(D317+(E317-D317)*(1+G317)*((7-1)/(MaxLevel-1))^(2^F317),0),D317+(E317-D317)*(1+G317)*((7-1)/(MaxLevel-1))^(2^F317)))</f>
        <v>313.33333333333331</v>
      </c>
      <c r="O317" s="12">
        <f>IF(OR(D317="",E317=""),"",IF(IFERROR(INDEX(Stats!$D:$D,MATCH($C317,Stats!$A:$A,0)),FALSE),ROUND(D317+(E317-D317)*(1+G317)*((8-1)/(MaxLevel-1))^(2^F317),0),D317+(E317-D317)*(1+G317)*((8-1)/(MaxLevel-1))^(2^F317)))</f>
        <v>315.55555555555554</v>
      </c>
      <c r="P317" s="12">
        <f>IF(OR(D317="",E317=""),"",IF(IFERROR(INDEX(Stats!$D:$D,MATCH($C317,Stats!$A:$A,0)),FALSE),ROUND(D317+(E317-D317)*(1+G317)*((9-1)/(MaxLevel-1))^(2^F317),0),D317+(E317-D317)*(1+G317)*((9-1)/(MaxLevel-1))^(2^F317)))</f>
        <v>317.77777777777777</v>
      </c>
      <c r="Q317" s="12">
        <f>IF(OR(D317="",E317=""),"",IF(IFERROR(INDEX(Stats!$D:$D,MATCH($C317,Stats!$A:$A,0)),FALSE),ROUND(D317+(E317-D317)*(1+G317)*((10-1)/(MaxLevel-1))^(2^F317),0),D317+(E317-D317)*(1+G317)*((10-1)/(MaxLevel-1))^(2^F317)))</f>
        <v>320</v>
      </c>
    </row>
    <row r="318" spans="1:17" x14ac:dyDescent="0.25">
      <c r="A318" s="4" t="s">
        <v>185</v>
      </c>
      <c r="B318" s="19" t="s">
        <v>231</v>
      </c>
      <c r="C318" s="4" t="s">
        <v>48</v>
      </c>
      <c r="D318" s="5"/>
      <c r="E318" s="5"/>
      <c r="F318" s="5"/>
      <c r="G318" s="5"/>
      <c r="H318" s="12" t="str">
        <f>IF(OR(D318="",E318=""),"",IF(IFERROR(INDEX(Stats!$D:$D,MATCH($C318,Stats!$A:$A,0)),FALSE),ROUND(D318+(E318-D318)*(1+G318)*((1-1)/(MaxLevel-1))^(2^F318),0),D318+(E318-D318)*(1+G318)*((1-1)/(MaxLevel-1))^(2^F318)))</f>
        <v/>
      </c>
      <c r="I318" s="12" t="str">
        <f>IF(OR(D318="",E318=""),"",IF(IFERROR(INDEX(Stats!$D:$D,MATCH($C318,Stats!$A:$A,0)),FALSE),ROUND(D318+(E318-D318)*(1+G318)*((2-1)/(MaxLevel-1))^(2^F318),0),D318+(E318-D318)*(1+G318)*((2-1)/(MaxLevel-1))^(2^F318)))</f>
        <v/>
      </c>
      <c r="J318" s="12" t="str">
        <f>IF(OR(D318="",E318=""),"",IF(IFERROR(INDEX(Stats!$D:$D,MATCH($C318,Stats!$A:$A,0)),FALSE),ROUND(D318+(E318-D318)*(1+G318)*((3-1)/(MaxLevel-1))^(2^F318),0),D318+(E318-D318)*(1+G318)*((3-1)/(MaxLevel-1))^(2^F318)))</f>
        <v/>
      </c>
      <c r="K318" s="12" t="str">
        <f>IF(OR(D318="",E318=""),"",IF(IFERROR(INDEX(Stats!$D:$D,MATCH($C318,Stats!$A:$A,0)),FALSE),ROUND(D318+(E318-D318)*(1+G318)*((4-1)/(MaxLevel-1))^(2^F318),0),D318+(E318-D318)*(1+G318)*((4-1)/(MaxLevel-1))^(2^F318)))</f>
        <v/>
      </c>
      <c r="L318" s="12" t="str">
        <f>IF(OR(D318="",E318=""),"",IF(IFERROR(INDEX(Stats!$D:$D,MATCH($C318,Stats!$A:$A,0)),FALSE),ROUND(D318+(E318-D318)*(1+G318)*((5-1)/(MaxLevel-1))^(2^F318),0),D318+(E318-D318)*(1+G318)*((5-1)/(MaxLevel-1))^(2^F318)))</f>
        <v/>
      </c>
      <c r="M318" s="12" t="str">
        <f>IF(OR(D318="",E318=""),"",IF(IFERROR(INDEX(Stats!$D:$D,MATCH($C318,Stats!$A:$A,0)),FALSE),ROUND(D318+(E318-D318)*(1+G318)*((6-1)/(MaxLevel-1))^(2^F318),0),D318+(E318-D318)*(1+G318)*((6-1)/(MaxLevel-1))^(2^F318)))</f>
        <v/>
      </c>
      <c r="N318" s="12" t="str">
        <f>IF(OR(D318="",E318=""),"",IF(IFERROR(INDEX(Stats!$D:$D,MATCH($C318,Stats!$A:$A,0)),FALSE),ROUND(D318+(E318-D318)*(1+G318)*((7-1)/(MaxLevel-1))^(2^F318),0),D318+(E318-D318)*(1+G318)*((7-1)/(MaxLevel-1))^(2^F318)))</f>
        <v/>
      </c>
      <c r="O318" s="12" t="str">
        <f>IF(OR(D318="",E318=""),"",IF(IFERROR(INDEX(Stats!$D:$D,MATCH($C318,Stats!$A:$A,0)),FALSE),ROUND(D318+(E318-D318)*(1+G318)*((8-1)/(MaxLevel-1))^(2^F318),0),D318+(E318-D318)*(1+G318)*((8-1)/(MaxLevel-1))^(2^F318)))</f>
        <v/>
      </c>
      <c r="P318" s="12" t="str">
        <f>IF(OR(D318="",E318=""),"",IF(IFERROR(INDEX(Stats!$D:$D,MATCH($C318,Stats!$A:$A,0)),FALSE),ROUND(D318+(E318-D318)*(1+G318)*((9-1)/(MaxLevel-1))^(2^F318),0),D318+(E318-D318)*(1+G318)*((9-1)/(MaxLevel-1))^(2^F318)))</f>
        <v/>
      </c>
      <c r="Q318" s="12" t="str">
        <f>IF(OR(D318="",E318=""),"",IF(IFERROR(INDEX(Stats!$D:$D,MATCH($C318,Stats!$A:$A,0)),FALSE),ROUND(D318+(E318-D318)*(1+G318)*((10-1)/(MaxLevel-1))^(2^F318),0),D318+(E318-D318)*(1+G318)*((10-1)/(MaxLevel-1))^(2^F318)))</f>
        <v/>
      </c>
    </row>
    <row r="319" spans="1:17" x14ac:dyDescent="0.25">
      <c r="A319" s="4" t="s">
        <v>185</v>
      </c>
      <c r="B319" s="19" t="s">
        <v>231</v>
      </c>
      <c r="C319" s="4" t="s">
        <v>50</v>
      </c>
      <c r="D319" s="5"/>
      <c r="E319" s="5"/>
      <c r="F319" s="5"/>
      <c r="G319" s="5"/>
      <c r="H319" s="12" t="str">
        <f>IF(OR(D319="",E319=""),"",IF(IFERROR(INDEX(Stats!$D:$D,MATCH($C319,Stats!$A:$A,0)),FALSE),ROUND(D319+(E319-D319)*(1+G319)*((1-1)/(MaxLevel-1))^(2^F319),0),D319+(E319-D319)*(1+G319)*((1-1)/(MaxLevel-1))^(2^F319)))</f>
        <v/>
      </c>
      <c r="I319" s="12" t="str">
        <f>IF(OR(D319="",E319=""),"",IF(IFERROR(INDEX(Stats!$D:$D,MATCH($C319,Stats!$A:$A,0)),FALSE),ROUND(D319+(E319-D319)*(1+G319)*((2-1)/(MaxLevel-1))^(2^F319),0),D319+(E319-D319)*(1+G319)*((2-1)/(MaxLevel-1))^(2^F319)))</f>
        <v/>
      </c>
      <c r="J319" s="12" t="str">
        <f>IF(OR(D319="",E319=""),"",IF(IFERROR(INDEX(Stats!$D:$D,MATCH($C319,Stats!$A:$A,0)),FALSE),ROUND(D319+(E319-D319)*(1+G319)*((3-1)/(MaxLevel-1))^(2^F319),0),D319+(E319-D319)*(1+G319)*((3-1)/(MaxLevel-1))^(2^F319)))</f>
        <v/>
      </c>
      <c r="K319" s="12" t="str">
        <f>IF(OR(D319="",E319=""),"",IF(IFERROR(INDEX(Stats!$D:$D,MATCH($C319,Stats!$A:$A,0)),FALSE),ROUND(D319+(E319-D319)*(1+G319)*((4-1)/(MaxLevel-1))^(2^F319),0),D319+(E319-D319)*(1+G319)*((4-1)/(MaxLevel-1))^(2^F319)))</f>
        <v/>
      </c>
      <c r="L319" s="12" t="str">
        <f>IF(OR(D319="",E319=""),"",IF(IFERROR(INDEX(Stats!$D:$D,MATCH($C319,Stats!$A:$A,0)),FALSE),ROUND(D319+(E319-D319)*(1+G319)*((5-1)/(MaxLevel-1))^(2^F319),0),D319+(E319-D319)*(1+G319)*((5-1)/(MaxLevel-1))^(2^F319)))</f>
        <v/>
      </c>
      <c r="M319" s="12" t="str">
        <f>IF(OR(D319="",E319=""),"",IF(IFERROR(INDEX(Stats!$D:$D,MATCH($C319,Stats!$A:$A,0)),FALSE),ROUND(D319+(E319-D319)*(1+G319)*((6-1)/(MaxLevel-1))^(2^F319),0),D319+(E319-D319)*(1+G319)*((6-1)/(MaxLevel-1))^(2^F319)))</f>
        <v/>
      </c>
      <c r="N319" s="12" t="str">
        <f>IF(OR(D319="",E319=""),"",IF(IFERROR(INDEX(Stats!$D:$D,MATCH($C319,Stats!$A:$A,0)),FALSE),ROUND(D319+(E319-D319)*(1+G319)*((7-1)/(MaxLevel-1))^(2^F319),0),D319+(E319-D319)*(1+G319)*((7-1)/(MaxLevel-1))^(2^F319)))</f>
        <v/>
      </c>
      <c r="O319" s="12" t="str">
        <f>IF(OR(D319="",E319=""),"",IF(IFERROR(INDEX(Stats!$D:$D,MATCH($C319,Stats!$A:$A,0)),FALSE),ROUND(D319+(E319-D319)*(1+G319)*((8-1)/(MaxLevel-1))^(2^F319),0),D319+(E319-D319)*(1+G319)*((8-1)/(MaxLevel-1))^(2^F319)))</f>
        <v/>
      </c>
      <c r="P319" s="12" t="str">
        <f>IF(OR(D319="",E319=""),"",IF(IFERROR(INDEX(Stats!$D:$D,MATCH($C319,Stats!$A:$A,0)),FALSE),ROUND(D319+(E319-D319)*(1+G319)*((9-1)/(MaxLevel-1))^(2^F319),0),D319+(E319-D319)*(1+G319)*((9-1)/(MaxLevel-1))^(2^F319)))</f>
        <v/>
      </c>
      <c r="Q319" s="12" t="str">
        <f>IF(OR(D319="",E319=""),"",IF(IFERROR(INDEX(Stats!$D:$D,MATCH($C319,Stats!$A:$A,0)),FALSE),ROUND(D319+(E319-D319)*(1+G319)*((10-1)/(MaxLevel-1))^(2^F319),0),D319+(E319-D319)*(1+G319)*((10-1)/(MaxLevel-1))^(2^F319)))</f>
        <v/>
      </c>
    </row>
    <row r="320" spans="1:17" x14ac:dyDescent="0.25">
      <c r="A320" s="4" t="s">
        <v>185</v>
      </c>
      <c r="B320" s="19" t="s">
        <v>231</v>
      </c>
      <c r="C320" s="4" t="s">
        <v>52</v>
      </c>
      <c r="D320" s="5"/>
      <c r="E320" s="5"/>
      <c r="F320" s="5"/>
      <c r="G320" s="5"/>
      <c r="H320" s="12" t="str">
        <f>IF(OR(D320="",E320=""),"",IF(IFERROR(INDEX(Stats!$D:$D,MATCH($C320,Stats!$A:$A,0)),FALSE),ROUND(D320+(E320-D320)*(1+G320)*((1-1)/(MaxLevel-1))^(2^F320),0),D320+(E320-D320)*(1+G320)*((1-1)/(MaxLevel-1))^(2^F320)))</f>
        <v/>
      </c>
      <c r="I320" s="12" t="str">
        <f>IF(OR(D320="",E320=""),"",IF(IFERROR(INDEX(Stats!$D:$D,MATCH($C320,Stats!$A:$A,0)),FALSE),ROUND(D320+(E320-D320)*(1+G320)*((2-1)/(MaxLevel-1))^(2^F320),0),D320+(E320-D320)*(1+G320)*((2-1)/(MaxLevel-1))^(2^F320)))</f>
        <v/>
      </c>
      <c r="J320" s="12" t="str">
        <f>IF(OR(D320="",E320=""),"",IF(IFERROR(INDEX(Stats!$D:$D,MATCH($C320,Stats!$A:$A,0)),FALSE),ROUND(D320+(E320-D320)*(1+G320)*((3-1)/(MaxLevel-1))^(2^F320),0),D320+(E320-D320)*(1+G320)*((3-1)/(MaxLevel-1))^(2^F320)))</f>
        <v/>
      </c>
      <c r="K320" s="12" t="str">
        <f>IF(OR(D320="",E320=""),"",IF(IFERROR(INDEX(Stats!$D:$D,MATCH($C320,Stats!$A:$A,0)),FALSE),ROUND(D320+(E320-D320)*(1+G320)*((4-1)/(MaxLevel-1))^(2^F320),0),D320+(E320-D320)*(1+G320)*((4-1)/(MaxLevel-1))^(2^F320)))</f>
        <v/>
      </c>
      <c r="L320" s="12" t="str">
        <f>IF(OR(D320="",E320=""),"",IF(IFERROR(INDEX(Stats!$D:$D,MATCH($C320,Stats!$A:$A,0)),FALSE),ROUND(D320+(E320-D320)*(1+G320)*((5-1)/(MaxLevel-1))^(2^F320),0),D320+(E320-D320)*(1+G320)*((5-1)/(MaxLevel-1))^(2^F320)))</f>
        <v/>
      </c>
      <c r="M320" s="12" t="str">
        <f>IF(OR(D320="",E320=""),"",IF(IFERROR(INDEX(Stats!$D:$D,MATCH($C320,Stats!$A:$A,0)),FALSE),ROUND(D320+(E320-D320)*(1+G320)*((6-1)/(MaxLevel-1))^(2^F320),0),D320+(E320-D320)*(1+G320)*((6-1)/(MaxLevel-1))^(2^F320)))</f>
        <v/>
      </c>
      <c r="N320" s="12" t="str">
        <f>IF(OR(D320="",E320=""),"",IF(IFERROR(INDEX(Stats!$D:$D,MATCH($C320,Stats!$A:$A,0)),FALSE),ROUND(D320+(E320-D320)*(1+G320)*((7-1)/(MaxLevel-1))^(2^F320),0),D320+(E320-D320)*(1+G320)*((7-1)/(MaxLevel-1))^(2^F320)))</f>
        <v/>
      </c>
      <c r="O320" s="12" t="str">
        <f>IF(OR(D320="",E320=""),"",IF(IFERROR(INDEX(Stats!$D:$D,MATCH($C320,Stats!$A:$A,0)),FALSE),ROUND(D320+(E320-D320)*(1+G320)*((8-1)/(MaxLevel-1))^(2^F320),0),D320+(E320-D320)*(1+G320)*((8-1)/(MaxLevel-1))^(2^F320)))</f>
        <v/>
      </c>
      <c r="P320" s="12" t="str">
        <f>IF(OR(D320="",E320=""),"",IF(IFERROR(INDEX(Stats!$D:$D,MATCH($C320,Stats!$A:$A,0)),FALSE),ROUND(D320+(E320-D320)*(1+G320)*((9-1)/(MaxLevel-1))^(2^F320),0),D320+(E320-D320)*(1+G320)*((9-1)/(MaxLevel-1))^(2^F320)))</f>
        <v/>
      </c>
      <c r="Q320" s="12" t="str">
        <f>IF(OR(D320="",E320=""),"",IF(IFERROR(INDEX(Stats!$D:$D,MATCH($C320,Stats!$A:$A,0)),FALSE),ROUND(D320+(E320-D320)*(1+G320)*((10-1)/(MaxLevel-1))^(2^F320),0),D320+(E320-D320)*(1+G320)*((10-1)/(MaxLevel-1))^(2^F320)))</f>
        <v/>
      </c>
    </row>
    <row r="321" spans="1:17" x14ac:dyDescent="0.25">
      <c r="A321" s="4" t="s">
        <v>185</v>
      </c>
      <c r="B321" s="19" t="s">
        <v>231</v>
      </c>
      <c r="C321" s="4" t="s">
        <v>54</v>
      </c>
      <c r="D321" s="5"/>
      <c r="E321" s="5"/>
      <c r="F321" s="5"/>
      <c r="G321" s="5"/>
      <c r="H321" s="12" t="str">
        <f>IF(OR(D321="",E321=""),"",IF(IFERROR(INDEX(Stats!$D:$D,MATCH($C321,Stats!$A:$A,0)),FALSE),ROUND(D321+(E321-D321)*(1+G321)*((1-1)/(MaxLevel-1))^(2^F321),0),D321+(E321-D321)*(1+G321)*((1-1)/(MaxLevel-1))^(2^F321)))</f>
        <v/>
      </c>
      <c r="I321" s="12" t="str">
        <f>IF(OR(D321="",E321=""),"",IF(IFERROR(INDEX(Stats!$D:$D,MATCH($C321,Stats!$A:$A,0)),FALSE),ROUND(D321+(E321-D321)*(1+G321)*((2-1)/(MaxLevel-1))^(2^F321),0),D321+(E321-D321)*(1+G321)*((2-1)/(MaxLevel-1))^(2^F321)))</f>
        <v/>
      </c>
      <c r="J321" s="12" t="str">
        <f>IF(OR(D321="",E321=""),"",IF(IFERROR(INDEX(Stats!$D:$D,MATCH($C321,Stats!$A:$A,0)),FALSE),ROUND(D321+(E321-D321)*(1+G321)*((3-1)/(MaxLevel-1))^(2^F321),0),D321+(E321-D321)*(1+G321)*((3-1)/(MaxLevel-1))^(2^F321)))</f>
        <v/>
      </c>
      <c r="K321" s="12" t="str">
        <f>IF(OR(D321="",E321=""),"",IF(IFERROR(INDEX(Stats!$D:$D,MATCH($C321,Stats!$A:$A,0)),FALSE),ROUND(D321+(E321-D321)*(1+G321)*((4-1)/(MaxLevel-1))^(2^F321),0),D321+(E321-D321)*(1+G321)*((4-1)/(MaxLevel-1))^(2^F321)))</f>
        <v/>
      </c>
      <c r="L321" s="12" t="str">
        <f>IF(OR(D321="",E321=""),"",IF(IFERROR(INDEX(Stats!$D:$D,MATCH($C321,Stats!$A:$A,0)),FALSE),ROUND(D321+(E321-D321)*(1+G321)*((5-1)/(MaxLevel-1))^(2^F321),0),D321+(E321-D321)*(1+G321)*((5-1)/(MaxLevel-1))^(2^F321)))</f>
        <v/>
      </c>
      <c r="M321" s="12" t="str">
        <f>IF(OR(D321="",E321=""),"",IF(IFERROR(INDEX(Stats!$D:$D,MATCH($C321,Stats!$A:$A,0)),FALSE),ROUND(D321+(E321-D321)*(1+G321)*((6-1)/(MaxLevel-1))^(2^F321),0),D321+(E321-D321)*(1+G321)*((6-1)/(MaxLevel-1))^(2^F321)))</f>
        <v/>
      </c>
      <c r="N321" s="12" t="str">
        <f>IF(OR(D321="",E321=""),"",IF(IFERROR(INDEX(Stats!$D:$D,MATCH($C321,Stats!$A:$A,0)),FALSE),ROUND(D321+(E321-D321)*(1+G321)*((7-1)/(MaxLevel-1))^(2^F321),0),D321+(E321-D321)*(1+G321)*((7-1)/(MaxLevel-1))^(2^F321)))</f>
        <v/>
      </c>
      <c r="O321" s="12" t="str">
        <f>IF(OR(D321="",E321=""),"",IF(IFERROR(INDEX(Stats!$D:$D,MATCH($C321,Stats!$A:$A,0)),FALSE),ROUND(D321+(E321-D321)*(1+G321)*((8-1)/(MaxLevel-1))^(2^F321),0),D321+(E321-D321)*(1+G321)*((8-1)/(MaxLevel-1))^(2^F321)))</f>
        <v/>
      </c>
      <c r="P321" s="12" t="str">
        <f>IF(OR(D321="",E321=""),"",IF(IFERROR(INDEX(Stats!$D:$D,MATCH($C321,Stats!$A:$A,0)),FALSE),ROUND(D321+(E321-D321)*(1+G321)*((9-1)/(MaxLevel-1))^(2^F321),0),D321+(E321-D321)*(1+G321)*((9-1)/(MaxLevel-1))^(2^F321)))</f>
        <v/>
      </c>
      <c r="Q321" s="12" t="str">
        <f>IF(OR(D321="",E321=""),"",IF(IFERROR(INDEX(Stats!$D:$D,MATCH($C321,Stats!$A:$A,0)),FALSE),ROUND(D321+(E321-D321)*(1+G321)*((10-1)/(MaxLevel-1))^(2^F321),0),D321+(E321-D321)*(1+G321)*((10-1)/(MaxLevel-1))^(2^F321)))</f>
        <v/>
      </c>
    </row>
    <row r="322" spans="1:17" x14ac:dyDescent="0.25">
      <c r="A322" s="4" t="s">
        <v>185</v>
      </c>
      <c r="B322" s="19" t="s">
        <v>231</v>
      </c>
      <c r="C322" s="4" t="s">
        <v>56</v>
      </c>
      <c r="D322" s="5"/>
      <c r="E322" s="5"/>
      <c r="F322" s="5"/>
      <c r="G322" s="5"/>
      <c r="H322" s="12" t="str">
        <f>IF(OR(D322="",E322=""),"",IF(IFERROR(INDEX(Stats!$D:$D,MATCH($C322,Stats!$A:$A,0)),FALSE),ROUND(D322+(E322-D322)*(1+G322)*((1-1)/(MaxLevel-1))^(2^F322),0),D322+(E322-D322)*(1+G322)*((1-1)/(MaxLevel-1))^(2^F322)))</f>
        <v/>
      </c>
      <c r="I322" s="12" t="str">
        <f>IF(OR(D322="",E322=""),"",IF(IFERROR(INDEX(Stats!$D:$D,MATCH($C322,Stats!$A:$A,0)),FALSE),ROUND(D322+(E322-D322)*(1+G322)*((2-1)/(MaxLevel-1))^(2^F322),0),D322+(E322-D322)*(1+G322)*((2-1)/(MaxLevel-1))^(2^F322)))</f>
        <v/>
      </c>
      <c r="J322" s="12" t="str">
        <f>IF(OR(D322="",E322=""),"",IF(IFERROR(INDEX(Stats!$D:$D,MATCH($C322,Stats!$A:$A,0)),FALSE),ROUND(D322+(E322-D322)*(1+G322)*((3-1)/(MaxLevel-1))^(2^F322),0),D322+(E322-D322)*(1+G322)*((3-1)/(MaxLevel-1))^(2^F322)))</f>
        <v/>
      </c>
      <c r="K322" s="12" t="str">
        <f>IF(OR(D322="",E322=""),"",IF(IFERROR(INDEX(Stats!$D:$D,MATCH($C322,Stats!$A:$A,0)),FALSE),ROUND(D322+(E322-D322)*(1+G322)*((4-1)/(MaxLevel-1))^(2^F322),0),D322+(E322-D322)*(1+G322)*((4-1)/(MaxLevel-1))^(2^F322)))</f>
        <v/>
      </c>
      <c r="L322" s="12" t="str">
        <f>IF(OR(D322="",E322=""),"",IF(IFERROR(INDEX(Stats!$D:$D,MATCH($C322,Stats!$A:$A,0)),FALSE),ROUND(D322+(E322-D322)*(1+G322)*((5-1)/(MaxLevel-1))^(2^F322),0),D322+(E322-D322)*(1+G322)*((5-1)/(MaxLevel-1))^(2^F322)))</f>
        <v/>
      </c>
      <c r="M322" s="12" t="str">
        <f>IF(OR(D322="",E322=""),"",IF(IFERROR(INDEX(Stats!$D:$D,MATCH($C322,Stats!$A:$A,0)),FALSE),ROUND(D322+(E322-D322)*(1+G322)*((6-1)/(MaxLevel-1))^(2^F322),0),D322+(E322-D322)*(1+G322)*((6-1)/(MaxLevel-1))^(2^F322)))</f>
        <v/>
      </c>
      <c r="N322" s="12" t="str">
        <f>IF(OR(D322="",E322=""),"",IF(IFERROR(INDEX(Stats!$D:$D,MATCH($C322,Stats!$A:$A,0)),FALSE),ROUND(D322+(E322-D322)*(1+G322)*((7-1)/(MaxLevel-1))^(2^F322),0),D322+(E322-D322)*(1+G322)*((7-1)/(MaxLevel-1))^(2^F322)))</f>
        <v/>
      </c>
      <c r="O322" s="12" t="str">
        <f>IF(OR(D322="",E322=""),"",IF(IFERROR(INDEX(Stats!$D:$D,MATCH($C322,Stats!$A:$A,0)),FALSE),ROUND(D322+(E322-D322)*(1+G322)*((8-1)/(MaxLevel-1))^(2^F322),0),D322+(E322-D322)*(1+G322)*((8-1)/(MaxLevel-1))^(2^F322)))</f>
        <v/>
      </c>
      <c r="P322" s="12" t="str">
        <f>IF(OR(D322="",E322=""),"",IF(IFERROR(INDEX(Stats!$D:$D,MATCH($C322,Stats!$A:$A,0)),FALSE),ROUND(D322+(E322-D322)*(1+G322)*((9-1)/(MaxLevel-1))^(2^F322),0),D322+(E322-D322)*(1+G322)*((9-1)/(MaxLevel-1))^(2^F322)))</f>
        <v/>
      </c>
      <c r="Q322" s="12" t="str">
        <f>IF(OR(D322="",E322=""),"",IF(IFERROR(INDEX(Stats!$D:$D,MATCH($C322,Stats!$A:$A,0)),FALSE),ROUND(D322+(E322-D322)*(1+G322)*((10-1)/(MaxLevel-1))^(2^F322),0),D322+(E322-D322)*(1+G322)*((10-1)/(MaxLevel-1))^(2^F322)))</f>
        <v/>
      </c>
    </row>
    <row r="323" spans="1:17" x14ac:dyDescent="0.25">
      <c r="A323" s="4" t="s">
        <v>185</v>
      </c>
      <c r="B323" s="19" t="s">
        <v>231</v>
      </c>
      <c r="C323" s="4" t="s">
        <v>58</v>
      </c>
      <c r="D323" s="5"/>
      <c r="E323" s="5"/>
      <c r="F323" s="5"/>
      <c r="G323" s="5"/>
      <c r="H323" s="12" t="str">
        <f>IF(OR(D323="",E323=""),"",IF(IFERROR(INDEX(Stats!$D:$D,MATCH($C323,Stats!$A:$A,0)),FALSE),ROUND(D323+(E323-D323)*(1+G323)*((1-1)/(MaxLevel-1))^(2^F323),0),D323+(E323-D323)*(1+G323)*((1-1)/(MaxLevel-1))^(2^F323)))</f>
        <v/>
      </c>
      <c r="I323" s="12" t="str">
        <f>IF(OR(D323="",E323=""),"",IF(IFERROR(INDEX(Stats!$D:$D,MATCH($C323,Stats!$A:$A,0)),FALSE),ROUND(D323+(E323-D323)*(1+G323)*((2-1)/(MaxLevel-1))^(2^F323),0),D323+(E323-D323)*(1+G323)*((2-1)/(MaxLevel-1))^(2^F323)))</f>
        <v/>
      </c>
      <c r="J323" s="12" t="str">
        <f>IF(OR(D323="",E323=""),"",IF(IFERROR(INDEX(Stats!$D:$D,MATCH($C323,Stats!$A:$A,0)),FALSE),ROUND(D323+(E323-D323)*(1+G323)*((3-1)/(MaxLevel-1))^(2^F323),0),D323+(E323-D323)*(1+G323)*((3-1)/(MaxLevel-1))^(2^F323)))</f>
        <v/>
      </c>
      <c r="K323" s="12" t="str">
        <f>IF(OR(D323="",E323=""),"",IF(IFERROR(INDEX(Stats!$D:$D,MATCH($C323,Stats!$A:$A,0)),FALSE),ROUND(D323+(E323-D323)*(1+G323)*((4-1)/(MaxLevel-1))^(2^F323),0),D323+(E323-D323)*(1+G323)*((4-1)/(MaxLevel-1))^(2^F323)))</f>
        <v/>
      </c>
      <c r="L323" s="12" t="str">
        <f>IF(OR(D323="",E323=""),"",IF(IFERROR(INDEX(Stats!$D:$D,MATCH($C323,Stats!$A:$A,0)),FALSE),ROUND(D323+(E323-D323)*(1+G323)*((5-1)/(MaxLevel-1))^(2^F323),0),D323+(E323-D323)*(1+G323)*((5-1)/(MaxLevel-1))^(2^F323)))</f>
        <v/>
      </c>
      <c r="M323" s="12" t="str">
        <f>IF(OR(D323="",E323=""),"",IF(IFERROR(INDEX(Stats!$D:$D,MATCH($C323,Stats!$A:$A,0)),FALSE),ROUND(D323+(E323-D323)*(1+G323)*((6-1)/(MaxLevel-1))^(2^F323),0),D323+(E323-D323)*(1+G323)*((6-1)/(MaxLevel-1))^(2^F323)))</f>
        <v/>
      </c>
      <c r="N323" s="12" t="str">
        <f>IF(OR(D323="",E323=""),"",IF(IFERROR(INDEX(Stats!$D:$D,MATCH($C323,Stats!$A:$A,0)),FALSE),ROUND(D323+(E323-D323)*(1+G323)*((7-1)/(MaxLevel-1))^(2^F323),0),D323+(E323-D323)*(1+G323)*((7-1)/(MaxLevel-1))^(2^F323)))</f>
        <v/>
      </c>
      <c r="O323" s="12" t="str">
        <f>IF(OR(D323="",E323=""),"",IF(IFERROR(INDEX(Stats!$D:$D,MATCH($C323,Stats!$A:$A,0)),FALSE),ROUND(D323+(E323-D323)*(1+G323)*((8-1)/(MaxLevel-1))^(2^F323),0),D323+(E323-D323)*(1+G323)*((8-1)/(MaxLevel-1))^(2^F323)))</f>
        <v/>
      </c>
      <c r="P323" s="12" t="str">
        <f>IF(OR(D323="",E323=""),"",IF(IFERROR(INDEX(Stats!$D:$D,MATCH($C323,Stats!$A:$A,0)),FALSE),ROUND(D323+(E323-D323)*(1+G323)*((9-1)/(MaxLevel-1))^(2^F323),0),D323+(E323-D323)*(1+G323)*((9-1)/(MaxLevel-1))^(2^F323)))</f>
        <v/>
      </c>
      <c r="Q323" s="12" t="str">
        <f>IF(OR(D323="",E323=""),"",IF(IFERROR(INDEX(Stats!$D:$D,MATCH($C323,Stats!$A:$A,0)),FALSE),ROUND(D323+(E323-D323)*(1+G323)*((10-1)/(MaxLevel-1))^(2^F323),0),D323+(E323-D323)*(1+G323)*((10-1)/(MaxLevel-1))^(2^F323)))</f>
        <v/>
      </c>
    </row>
    <row r="324" spans="1:17" x14ac:dyDescent="0.25">
      <c r="A324" s="4" t="s">
        <v>185</v>
      </c>
      <c r="B324" s="19" t="s">
        <v>231</v>
      </c>
      <c r="C324" s="4" t="s">
        <v>60</v>
      </c>
      <c r="D324" s="5"/>
      <c r="E324" s="5"/>
      <c r="F324" s="5"/>
      <c r="G324" s="5"/>
      <c r="H324" s="12" t="str">
        <f>IF(OR(D324="",E324=""),"",IF(IFERROR(INDEX(Stats!$D:$D,MATCH($C324,Stats!$A:$A,0)),FALSE),ROUND(D324+(E324-D324)*(1+G324)*((1-1)/(MaxLevel-1))^(2^F324),0),D324+(E324-D324)*(1+G324)*((1-1)/(MaxLevel-1))^(2^F324)))</f>
        <v/>
      </c>
      <c r="I324" s="12" t="str">
        <f>IF(OR(D324="",E324=""),"",IF(IFERROR(INDEX(Stats!$D:$D,MATCH($C324,Stats!$A:$A,0)),FALSE),ROUND(D324+(E324-D324)*(1+G324)*((2-1)/(MaxLevel-1))^(2^F324),0),D324+(E324-D324)*(1+G324)*((2-1)/(MaxLevel-1))^(2^F324)))</f>
        <v/>
      </c>
      <c r="J324" s="12" t="str">
        <f>IF(OR(D324="",E324=""),"",IF(IFERROR(INDEX(Stats!$D:$D,MATCH($C324,Stats!$A:$A,0)),FALSE),ROUND(D324+(E324-D324)*(1+G324)*((3-1)/(MaxLevel-1))^(2^F324),0),D324+(E324-D324)*(1+G324)*((3-1)/(MaxLevel-1))^(2^F324)))</f>
        <v/>
      </c>
      <c r="K324" s="12" t="str">
        <f>IF(OR(D324="",E324=""),"",IF(IFERROR(INDEX(Stats!$D:$D,MATCH($C324,Stats!$A:$A,0)),FALSE),ROUND(D324+(E324-D324)*(1+G324)*((4-1)/(MaxLevel-1))^(2^F324),0),D324+(E324-D324)*(1+G324)*((4-1)/(MaxLevel-1))^(2^F324)))</f>
        <v/>
      </c>
      <c r="L324" s="12" t="str">
        <f>IF(OR(D324="",E324=""),"",IF(IFERROR(INDEX(Stats!$D:$D,MATCH($C324,Stats!$A:$A,0)),FALSE),ROUND(D324+(E324-D324)*(1+G324)*((5-1)/(MaxLevel-1))^(2^F324),0),D324+(E324-D324)*(1+G324)*((5-1)/(MaxLevel-1))^(2^F324)))</f>
        <v/>
      </c>
      <c r="M324" s="12" t="str">
        <f>IF(OR(D324="",E324=""),"",IF(IFERROR(INDEX(Stats!$D:$D,MATCH($C324,Stats!$A:$A,0)),FALSE),ROUND(D324+(E324-D324)*(1+G324)*((6-1)/(MaxLevel-1))^(2^F324),0),D324+(E324-D324)*(1+G324)*((6-1)/(MaxLevel-1))^(2^F324)))</f>
        <v/>
      </c>
      <c r="N324" s="12" t="str">
        <f>IF(OR(D324="",E324=""),"",IF(IFERROR(INDEX(Stats!$D:$D,MATCH($C324,Stats!$A:$A,0)),FALSE),ROUND(D324+(E324-D324)*(1+G324)*((7-1)/(MaxLevel-1))^(2^F324),0),D324+(E324-D324)*(1+G324)*((7-1)/(MaxLevel-1))^(2^F324)))</f>
        <v/>
      </c>
      <c r="O324" s="12" t="str">
        <f>IF(OR(D324="",E324=""),"",IF(IFERROR(INDEX(Stats!$D:$D,MATCH($C324,Stats!$A:$A,0)),FALSE),ROUND(D324+(E324-D324)*(1+G324)*((8-1)/(MaxLevel-1))^(2^F324),0),D324+(E324-D324)*(1+G324)*((8-1)/(MaxLevel-1))^(2^F324)))</f>
        <v/>
      </c>
      <c r="P324" s="12" t="str">
        <f>IF(OR(D324="",E324=""),"",IF(IFERROR(INDEX(Stats!$D:$D,MATCH($C324,Stats!$A:$A,0)),FALSE),ROUND(D324+(E324-D324)*(1+G324)*((9-1)/(MaxLevel-1))^(2^F324),0),D324+(E324-D324)*(1+G324)*((9-1)/(MaxLevel-1))^(2^F324)))</f>
        <v/>
      </c>
      <c r="Q324" s="12" t="str">
        <f>IF(OR(D324="",E324=""),"",IF(IFERROR(INDEX(Stats!$D:$D,MATCH($C324,Stats!$A:$A,0)),FALSE),ROUND(D324+(E324-D324)*(1+G324)*((10-1)/(MaxLevel-1))^(2^F324),0),D324+(E324-D324)*(1+G324)*((10-1)/(MaxLevel-1))^(2^F324)))</f>
        <v/>
      </c>
    </row>
    <row r="325" spans="1:17" x14ac:dyDescent="0.25">
      <c r="A325" s="4" t="s">
        <v>185</v>
      </c>
      <c r="B325" s="19" t="s">
        <v>232</v>
      </c>
      <c r="C325" s="4" t="s">
        <v>24</v>
      </c>
      <c r="D325" s="5">
        <v>0</v>
      </c>
      <c r="E325" s="5">
        <v>10000</v>
      </c>
      <c r="F325" s="5">
        <v>1</v>
      </c>
      <c r="G325" s="5">
        <v>0</v>
      </c>
      <c r="H325" s="12">
        <f>IF(OR(D325="",E325=""),"",IF(IFERROR(INDEX(Stats!$D:$D,MATCH($C325,Stats!$A:$A,0)),FALSE),ROUND(D325+(E325-D325)*(1+G325)*((1-1)/(MaxLevel-1))^(2^F325),0),D325+(E325-D325)*(1+G325)*((1-1)/(MaxLevel-1))^(2^F325)))</f>
        <v>0</v>
      </c>
      <c r="I325" s="12">
        <f>IF(OR(D325="",E325=""),"",IF(IFERROR(INDEX(Stats!$D:$D,MATCH($C325,Stats!$A:$A,0)),FALSE),ROUND(D325+(E325-D325)*(1+G325)*((2-1)/(MaxLevel-1))^(2^F325),0),D325+(E325-D325)*(1+G325)*((2-1)/(MaxLevel-1))^(2^F325)))</f>
        <v>123</v>
      </c>
      <c r="J325" s="12">
        <f>IF(OR(D325="",E325=""),"",IF(IFERROR(INDEX(Stats!$D:$D,MATCH($C325,Stats!$A:$A,0)),FALSE),ROUND(D325+(E325-D325)*(1+G325)*((3-1)/(MaxLevel-1))^(2^F325),0),D325+(E325-D325)*(1+G325)*((3-1)/(MaxLevel-1))^(2^F325)))</f>
        <v>494</v>
      </c>
      <c r="K325" s="12">
        <f>IF(OR(D325="",E325=""),"",IF(IFERROR(INDEX(Stats!$D:$D,MATCH($C325,Stats!$A:$A,0)),FALSE),ROUND(D325+(E325-D325)*(1+G325)*((4-1)/(MaxLevel-1))^(2^F325),0),D325+(E325-D325)*(1+G325)*((4-1)/(MaxLevel-1))^(2^F325)))</f>
        <v>1111</v>
      </c>
      <c r="L325" s="12">
        <f>IF(OR(D325="",E325=""),"",IF(IFERROR(INDEX(Stats!$D:$D,MATCH($C325,Stats!$A:$A,0)),FALSE),ROUND(D325+(E325-D325)*(1+G325)*((5-1)/(MaxLevel-1))^(2^F325),0),D325+(E325-D325)*(1+G325)*((5-1)/(MaxLevel-1))^(2^F325)))</f>
        <v>1975</v>
      </c>
      <c r="M325" s="12">
        <f>IF(OR(D325="",E325=""),"",IF(IFERROR(INDEX(Stats!$D:$D,MATCH($C325,Stats!$A:$A,0)),FALSE),ROUND(D325+(E325-D325)*(1+G325)*((6-1)/(MaxLevel-1))^(2^F325),0),D325+(E325-D325)*(1+G325)*((6-1)/(MaxLevel-1))^(2^F325)))</f>
        <v>3086</v>
      </c>
      <c r="N325" s="12">
        <f>IF(OR(D325="",E325=""),"",IF(IFERROR(INDEX(Stats!$D:$D,MATCH($C325,Stats!$A:$A,0)),FALSE),ROUND(D325+(E325-D325)*(1+G325)*((7-1)/(MaxLevel-1))^(2^F325),0),D325+(E325-D325)*(1+G325)*((7-1)/(MaxLevel-1))^(2^F325)))</f>
        <v>4444</v>
      </c>
      <c r="O325" s="12">
        <f>IF(OR(D325="",E325=""),"",IF(IFERROR(INDEX(Stats!$D:$D,MATCH($C325,Stats!$A:$A,0)),FALSE),ROUND(D325+(E325-D325)*(1+G325)*((8-1)/(MaxLevel-1))^(2^F325),0),D325+(E325-D325)*(1+G325)*((8-1)/(MaxLevel-1))^(2^F325)))</f>
        <v>6049</v>
      </c>
      <c r="P325" s="12">
        <f>IF(OR(D325="",E325=""),"",IF(IFERROR(INDEX(Stats!$D:$D,MATCH($C325,Stats!$A:$A,0)),FALSE),ROUND(D325+(E325-D325)*(1+G325)*((9-1)/(MaxLevel-1))^(2^F325),0),D325+(E325-D325)*(1+G325)*((9-1)/(MaxLevel-1))^(2^F325)))</f>
        <v>7901</v>
      </c>
      <c r="Q325" s="12">
        <f>IF(OR(D325="",E325=""),"",IF(IFERROR(INDEX(Stats!$D:$D,MATCH($C325,Stats!$A:$A,0)),FALSE),ROUND(D325+(E325-D325)*(1+G325)*((10-1)/(MaxLevel-1))^(2^F325),0),D325+(E325-D325)*(1+G325)*((10-1)/(MaxLevel-1))^(2^F325)))</f>
        <v>10000</v>
      </c>
    </row>
    <row r="326" spans="1:17" x14ac:dyDescent="0.25">
      <c r="A326" s="4" t="s">
        <v>185</v>
      </c>
      <c r="B326" s="19" t="s">
        <v>232</v>
      </c>
      <c r="C326" s="4" t="s">
        <v>26</v>
      </c>
      <c r="D326" s="5">
        <v>25</v>
      </c>
      <c r="E326" s="5">
        <v>150</v>
      </c>
      <c r="F326" s="5">
        <v>0</v>
      </c>
      <c r="G326" s="5">
        <v>0</v>
      </c>
      <c r="H326" s="12">
        <f>IF(OR(D326="",E326=""),"",IF(IFERROR(INDEX(Stats!$D:$D,MATCH($C326,Stats!$A:$A,0)),FALSE),ROUND(D326+(E326-D326)*(1+G326)*((1-1)/(MaxLevel-1))^(2^F326),0),D326+(E326-D326)*(1+G326)*((1-1)/(MaxLevel-1))^(2^F326)))</f>
        <v>25</v>
      </c>
      <c r="I326" s="12">
        <f>IF(OR(D326="",E326=""),"",IF(IFERROR(INDEX(Stats!$D:$D,MATCH($C326,Stats!$A:$A,0)),FALSE),ROUND(D326+(E326-D326)*(1+G326)*((2-1)/(MaxLevel-1))^(2^F326),0),D326+(E326-D326)*(1+G326)*((2-1)/(MaxLevel-1))^(2^F326)))</f>
        <v>39</v>
      </c>
      <c r="J326" s="12">
        <f>IF(OR(D326="",E326=""),"",IF(IFERROR(INDEX(Stats!$D:$D,MATCH($C326,Stats!$A:$A,0)),FALSE),ROUND(D326+(E326-D326)*(1+G326)*((3-1)/(MaxLevel-1))^(2^F326),0),D326+(E326-D326)*(1+G326)*((3-1)/(MaxLevel-1))^(2^F326)))</f>
        <v>53</v>
      </c>
      <c r="K326" s="12">
        <f>IF(OR(D326="",E326=""),"",IF(IFERROR(INDEX(Stats!$D:$D,MATCH($C326,Stats!$A:$A,0)),FALSE),ROUND(D326+(E326-D326)*(1+G326)*((4-1)/(MaxLevel-1))^(2^F326),0),D326+(E326-D326)*(1+G326)*((4-1)/(MaxLevel-1))^(2^F326)))</f>
        <v>67</v>
      </c>
      <c r="L326" s="12">
        <f>IF(OR(D326="",E326=""),"",IF(IFERROR(INDEX(Stats!$D:$D,MATCH($C326,Stats!$A:$A,0)),FALSE),ROUND(D326+(E326-D326)*(1+G326)*((5-1)/(MaxLevel-1))^(2^F326),0),D326+(E326-D326)*(1+G326)*((5-1)/(MaxLevel-1))^(2^F326)))</f>
        <v>81</v>
      </c>
      <c r="M326" s="12">
        <f>IF(OR(D326="",E326=""),"",IF(IFERROR(INDEX(Stats!$D:$D,MATCH($C326,Stats!$A:$A,0)),FALSE),ROUND(D326+(E326-D326)*(1+G326)*((6-1)/(MaxLevel-1))^(2^F326),0),D326+(E326-D326)*(1+G326)*((6-1)/(MaxLevel-1))^(2^F326)))</f>
        <v>94</v>
      </c>
      <c r="N326" s="12">
        <f>IF(OR(D326="",E326=""),"",IF(IFERROR(INDEX(Stats!$D:$D,MATCH($C326,Stats!$A:$A,0)),FALSE),ROUND(D326+(E326-D326)*(1+G326)*((7-1)/(MaxLevel-1))^(2^F326),0),D326+(E326-D326)*(1+G326)*((7-1)/(MaxLevel-1))^(2^F326)))</f>
        <v>108</v>
      </c>
      <c r="O326" s="12">
        <f>IF(OR(D326="",E326=""),"",IF(IFERROR(INDEX(Stats!$D:$D,MATCH($C326,Stats!$A:$A,0)),FALSE),ROUND(D326+(E326-D326)*(1+G326)*((8-1)/(MaxLevel-1))^(2^F326),0),D326+(E326-D326)*(1+G326)*((8-1)/(MaxLevel-1))^(2^F326)))</f>
        <v>122</v>
      </c>
      <c r="P326" s="12">
        <f>IF(OR(D326="",E326=""),"",IF(IFERROR(INDEX(Stats!$D:$D,MATCH($C326,Stats!$A:$A,0)),FALSE),ROUND(D326+(E326-D326)*(1+G326)*((9-1)/(MaxLevel-1))^(2^F326),0),D326+(E326-D326)*(1+G326)*((9-1)/(MaxLevel-1))^(2^F326)))</f>
        <v>136</v>
      </c>
      <c r="Q326" s="12">
        <f>IF(OR(D326="",E326=""),"",IF(IFERROR(INDEX(Stats!$D:$D,MATCH($C326,Stats!$A:$A,0)),FALSE),ROUND(D326+(E326-D326)*(1+G326)*((10-1)/(MaxLevel-1))^(2^F326),0),D326+(E326-D326)*(1+G326)*((10-1)/(MaxLevel-1))^(2^F326)))</f>
        <v>150</v>
      </c>
    </row>
    <row r="327" spans="1:17" x14ac:dyDescent="0.25">
      <c r="A327" s="4" t="s">
        <v>185</v>
      </c>
      <c r="B327" s="19" t="s">
        <v>232</v>
      </c>
      <c r="C327" s="4" t="s">
        <v>28</v>
      </c>
      <c r="D327" s="5">
        <v>300</v>
      </c>
      <c r="E327" s="5">
        <v>1200</v>
      </c>
      <c r="F327" s="5">
        <v>0</v>
      </c>
      <c r="G327" s="5">
        <v>-0.1</v>
      </c>
      <c r="H327" s="12">
        <f>IF(OR(D327="",E327=""),"",IF(IFERROR(INDEX(Stats!$D:$D,MATCH($C327,Stats!$A:$A,0)),FALSE),ROUND(D327+(E327-D327)*(1+G327)*((1-1)/(MaxLevel-1))^(2^F327),0),D327+(E327-D327)*(1+G327)*((1-1)/(MaxLevel-1))^(2^F327)))</f>
        <v>300</v>
      </c>
      <c r="I327" s="12">
        <f>IF(OR(D327="",E327=""),"",IF(IFERROR(INDEX(Stats!$D:$D,MATCH($C327,Stats!$A:$A,0)),FALSE),ROUND(D327+(E327-D327)*(1+G327)*((2-1)/(MaxLevel-1))^(2^F327),0),D327+(E327-D327)*(1+G327)*((2-1)/(MaxLevel-1))^(2^F327)))</f>
        <v>390</v>
      </c>
      <c r="J327" s="12">
        <f>IF(OR(D327="",E327=""),"",IF(IFERROR(INDEX(Stats!$D:$D,MATCH($C327,Stats!$A:$A,0)),FALSE),ROUND(D327+(E327-D327)*(1+G327)*((3-1)/(MaxLevel-1))^(2^F327),0),D327+(E327-D327)*(1+G327)*((3-1)/(MaxLevel-1))^(2^F327)))</f>
        <v>480</v>
      </c>
      <c r="K327" s="12">
        <f>IF(OR(D327="",E327=""),"",IF(IFERROR(INDEX(Stats!$D:$D,MATCH($C327,Stats!$A:$A,0)),FALSE),ROUND(D327+(E327-D327)*(1+G327)*((4-1)/(MaxLevel-1))^(2^F327),0),D327+(E327-D327)*(1+G327)*((4-1)/(MaxLevel-1))^(2^F327)))</f>
        <v>570</v>
      </c>
      <c r="L327" s="12">
        <f>IF(OR(D327="",E327=""),"",IF(IFERROR(INDEX(Stats!$D:$D,MATCH($C327,Stats!$A:$A,0)),FALSE),ROUND(D327+(E327-D327)*(1+G327)*((5-1)/(MaxLevel-1))^(2^F327),0),D327+(E327-D327)*(1+G327)*((5-1)/(MaxLevel-1))^(2^F327)))</f>
        <v>660</v>
      </c>
      <c r="M327" s="12">
        <f>IF(OR(D327="",E327=""),"",IF(IFERROR(INDEX(Stats!$D:$D,MATCH($C327,Stats!$A:$A,0)),FALSE),ROUND(D327+(E327-D327)*(1+G327)*((6-1)/(MaxLevel-1))^(2^F327),0),D327+(E327-D327)*(1+G327)*((6-1)/(MaxLevel-1))^(2^F327)))</f>
        <v>750</v>
      </c>
      <c r="N327" s="12">
        <f>IF(OR(D327="",E327=""),"",IF(IFERROR(INDEX(Stats!$D:$D,MATCH($C327,Stats!$A:$A,0)),FALSE),ROUND(D327+(E327-D327)*(1+G327)*((7-1)/(MaxLevel-1))^(2^F327),0),D327+(E327-D327)*(1+G327)*((7-1)/(MaxLevel-1))^(2^F327)))</f>
        <v>840</v>
      </c>
      <c r="O327" s="12">
        <f>IF(OR(D327="",E327=""),"",IF(IFERROR(INDEX(Stats!$D:$D,MATCH($C327,Stats!$A:$A,0)),FALSE),ROUND(D327+(E327-D327)*(1+G327)*((8-1)/(MaxLevel-1))^(2^F327),0),D327+(E327-D327)*(1+G327)*((8-1)/(MaxLevel-1))^(2^F327)))</f>
        <v>930</v>
      </c>
      <c r="P327" s="12">
        <f>IF(OR(D327="",E327=""),"",IF(IFERROR(INDEX(Stats!$D:$D,MATCH($C327,Stats!$A:$A,0)),FALSE),ROUND(D327+(E327-D327)*(1+G327)*((9-1)/(MaxLevel-1))^(2^F327),0),D327+(E327-D327)*(1+G327)*((9-1)/(MaxLevel-1))^(2^F327)))</f>
        <v>1020</v>
      </c>
      <c r="Q327" s="12">
        <f>IF(OR(D327="",E327=""),"",IF(IFERROR(INDEX(Stats!$D:$D,MATCH($C327,Stats!$A:$A,0)),FALSE),ROUND(D327+(E327-D327)*(1+G327)*((10-1)/(MaxLevel-1))^(2^F327),0),D327+(E327-D327)*(1+G327)*((10-1)/(MaxLevel-1))^(2^F327)))</f>
        <v>1110</v>
      </c>
    </row>
    <row r="328" spans="1:17" x14ac:dyDescent="0.25">
      <c r="A328" s="4" t="s">
        <v>185</v>
      </c>
      <c r="B328" s="19" t="s">
        <v>232</v>
      </c>
      <c r="C328" s="4" t="s">
        <v>30</v>
      </c>
      <c r="D328" s="5">
        <v>25</v>
      </c>
      <c r="E328" s="5">
        <v>110</v>
      </c>
      <c r="F328" s="5">
        <v>0.5</v>
      </c>
      <c r="G328" s="5">
        <v>0</v>
      </c>
      <c r="H328" s="12">
        <f>IF(OR(D328="",E328=""),"",IF(IFERROR(INDEX(Stats!$D:$D,MATCH($C328,Stats!$A:$A,0)),FALSE),ROUND(D328+(E328-D328)*(1+G328)*((1-1)/(MaxLevel-1))^(2^F328),0),D328+(E328-D328)*(1+G328)*((1-1)/(MaxLevel-1))^(2^F328)))</f>
        <v>25</v>
      </c>
      <c r="I328" s="12">
        <f>IF(OR(D328="",E328=""),"",IF(IFERROR(INDEX(Stats!$D:$D,MATCH($C328,Stats!$A:$A,0)),FALSE),ROUND(D328+(E328-D328)*(1+G328)*((2-1)/(MaxLevel-1))^(2^F328),0),D328+(E328-D328)*(1+G328)*((2-1)/(MaxLevel-1))^(2^F328)))</f>
        <v>29</v>
      </c>
      <c r="J328" s="12">
        <f>IF(OR(D328="",E328=""),"",IF(IFERROR(INDEX(Stats!$D:$D,MATCH($C328,Stats!$A:$A,0)),FALSE),ROUND(D328+(E328-D328)*(1+G328)*((3-1)/(MaxLevel-1))^(2^F328),0),D328+(E328-D328)*(1+G328)*((3-1)/(MaxLevel-1))^(2^F328)))</f>
        <v>35</v>
      </c>
      <c r="K328" s="12">
        <f>IF(OR(D328="",E328=""),"",IF(IFERROR(INDEX(Stats!$D:$D,MATCH($C328,Stats!$A:$A,0)),FALSE),ROUND(D328+(E328-D328)*(1+G328)*((4-1)/(MaxLevel-1))^(2^F328),0),D328+(E328-D328)*(1+G328)*((4-1)/(MaxLevel-1))^(2^F328)))</f>
        <v>43</v>
      </c>
      <c r="L328" s="12">
        <f>IF(OR(D328="",E328=""),"",IF(IFERROR(INDEX(Stats!$D:$D,MATCH($C328,Stats!$A:$A,0)),FALSE),ROUND(D328+(E328-D328)*(1+G328)*((5-1)/(MaxLevel-1))^(2^F328),0),D328+(E328-D328)*(1+G328)*((5-1)/(MaxLevel-1))^(2^F328)))</f>
        <v>52</v>
      </c>
      <c r="M328" s="12">
        <f>IF(OR(D328="",E328=""),"",IF(IFERROR(INDEX(Stats!$D:$D,MATCH($C328,Stats!$A:$A,0)),FALSE),ROUND(D328+(E328-D328)*(1+G328)*((6-1)/(MaxLevel-1))^(2^F328),0),D328+(E328-D328)*(1+G328)*((6-1)/(MaxLevel-1))^(2^F328)))</f>
        <v>62</v>
      </c>
      <c r="N328" s="12">
        <f>IF(OR(D328="",E328=""),"",IF(IFERROR(INDEX(Stats!$D:$D,MATCH($C328,Stats!$A:$A,0)),FALSE),ROUND(D328+(E328-D328)*(1+G328)*((7-1)/(MaxLevel-1))^(2^F328),0),D328+(E328-D328)*(1+G328)*((7-1)/(MaxLevel-1))^(2^F328)))</f>
        <v>73</v>
      </c>
      <c r="O328" s="12">
        <f>IF(OR(D328="",E328=""),"",IF(IFERROR(INDEX(Stats!$D:$D,MATCH($C328,Stats!$A:$A,0)),FALSE),ROUND(D328+(E328-D328)*(1+G328)*((8-1)/(MaxLevel-1))^(2^F328),0),D328+(E328-D328)*(1+G328)*((8-1)/(MaxLevel-1))^(2^F328)))</f>
        <v>85</v>
      </c>
      <c r="P328" s="12">
        <f>IF(OR(D328="",E328=""),"",IF(IFERROR(INDEX(Stats!$D:$D,MATCH($C328,Stats!$A:$A,0)),FALSE),ROUND(D328+(E328-D328)*(1+G328)*((9-1)/(MaxLevel-1))^(2^F328),0),D328+(E328-D328)*(1+G328)*((9-1)/(MaxLevel-1))^(2^F328)))</f>
        <v>97</v>
      </c>
      <c r="Q328" s="12">
        <f>IF(OR(D328="",E328=""),"",IF(IFERROR(INDEX(Stats!$D:$D,MATCH($C328,Stats!$A:$A,0)),FALSE),ROUND(D328+(E328-D328)*(1+G328)*((10-1)/(MaxLevel-1))^(2^F328),0),D328+(E328-D328)*(1+G328)*((10-1)/(MaxLevel-1))^(2^F328)))</f>
        <v>110</v>
      </c>
    </row>
    <row r="329" spans="1:17" x14ac:dyDescent="0.25">
      <c r="A329" s="4" t="s">
        <v>185</v>
      </c>
      <c r="B329" s="19" t="s">
        <v>232</v>
      </c>
      <c r="C329" s="4" t="s">
        <v>32</v>
      </c>
      <c r="D329" s="5"/>
      <c r="E329" s="5"/>
      <c r="F329" s="5"/>
      <c r="G329" s="5"/>
      <c r="H329" s="12" t="str">
        <f>IF(OR(D329="",E329=""),"",IF(IFERROR(INDEX(Stats!$D:$D,MATCH($C329,Stats!$A:$A,0)),FALSE),ROUND(D329+(E329-D329)*(1+G329)*((1-1)/(MaxLevel-1))^(2^F329),0),D329+(E329-D329)*(1+G329)*((1-1)/(MaxLevel-1))^(2^F329)))</f>
        <v/>
      </c>
      <c r="I329" s="12" t="str">
        <f>IF(OR(D329="",E329=""),"",IF(IFERROR(INDEX(Stats!$D:$D,MATCH($C329,Stats!$A:$A,0)),FALSE),ROUND(D329+(E329-D329)*(1+G329)*((2-1)/(MaxLevel-1))^(2^F329),0),D329+(E329-D329)*(1+G329)*((2-1)/(MaxLevel-1))^(2^F329)))</f>
        <v/>
      </c>
      <c r="J329" s="12" t="str">
        <f>IF(OR(D329="",E329=""),"",IF(IFERROR(INDEX(Stats!$D:$D,MATCH($C329,Stats!$A:$A,0)),FALSE),ROUND(D329+(E329-D329)*(1+G329)*((3-1)/(MaxLevel-1))^(2^F329),0),D329+(E329-D329)*(1+G329)*((3-1)/(MaxLevel-1))^(2^F329)))</f>
        <v/>
      </c>
      <c r="K329" s="12" t="str">
        <f>IF(OR(D329="",E329=""),"",IF(IFERROR(INDEX(Stats!$D:$D,MATCH($C329,Stats!$A:$A,0)),FALSE),ROUND(D329+(E329-D329)*(1+G329)*((4-1)/(MaxLevel-1))^(2^F329),0),D329+(E329-D329)*(1+G329)*((4-1)/(MaxLevel-1))^(2^F329)))</f>
        <v/>
      </c>
      <c r="L329" s="12" t="str">
        <f>IF(OR(D329="",E329=""),"",IF(IFERROR(INDEX(Stats!$D:$D,MATCH($C329,Stats!$A:$A,0)),FALSE),ROUND(D329+(E329-D329)*(1+G329)*((5-1)/(MaxLevel-1))^(2^F329),0),D329+(E329-D329)*(1+G329)*((5-1)/(MaxLevel-1))^(2^F329)))</f>
        <v/>
      </c>
      <c r="M329" s="12" t="str">
        <f>IF(OR(D329="",E329=""),"",IF(IFERROR(INDEX(Stats!$D:$D,MATCH($C329,Stats!$A:$A,0)),FALSE),ROUND(D329+(E329-D329)*(1+G329)*((6-1)/(MaxLevel-1))^(2^F329),0),D329+(E329-D329)*(1+G329)*((6-1)/(MaxLevel-1))^(2^F329)))</f>
        <v/>
      </c>
      <c r="N329" s="12" t="str">
        <f>IF(OR(D329="",E329=""),"",IF(IFERROR(INDEX(Stats!$D:$D,MATCH($C329,Stats!$A:$A,0)),FALSE),ROUND(D329+(E329-D329)*(1+G329)*((7-1)/(MaxLevel-1))^(2^F329),0),D329+(E329-D329)*(1+G329)*((7-1)/(MaxLevel-1))^(2^F329)))</f>
        <v/>
      </c>
      <c r="O329" s="12" t="str">
        <f>IF(OR(D329="",E329=""),"",IF(IFERROR(INDEX(Stats!$D:$D,MATCH($C329,Stats!$A:$A,0)),FALSE),ROUND(D329+(E329-D329)*(1+G329)*((8-1)/(MaxLevel-1))^(2^F329),0),D329+(E329-D329)*(1+G329)*((8-1)/(MaxLevel-1))^(2^F329)))</f>
        <v/>
      </c>
      <c r="P329" s="12" t="str">
        <f>IF(OR(D329="",E329=""),"",IF(IFERROR(INDEX(Stats!$D:$D,MATCH($C329,Stats!$A:$A,0)),FALSE),ROUND(D329+(E329-D329)*(1+G329)*((9-1)/(MaxLevel-1))^(2^F329),0),D329+(E329-D329)*(1+G329)*((9-1)/(MaxLevel-1))^(2^F329)))</f>
        <v/>
      </c>
      <c r="Q329" s="12" t="str">
        <f>IF(OR(D329="",E329=""),"",IF(IFERROR(INDEX(Stats!$D:$D,MATCH($C329,Stats!$A:$A,0)),FALSE),ROUND(D329+(E329-D329)*(1+G329)*((10-1)/(MaxLevel-1))^(2^F329),0),D329+(E329-D329)*(1+G329)*((10-1)/(MaxLevel-1))^(2^F329)))</f>
        <v/>
      </c>
    </row>
    <row r="330" spans="1:17" x14ac:dyDescent="0.25">
      <c r="A330" s="4" t="s">
        <v>185</v>
      </c>
      <c r="B330" s="19" t="s">
        <v>232</v>
      </c>
      <c r="C330" s="4" t="s">
        <v>34</v>
      </c>
      <c r="D330" s="5"/>
      <c r="E330" s="5"/>
      <c r="F330" s="5"/>
      <c r="G330" s="5"/>
      <c r="H330" s="12" t="str">
        <f>IF(OR(D330="",E330=""),"",IF(IFERROR(INDEX(Stats!$D:$D,MATCH($C330,Stats!$A:$A,0)),FALSE),ROUND(D330+(E330-D330)*(1+G330)*((1-1)/(MaxLevel-1))^(2^F330),0),D330+(E330-D330)*(1+G330)*((1-1)/(MaxLevel-1))^(2^F330)))</f>
        <v/>
      </c>
      <c r="I330" s="12" t="str">
        <f>IF(OR(D330="",E330=""),"",IF(IFERROR(INDEX(Stats!$D:$D,MATCH($C330,Stats!$A:$A,0)),FALSE),ROUND(D330+(E330-D330)*(1+G330)*((2-1)/(MaxLevel-1))^(2^F330),0),D330+(E330-D330)*(1+G330)*((2-1)/(MaxLevel-1))^(2^F330)))</f>
        <v/>
      </c>
      <c r="J330" s="12" t="str">
        <f>IF(OR(D330="",E330=""),"",IF(IFERROR(INDEX(Stats!$D:$D,MATCH($C330,Stats!$A:$A,0)),FALSE),ROUND(D330+(E330-D330)*(1+G330)*((3-1)/(MaxLevel-1))^(2^F330),0),D330+(E330-D330)*(1+G330)*((3-1)/(MaxLevel-1))^(2^F330)))</f>
        <v/>
      </c>
      <c r="K330" s="12" t="str">
        <f>IF(OR(D330="",E330=""),"",IF(IFERROR(INDEX(Stats!$D:$D,MATCH($C330,Stats!$A:$A,0)),FALSE),ROUND(D330+(E330-D330)*(1+G330)*((4-1)/(MaxLevel-1))^(2^F330),0),D330+(E330-D330)*(1+G330)*((4-1)/(MaxLevel-1))^(2^F330)))</f>
        <v/>
      </c>
      <c r="L330" s="12" t="str">
        <f>IF(OR(D330="",E330=""),"",IF(IFERROR(INDEX(Stats!$D:$D,MATCH($C330,Stats!$A:$A,0)),FALSE),ROUND(D330+(E330-D330)*(1+G330)*((5-1)/(MaxLevel-1))^(2^F330),0),D330+(E330-D330)*(1+G330)*((5-1)/(MaxLevel-1))^(2^F330)))</f>
        <v/>
      </c>
      <c r="M330" s="12" t="str">
        <f>IF(OR(D330="",E330=""),"",IF(IFERROR(INDEX(Stats!$D:$D,MATCH($C330,Stats!$A:$A,0)),FALSE),ROUND(D330+(E330-D330)*(1+G330)*((6-1)/(MaxLevel-1))^(2^F330),0),D330+(E330-D330)*(1+G330)*((6-1)/(MaxLevel-1))^(2^F330)))</f>
        <v/>
      </c>
      <c r="N330" s="12" t="str">
        <f>IF(OR(D330="",E330=""),"",IF(IFERROR(INDEX(Stats!$D:$D,MATCH($C330,Stats!$A:$A,0)),FALSE),ROUND(D330+(E330-D330)*(1+G330)*((7-1)/(MaxLevel-1))^(2^F330),0),D330+(E330-D330)*(1+G330)*((7-1)/(MaxLevel-1))^(2^F330)))</f>
        <v/>
      </c>
      <c r="O330" s="12" t="str">
        <f>IF(OR(D330="",E330=""),"",IF(IFERROR(INDEX(Stats!$D:$D,MATCH($C330,Stats!$A:$A,0)),FALSE),ROUND(D330+(E330-D330)*(1+G330)*((8-1)/(MaxLevel-1))^(2^F330),0),D330+(E330-D330)*(1+G330)*((8-1)/(MaxLevel-1))^(2^F330)))</f>
        <v/>
      </c>
      <c r="P330" s="12" t="str">
        <f>IF(OR(D330="",E330=""),"",IF(IFERROR(INDEX(Stats!$D:$D,MATCH($C330,Stats!$A:$A,0)),FALSE),ROUND(D330+(E330-D330)*(1+G330)*((9-1)/(MaxLevel-1))^(2^F330),0),D330+(E330-D330)*(1+G330)*((9-1)/(MaxLevel-1))^(2^F330)))</f>
        <v/>
      </c>
      <c r="Q330" s="12" t="str">
        <f>IF(OR(D330="",E330=""),"",IF(IFERROR(INDEX(Stats!$D:$D,MATCH($C330,Stats!$A:$A,0)),FALSE),ROUND(D330+(E330-D330)*(1+G330)*((10-1)/(MaxLevel-1))^(2^F330),0),D330+(E330-D330)*(1+G330)*((10-1)/(MaxLevel-1))^(2^F330)))</f>
        <v/>
      </c>
    </row>
    <row r="331" spans="1:17" x14ac:dyDescent="0.25">
      <c r="A331" s="4" t="s">
        <v>185</v>
      </c>
      <c r="B331" s="19" t="s">
        <v>232</v>
      </c>
      <c r="C331" s="4" t="s">
        <v>36</v>
      </c>
      <c r="D331" s="5"/>
      <c r="E331" s="5"/>
      <c r="F331" s="5"/>
      <c r="G331" s="5"/>
      <c r="H331" s="12" t="str">
        <f>IF(OR(D331="",E331=""),"",IF(IFERROR(INDEX(Stats!$D:$D,MATCH($C331,Stats!$A:$A,0)),FALSE),ROUND(D331+(E331-D331)*(1+G331)*((1-1)/(MaxLevel-1))^(2^F331),0),D331+(E331-D331)*(1+G331)*((1-1)/(MaxLevel-1))^(2^F331)))</f>
        <v/>
      </c>
      <c r="I331" s="12" t="str">
        <f>IF(OR(D331="",E331=""),"",IF(IFERROR(INDEX(Stats!$D:$D,MATCH($C331,Stats!$A:$A,0)),FALSE),ROUND(D331+(E331-D331)*(1+G331)*((2-1)/(MaxLevel-1))^(2^F331),0),D331+(E331-D331)*(1+G331)*((2-1)/(MaxLevel-1))^(2^F331)))</f>
        <v/>
      </c>
      <c r="J331" s="12" t="str">
        <f>IF(OR(D331="",E331=""),"",IF(IFERROR(INDEX(Stats!$D:$D,MATCH($C331,Stats!$A:$A,0)),FALSE),ROUND(D331+(E331-D331)*(1+G331)*((3-1)/(MaxLevel-1))^(2^F331),0),D331+(E331-D331)*(1+G331)*((3-1)/(MaxLevel-1))^(2^F331)))</f>
        <v/>
      </c>
      <c r="K331" s="12" t="str">
        <f>IF(OR(D331="",E331=""),"",IF(IFERROR(INDEX(Stats!$D:$D,MATCH($C331,Stats!$A:$A,0)),FALSE),ROUND(D331+(E331-D331)*(1+G331)*((4-1)/(MaxLevel-1))^(2^F331),0),D331+(E331-D331)*(1+G331)*((4-1)/(MaxLevel-1))^(2^F331)))</f>
        <v/>
      </c>
      <c r="L331" s="12" t="str">
        <f>IF(OR(D331="",E331=""),"",IF(IFERROR(INDEX(Stats!$D:$D,MATCH($C331,Stats!$A:$A,0)),FALSE),ROUND(D331+(E331-D331)*(1+G331)*((5-1)/(MaxLevel-1))^(2^F331),0),D331+(E331-D331)*(1+G331)*((5-1)/(MaxLevel-1))^(2^F331)))</f>
        <v/>
      </c>
      <c r="M331" s="12" t="str">
        <f>IF(OR(D331="",E331=""),"",IF(IFERROR(INDEX(Stats!$D:$D,MATCH($C331,Stats!$A:$A,0)),FALSE),ROUND(D331+(E331-D331)*(1+G331)*((6-1)/(MaxLevel-1))^(2^F331),0),D331+(E331-D331)*(1+G331)*((6-1)/(MaxLevel-1))^(2^F331)))</f>
        <v/>
      </c>
      <c r="N331" s="12" t="str">
        <f>IF(OR(D331="",E331=""),"",IF(IFERROR(INDEX(Stats!$D:$D,MATCH($C331,Stats!$A:$A,0)),FALSE),ROUND(D331+(E331-D331)*(1+G331)*((7-1)/(MaxLevel-1))^(2^F331),0),D331+(E331-D331)*(1+G331)*((7-1)/(MaxLevel-1))^(2^F331)))</f>
        <v/>
      </c>
      <c r="O331" s="12" t="str">
        <f>IF(OR(D331="",E331=""),"",IF(IFERROR(INDEX(Stats!$D:$D,MATCH($C331,Stats!$A:$A,0)),FALSE),ROUND(D331+(E331-D331)*(1+G331)*((8-1)/(MaxLevel-1))^(2^F331),0),D331+(E331-D331)*(1+G331)*((8-1)/(MaxLevel-1))^(2^F331)))</f>
        <v/>
      </c>
      <c r="P331" s="12" t="str">
        <f>IF(OR(D331="",E331=""),"",IF(IFERROR(INDEX(Stats!$D:$D,MATCH($C331,Stats!$A:$A,0)),FALSE),ROUND(D331+(E331-D331)*(1+G331)*((9-1)/(MaxLevel-1))^(2^F331),0),D331+(E331-D331)*(1+G331)*((9-1)/(MaxLevel-1))^(2^F331)))</f>
        <v/>
      </c>
      <c r="Q331" s="12" t="str">
        <f>IF(OR(D331="",E331=""),"",IF(IFERROR(INDEX(Stats!$D:$D,MATCH($C331,Stats!$A:$A,0)),FALSE),ROUND(D331+(E331-D331)*(1+G331)*((10-1)/(MaxLevel-1))^(2^F331),0),D331+(E331-D331)*(1+G331)*((10-1)/(MaxLevel-1))^(2^F331)))</f>
        <v/>
      </c>
    </row>
    <row r="332" spans="1:17" x14ac:dyDescent="0.25">
      <c r="A332" s="4" t="s">
        <v>185</v>
      </c>
      <c r="B332" s="19" t="s">
        <v>232</v>
      </c>
      <c r="C332" s="4" t="s">
        <v>38</v>
      </c>
      <c r="D332" s="5"/>
      <c r="E332" s="5"/>
      <c r="F332" s="5"/>
      <c r="G332" s="5"/>
      <c r="H332" s="12" t="str">
        <f>IF(OR(D332="",E332=""),"",IF(IFERROR(INDEX(Stats!$D:$D,MATCH($C332,Stats!$A:$A,0)),FALSE),ROUND(D332+(E332-D332)*(1+G332)*((1-1)/(MaxLevel-1))^(2^F332),0),D332+(E332-D332)*(1+G332)*((1-1)/(MaxLevel-1))^(2^F332)))</f>
        <v/>
      </c>
      <c r="I332" s="12" t="str">
        <f>IF(OR(D332="",E332=""),"",IF(IFERROR(INDEX(Stats!$D:$D,MATCH($C332,Stats!$A:$A,0)),FALSE),ROUND(D332+(E332-D332)*(1+G332)*((2-1)/(MaxLevel-1))^(2^F332),0),D332+(E332-D332)*(1+G332)*((2-1)/(MaxLevel-1))^(2^F332)))</f>
        <v/>
      </c>
      <c r="J332" s="12" t="str">
        <f>IF(OR(D332="",E332=""),"",IF(IFERROR(INDEX(Stats!$D:$D,MATCH($C332,Stats!$A:$A,0)),FALSE),ROUND(D332+(E332-D332)*(1+G332)*((3-1)/(MaxLevel-1))^(2^F332),0),D332+(E332-D332)*(1+G332)*((3-1)/(MaxLevel-1))^(2^F332)))</f>
        <v/>
      </c>
      <c r="K332" s="12" t="str">
        <f>IF(OR(D332="",E332=""),"",IF(IFERROR(INDEX(Stats!$D:$D,MATCH($C332,Stats!$A:$A,0)),FALSE),ROUND(D332+(E332-D332)*(1+G332)*((4-1)/(MaxLevel-1))^(2^F332),0),D332+(E332-D332)*(1+G332)*((4-1)/(MaxLevel-1))^(2^F332)))</f>
        <v/>
      </c>
      <c r="L332" s="12" t="str">
        <f>IF(OR(D332="",E332=""),"",IF(IFERROR(INDEX(Stats!$D:$D,MATCH($C332,Stats!$A:$A,0)),FALSE),ROUND(D332+(E332-D332)*(1+G332)*((5-1)/(MaxLevel-1))^(2^F332),0),D332+(E332-D332)*(1+G332)*((5-1)/(MaxLevel-1))^(2^F332)))</f>
        <v/>
      </c>
      <c r="M332" s="12" t="str">
        <f>IF(OR(D332="",E332=""),"",IF(IFERROR(INDEX(Stats!$D:$D,MATCH($C332,Stats!$A:$A,0)),FALSE),ROUND(D332+(E332-D332)*(1+G332)*((6-1)/(MaxLevel-1))^(2^F332),0),D332+(E332-D332)*(1+G332)*((6-1)/(MaxLevel-1))^(2^F332)))</f>
        <v/>
      </c>
      <c r="N332" s="12" t="str">
        <f>IF(OR(D332="",E332=""),"",IF(IFERROR(INDEX(Stats!$D:$D,MATCH($C332,Stats!$A:$A,0)),FALSE),ROUND(D332+(E332-D332)*(1+G332)*((7-1)/(MaxLevel-1))^(2^F332),0),D332+(E332-D332)*(1+G332)*((7-1)/(MaxLevel-1))^(2^F332)))</f>
        <v/>
      </c>
      <c r="O332" s="12" t="str">
        <f>IF(OR(D332="",E332=""),"",IF(IFERROR(INDEX(Stats!$D:$D,MATCH($C332,Stats!$A:$A,0)),FALSE),ROUND(D332+(E332-D332)*(1+G332)*((8-1)/(MaxLevel-1))^(2^F332),0),D332+(E332-D332)*(1+G332)*((8-1)/(MaxLevel-1))^(2^F332)))</f>
        <v/>
      </c>
      <c r="P332" s="12" t="str">
        <f>IF(OR(D332="",E332=""),"",IF(IFERROR(INDEX(Stats!$D:$D,MATCH($C332,Stats!$A:$A,0)),FALSE),ROUND(D332+(E332-D332)*(1+G332)*((9-1)/(MaxLevel-1))^(2^F332),0),D332+(E332-D332)*(1+G332)*((9-1)/(MaxLevel-1))^(2^F332)))</f>
        <v/>
      </c>
      <c r="Q332" s="12" t="str">
        <f>IF(OR(D332="",E332=""),"",IF(IFERROR(INDEX(Stats!$D:$D,MATCH($C332,Stats!$A:$A,0)),FALSE),ROUND(D332+(E332-D332)*(1+G332)*((10-1)/(MaxLevel-1))^(2^F332),0),D332+(E332-D332)*(1+G332)*((10-1)/(MaxLevel-1))^(2^F332)))</f>
        <v/>
      </c>
    </row>
    <row r="333" spans="1:17" x14ac:dyDescent="0.25">
      <c r="A333" s="4" t="s">
        <v>185</v>
      </c>
      <c r="B333" s="19" t="s">
        <v>232</v>
      </c>
      <c r="C333" s="4" t="s">
        <v>40</v>
      </c>
      <c r="D333" s="5"/>
      <c r="E333" s="5"/>
      <c r="F333" s="5"/>
      <c r="G333" s="5"/>
      <c r="H333" s="12" t="str">
        <f>IF(OR(D333="",E333=""),"",IF(IFERROR(INDEX(Stats!$D:$D,MATCH($C333,Stats!$A:$A,0)),FALSE),ROUND(D333+(E333-D333)*(1+G333)*((1-1)/(MaxLevel-1))^(2^F333),0),D333+(E333-D333)*(1+G333)*((1-1)/(MaxLevel-1))^(2^F333)))</f>
        <v/>
      </c>
      <c r="I333" s="12" t="str">
        <f>IF(OR(D333="",E333=""),"",IF(IFERROR(INDEX(Stats!$D:$D,MATCH($C333,Stats!$A:$A,0)),FALSE),ROUND(D333+(E333-D333)*(1+G333)*((2-1)/(MaxLevel-1))^(2^F333),0),D333+(E333-D333)*(1+G333)*((2-1)/(MaxLevel-1))^(2^F333)))</f>
        <v/>
      </c>
      <c r="J333" s="12" t="str">
        <f>IF(OR(D333="",E333=""),"",IF(IFERROR(INDEX(Stats!$D:$D,MATCH($C333,Stats!$A:$A,0)),FALSE),ROUND(D333+(E333-D333)*(1+G333)*((3-1)/(MaxLevel-1))^(2^F333),0),D333+(E333-D333)*(1+G333)*((3-1)/(MaxLevel-1))^(2^F333)))</f>
        <v/>
      </c>
      <c r="K333" s="12" t="str">
        <f>IF(OR(D333="",E333=""),"",IF(IFERROR(INDEX(Stats!$D:$D,MATCH($C333,Stats!$A:$A,0)),FALSE),ROUND(D333+(E333-D333)*(1+G333)*((4-1)/(MaxLevel-1))^(2^F333),0),D333+(E333-D333)*(1+G333)*((4-1)/(MaxLevel-1))^(2^F333)))</f>
        <v/>
      </c>
      <c r="L333" s="12" t="str">
        <f>IF(OR(D333="",E333=""),"",IF(IFERROR(INDEX(Stats!$D:$D,MATCH($C333,Stats!$A:$A,0)),FALSE),ROUND(D333+(E333-D333)*(1+G333)*((5-1)/(MaxLevel-1))^(2^F333),0),D333+(E333-D333)*(1+G333)*((5-1)/(MaxLevel-1))^(2^F333)))</f>
        <v/>
      </c>
      <c r="M333" s="12" t="str">
        <f>IF(OR(D333="",E333=""),"",IF(IFERROR(INDEX(Stats!$D:$D,MATCH($C333,Stats!$A:$A,0)),FALSE),ROUND(D333+(E333-D333)*(1+G333)*((6-1)/(MaxLevel-1))^(2^F333),0),D333+(E333-D333)*(1+G333)*((6-1)/(MaxLevel-1))^(2^F333)))</f>
        <v/>
      </c>
      <c r="N333" s="12" t="str">
        <f>IF(OR(D333="",E333=""),"",IF(IFERROR(INDEX(Stats!$D:$D,MATCH($C333,Stats!$A:$A,0)),FALSE),ROUND(D333+(E333-D333)*(1+G333)*((7-1)/(MaxLevel-1))^(2^F333),0),D333+(E333-D333)*(1+G333)*((7-1)/(MaxLevel-1))^(2^F333)))</f>
        <v/>
      </c>
      <c r="O333" s="12" t="str">
        <f>IF(OR(D333="",E333=""),"",IF(IFERROR(INDEX(Stats!$D:$D,MATCH($C333,Stats!$A:$A,0)),FALSE),ROUND(D333+(E333-D333)*(1+G333)*((8-1)/(MaxLevel-1))^(2^F333),0),D333+(E333-D333)*(1+G333)*((8-1)/(MaxLevel-1))^(2^F333)))</f>
        <v/>
      </c>
      <c r="P333" s="12" t="str">
        <f>IF(OR(D333="",E333=""),"",IF(IFERROR(INDEX(Stats!$D:$D,MATCH($C333,Stats!$A:$A,0)),FALSE),ROUND(D333+(E333-D333)*(1+G333)*((9-1)/(MaxLevel-1))^(2^F333),0),D333+(E333-D333)*(1+G333)*((9-1)/(MaxLevel-1))^(2^F333)))</f>
        <v/>
      </c>
      <c r="Q333" s="12" t="str">
        <f>IF(OR(D333="",E333=""),"",IF(IFERROR(INDEX(Stats!$D:$D,MATCH($C333,Stats!$A:$A,0)),FALSE),ROUND(D333+(E333-D333)*(1+G333)*((10-1)/(MaxLevel-1))^(2^F333),0),D333+(E333-D333)*(1+G333)*((10-1)/(MaxLevel-1))^(2^F333)))</f>
        <v/>
      </c>
    </row>
    <row r="334" spans="1:17" x14ac:dyDescent="0.25">
      <c r="A334" s="4" t="s">
        <v>185</v>
      </c>
      <c r="B334" s="19" t="s">
        <v>232</v>
      </c>
      <c r="C334" s="4" t="s">
        <v>42</v>
      </c>
      <c r="D334" s="5"/>
      <c r="E334" s="5"/>
      <c r="F334" s="5"/>
      <c r="G334" s="5"/>
      <c r="H334" s="12" t="str">
        <f>IF(OR(D334="",E334=""),"",IF(IFERROR(INDEX(Stats!$D:$D,MATCH($C334,Stats!$A:$A,0)),FALSE),ROUND(D334+(E334-D334)*(1+G334)*((1-1)/(MaxLevel-1))^(2^F334),0),D334+(E334-D334)*(1+G334)*((1-1)/(MaxLevel-1))^(2^F334)))</f>
        <v/>
      </c>
      <c r="I334" s="12" t="str">
        <f>IF(OR(D334="",E334=""),"",IF(IFERROR(INDEX(Stats!$D:$D,MATCH($C334,Stats!$A:$A,0)),FALSE),ROUND(D334+(E334-D334)*(1+G334)*((2-1)/(MaxLevel-1))^(2^F334),0),D334+(E334-D334)*(1+G334)*((2-1)/(MaxLevel-1))^(2^F334)))</f>
        <v/>
      </c>
      <c r="J334" s="12" t="str">
        <f>IF(OR(D334="",E334=""),"",IF(IFERROR(INDEX(Stats!$D:$D,MATCH($C334,Stats!$A:$A,0)),FALSE),ROUND(D334+(E334-D334)*(1+G334)*((3-1)/(MaxLevel-1))^(2^F334),0),D334+(E334-D334)*(1+G334)*((3-1)/(MaxLevel-1))^(2^F334)))</f>
        <v/>
      </c>
      <c r="K334" s="12" t="str">
        <f>IF(OR(D334="",E334=""),"",IF(IFERROR(INDEX(Stats!$D:$D,MATCH($C334,Stats!$A:$A,0)),FALSE),ROUND(D334+(E334-D334)*(1+G334)*((4-1)/(MaxLevel-1))^(2^F334),0),D334+(E334-D334)*(1+G334)*((4-1)/(MaxLevel-1))^(2^F334)))</f>
        <v/>
      </c>
      <c r="L334" s="12" t="str">
        <f>IF(OR(D334="",E334=""),"",IF(IFERROR(INDEX(Stats!$D:$D,MATCH($C334,Stats!$A:$A,0)),FALSE),ROUND(D334+(E334-D334)*(1+G334)*((5-1)/(MaxLevel-1))^(2^F334),0),D334+(E334-D334)*(1+G334)*((5-1)/(MaxLevel-1))^(2^F334)))</f>
        <v/>
      </c>
      <c r="M334" s="12" t="str">
        <f>IF(OR(D334="",E334=""),"",IF(IFERROR(INDEX(Stats!$D:$D,MATCH($C334,Stats!$A:$A,0)),FALSE),ROUND(D334+(E334-D334)*(1+G334)*((6-1)/(MaxLevel-1))^(2^F334),0),D334+(E334-D334)*(1+G334)*((6-1)/(MaxLevel-1))^(2^F334)))</f>
        <v/>
      </c>
      <c r="N334" s="12" t="str">
        <f>IF(OR(D334="",E334=""),"",IF(IFERROR(INDEX(Stats!$D:$D,MATCH($C334,Stats!$A:$A,0)),FALSE),ROUND(D334+(E334-D334)*(1+G334)*((7-1)/(MaxLevel-1))^(2^F334),0),D334+(E334-D334)*(1+G334)*((7-1)/(MaxLevel-1))^(2^F334)))</f>
        <v/>
      </c>
      <c r="O334" s="12" t="str">
        <f>IF(OR(D334="",E334=""),"",IF(IFERROR(INDEX(Stats!$D:$D,MATCH($C334,Stats!$A:$A,0)),FALSE),ROUND(D334+(E334-D334)*(1+G334)*((8-1)/(MaxLevel-1))^(2^F334),0),D334+(E334-D334)*(1+G334)*((8-1)/(MaxLevel-1))^(2^F334)))</f>
        <v/>
      </c>
      <c r="P334" s="12" t="str">
        <f>IF(OR(D334="",E334=""),"",IF(IFERROR(INDEX(Stats!$D:$D,MATCH($C334,Stats!$A:$A,0)),FALSE),ROUND(D334+(E334-D334)*(1+G334)*((9-1)/(MaxLevel-1))^(2^F334),0),D334+(E334-D334)*(1+G334)*((9-1)/(MaxLevel-1))^(2^F334)))</f>
        <v/>
      </c>
      <c r="Q334" s="12" t="str">
        <f>IF(OR(D334="",E334=""),"",IF(IFERROR(INDEX(Stats!$D:$D,MATCH($C334,Stats!$A:$A,0)),FALSE),ROUND(D334+(E334-D334)*(1+G334)*((10-1)/(MaxLevel-1))^(2^F334),0),D334+(E334-D334)*(1+G334)*((10-1)/(MaxLevel-1))^(2^F334)))</f>
        <v/>
      </c>
    </row>
    <row r="335" spans="1:17" x14ac:dyDescent="0.25">
      <c r="A335" s="4" t="s">
        <v>185</v>
      </c>
      <c r="B335" s="19" t="s">
        <v>232</v>
      </c>
      <c r="C335" s="4" t="s">
        <v>44</v>
      </c>
      <c r="D335" s="5"/>
      <c r="E335" s="5"/>
      <c r="F335" s="5"/>
      <c r="G335" s="5"/>
      <c r="H335" s="12" t="str">
        <f>IF(OR(D335="",E335=""),"",IF(IFERROR(INDEX(Stats!$D:$D,MATCH($C335,Stats!$A:$A,0)),FALSE),ROUND(D335+(E335-D335)*(1+G335)*((1-1)/(MaxLevel-1))^(2^F335),0),D335+(E335-D335)*(1+G335)*((1-1)/(MaxLevel-1))^(2^F335)))</f>
        <v/>
      </c>
      <c r="I335" s="12" t="str">
        <f>IF(OR(D335="",E335=""),"",IF(IFERROR(INDEX(Stats!$D:$D,MATCH($C335,Stats!$A:$A,0)),FALSE),ROUND(D335+(E335-D335)*(1+G335)*((2-1)/(MaxLevel-1))^(2^F335),0),D335+(E335-D335)*(1+G335)*((2-1)/(MaxLevel-1))^(2^F335)))</f>
        <v/>
      </c>
      <c r="J335" s="12" t="str">
        <f>IF(OR(D335="",E335=""),"",IF(IFERROR(INDEX(Stats!$D:$D,MATCH($C335,Stats!$A:$A,0)),FALSE),ROUND(D335+(E335-D335)*(1+G335)*((3-1)/(MaxLevel-1))^(2^F335),0),D335+(E335-D335)*(1+G335)*((3-1)/(MaxLevel-1))^(2^F335)))</f>
        <v/>
      </c>
      <c r="K335" s="12" t="str">
        <f>IF(OR(D335="",E335=""),"",IF(IFERROR(INDEX(Stats!$D:$D,MATCH($C335,Stats!$A:$A,0)),FALSE),ROUND(D335+(E335-D335)*(1+G335)*((4-1)/(MaxLevel-1))^(2^F335),0),D335+(E335-D335)*(1+G335)*((4-1)/(MaxLevel-1))^(2^F335)))</f>
        <v/>
      </c>
      <c r="L335" s="12" t="str">
        <f>IF(OR(D335="",E335=""),"",IF(IFERROR(INDEX(Stats!$D:$D,MATCH($C335,Stats!$A:$A,0)),FALSE),ROUND(D335+(E335-D335)*(1+G335)*((5-1)/(MaxLevel-1))^(2^F335),0),D335+(E335-D335)*(1+G335)*((5-1)/(MaxLevel-1))^(2^F335)))</f>
        <v/>
      </c>
      <c r="M335" s="12" t="str">
        <f>IF(OR(D335="",E335=""),"",IF(IFERROR(INDEX(Stats!$D:$D,MATCH($C335,Stats!$A:$A,0)),FALSE),ROUND(D335+(E335-D335)*(1+G335)*((6-1)/(MaxLevel-1))^(2^F335),0),D335+(E335-D335)*(1+G335)*((6-1)/(MaxLevel-1))^(2^F335)))</f>
        <v/>
      </c>
      <c r="N335" s="12" t="str">
        <f>IF(OR(D335="",E335=""),"",IF(IFERROR(INDEX(Stats!$D:$D,MATCH($C335,Stats!$A:$A,0)),FALSE),ROUND(D335+(E335-D335)*(1+G335)*((7-1)/(MaxLevel-1))^(2^F335),0),D335+(E335-D335)*(1+G335)*((7-1)/(MaxLevel-1))^(2^F335)))</f>
        <v/>
      </c>
      <c r="O335" s="12" t="str">
        <f>IF(OR(D335="",E335=""),"",IF(IFERROR(INDEX(Stats!$D:$D,MATCH($C335,Stats!$A:$A,0)),FALSE),ROUND(D335+(E335-D335)*(1+G335)*((8-1)/(MaxLevel-1))^(2^F335),0),D335+(E335-D335)*(1+G335)*((8-1)/(MaxLevel-1))^(2^F335)))</f>
        <v/>
      </c>
      <c r="P335" s="12" t="str">
        <f>IF(OR(D335="",E335=""),"",IF(IFERROR(INDEX(Stats!$D:$D,MATCH($C335,Stats!$A:$A,0)),FALSE),ROUND(D335+(E335-D335)*(1+G335)*((9-1)/(MaxLevel-1))^(2^F335),0),D335+(E335-D335)*(1+G335)*((9-1)/(MaxLevel-1))^(2^F335)))</f>
        <v/>
      </c>
      <c r="Q335" s="12" t="str">
        <f>IF(OR(D335="",E335=""),"",IF(IFERROR(INDEX(Stats!$D:$D,MATCH($C335,Stats!$A:$A,0)),FALSE),ROUND(D335+(E335-D335)*(1+G335)*((10-1)/(MaxLevel-1))^(2^F335),0),D335+(E335-D335)*(1+G335)*((10-1)/(MaxLevel-1))^(2^F335)))</f>
        <v/>
      </c>
    </row>
    <row r="336" spans="1:17" x14ac:dyDescent="0.25">
      <c r="A336" s="4" t="s">
        <v>185</v>
      </c>
      <c r="B336" s="19" t="s">
        <v>232</v>
      </c>
      <c r="C336" s="4" t="s">
        <v>46</v>
      </c>
      <c r="D336" s="5">
        <v>300</v>
      </c>
      <c r="E336" s="5">
        <v>320</v>
      </c>
      <c r="F336" s="5">
        <v>0</v>
      </c>
      <c r="G336" s="5">
        <v>0</v>
      </c>
      <c r="H336" s="12">
        <f>IF(OR(D336="",E336=""),"",IF(IFERROR(INDEX(Stats!$D:$D,MATCH($C336,Stats!$A:$A,0)),FALSE),ROUND(D336+(E336-D336)*(1+G336)*((1-1)/(MaxLevel-1))^(2^F336),0),D336+(E336-D336)*(1+G336)*((1-1)/(MaxLevel-1))^(2^F336)))</f>
        <v>300</v>
      </c>
      <c r="I336" s="12">
        <f>IF(OR(D336="",E336=""),"",IF(IFERROR(INDEX(Stats!$D:$D,MATCH($C336,Stats!$A:$A,0)),FALSE),ROUND(D336+(E336-D336)*(1+G336)*((2-1)/(MaxLevel-1))^(2^F336),0),D336+(E336-D336)*(1+G336)*((2-1)/(MaxLevel-1))^(2^F336)))</f>
        <v>302.22222222222223</v>
      </c>
      <c r="J336" s="12">
        <f>IF(OR(D336="",E336=""),"",IF(IFERROR(INDEX(Stats!$D:$D,MATCH($C336,Stats!$A:$A,0)),FALSE),ROUND(D336+(E336-D336)*(1+G336)*((3-1)/(MaxLevel-1))^(2^F336),0),D336+(E336-D336)*(1+G336)*((3-1)/(MaxLevel-1))^(2^F336)))</f>
        <v>304.44444444444446</v>
      </c>
      <c r="K336" s="12">
        <f>IF(OR(D336="",E336=""),"",IF(IFERROR(INDEX(Stats!$D:$D,MATCH($C336,Stats!$A:$A,0)),FALSE),ROUND(D336+(E336-D336)*(1+G336)*((4-1)/(MaxLevel-1))^(2^F336),0),D336+(E336-D336)*(1+G336)*((4-1)/(MaxLevel-1))^(2^F336)))</f>
        <v>306.66666666666669</v>
      </c>
      <c r="L336" s="12">
        <f>IF(OR(D336="",E336=""),"",IF(IFERROR(INDEX(Stats!$D:$D,MATCH($C336,Stats!$A:$A,0)),FALSE),ROUND(D336+(E336-D336)*(1+G336)*((5-1)/(MaxLevel-1))^(2^F336),0),D336+(E336-D336)*(1+G336)*((5-1)/(MaxLevel-1))^(2^F336)))</f>
        <v>308.88888888888891</v>
      </c>
      <c r="M336" s="12">
        <f>IF(OR(D336="",E336=""),"",IF(IFERROR(INDEX(Stats!$D:$D,MATCH($C336,Stats!$A:$A,0)),FALSE),ROUND(D336+(E336-D336)*(1+G336)*((6-1)/(MaxLevel-1))^(2^F336),0),D336+(E336-D336)*(1+G336)*((6-1)/(MaxLevel-1))^(2^F336)))</f>
        <v>311.11111111111109</v>
      </c>
      <c r="N336" s="12">
        <f>IF(OR(D336="",E336=""),"",IF(IFERROR(INDEX(Stats!$D:$D,MATCH($C336,Stats!$A:$A,0)),FALSE),ROUND(D336+(E336-D336)*(1+G336)*((7-1)/(MaxLevel-1))^(2^F336),0),D336+(E336-D336)*(1+G336)*((7-1)/(MaxLevel-1))^(2^F336)))</f>
        <v>313.33333333333331</v>
      </c>
      <c r="O336" s="12">
        <f>IF(OR(D336="",E336=""),"",IF(IFERROR(INDEX(Stats!$D:$D,MATCH($C336,Stats!$A:$A,0)),FALSE),ROUND(D336+(E336-D336)*(1+G336)*((8-1)/(MaxLevel-1))^(2^F336),0),D336+(E336-D336)*(1+G336)*((8-1)/(MaxLevel-1))^(2^F336)))</f>
        <v>315.55555555555554</v>
      </c>
      <c r="P336" s="12">
        <f>IF(OR(D336="",E336=""),"",IF(IFERROR(INDEX(Stats!$D:$D,MATCH($C336,Stats!$A:$A,0)),FALSE),ROUND(D336+(E336-D336)*(1+G336)*((9-1)/(MaxLevel-1))^(2^F336),0),D336+(E336-D336)*(1+G336)*((9-1)/(MaxLevel-1))^(2^F336)))</f>
        <v>317.77777777777777</v>
      </c>
      <c r="Q336" s="12">
        <f>IF(OR(D336="",E336=""),"",IF(IFERROR(INDEX(Stats!$D:$D,MATCH($C336,Stats!$A:$A,0)),FALSE),ROUND(D336+(E336-D336)*(1+G336)*((10-1)/(MaxLevel-1))^(2^F336),0),D336+(E336-D336)*(1+G336)*((10-1)/(MaxLevel-1))^(2^F336)))</f>
        <v>320</v>
      </c>
    </row>
    <row r="337" spans="1:17" x14ac:dyDescent="0.25">
      <c r="A337" s="4" t="s">
        <v>185</v>
      </c>
      <c r="B337" s="19" t="s">
        <v>232</v>
      </c>
      <c r="C337" s="4" t="s">
        <v>48</v>
      </c>
      <c r="D337" s="5"/>
      <c r="E337" s="5"/>
      <c r="F337" s="5"/>
      <c r="G337" s="5"/>
      <c r="H337" s="12" t="str">
        <f>IF(OR(D337="",E337=""),"",IF(IFERROR(INDEX(Stats!$D:$D,MATCH($C337,Stats!$A:$A,0)),FALSE),ROUND(D337+(E337-D337)*(1+G337)*((1-1)/(MaxLevel-1))^(2^F337),0),D337+(E337-D337)*(1+G337)*((1-1)/(MaxLevel-1))^(2^F337)))</f>
        <v/>
      </c>
      <c r="I337" s="12" t="str">
        <f>IF(OR(D337="",E337=""),"",IF(IFERROR(INDEX(Stats!$D:$D,MATCH($C337,Stats!$A:$A,0)),FALSE),ROUND(D337+(E337-D337)*(1+G337)*((2-1)/(MaxLevel-1))^(2^F337),0),D337+(E337-D337)*(1+G337)*((2-1)/(MaxLevel-1))^(2^F337)))</f>
        <v/>
      </c>
      <c r="J337" s="12" t="str">
        <f>IF(OR(D337="",E337=""),"",IF(IFERROR(INDEX(Stats!$D:$D,MATCH($C337,Stats!$A:$A,0)),FALSE),ROUND(D337+(E337-D337)*(1+G337)*((3-1)/(MaxLevel-1))^(2^F337),0),D337+(E337-D337)*(1+G337)*((3-1)/(MaxLevel-1))^(2^F337)))</f>
        <v/>
      </c>
      <c r="K337" s="12" t="str">
        <f>IF(OR(D337="",E337=""),"",IF(IFERROR(INDEX(Stats!$D:$D,MATCH($C337,Stats!$A:$A,0)),FALSE),ROUND(D337+(E337-D337)*(1+G337)*((4-1)/(MaxLevel-1))^(2^F337),0),D337+(E337-D337)*(1+G337)*((4-1)/(MaxLevel-1))^(2^F337)))</f>
        <v/>
      </c>
      <c r="L337" s="12" t="str">
        <f>IF(OR(D337="",E337=""),"",IF(IFERROR(INDEX(Stats!$D:$D,MATCH($C337,Stats!$A:$A,0)),FALSE),ROUND(D337+(E337-D337)*(1+G337)*((5-1)/(MaxLevel-1))^(2^F337),0),D337+(E337-D337)*(1+G337)*((5-1)/(MaxLevel-1))^(2^F337)))</f>
        <v/>
      </c>
      <c r="M337" s="12" t="str">
        <f>IF(OR(D337="",E337=""),"",IF(IFERROR(INDEX(Stats!$D:$D,MATCH($C337,Stats!$A:$A,0)),FALSE),ROUND(D337+(E337-D337)*(1+G337)*((6-1)/(MaxLevel-1))^(2^F337),0),D337+(E337-D337)*(1+G337)*((6-1)/(MaxLevel-1))^(2^F337)))</f>
        <v/>
      </c>
      <c r="N337" s="12" t="str">
        <f>IF(OR(D337="",E337=""),"",IF(IFERROR(INDEX(Stats!$D:$D,MATCH($C337,Stats!$A:$A,0)),FALSE),ROUND(D337+(E337-D337)*(1+G337)*((7-1)/(MaxLevel-1))^(2^F337),0),D337+(E337-D337)*(1+G337)*((7-1)/(MaxLevel-1))^(2^F337)))</f>
        <v/>
      </c>
      <c r="O337" s="12" t="str">
        <f>IF(OR(D337="",E337=""),"",IF(IFERROR(INDEX(Stats!$D:$D,MATCH($C337,Stats!$A:$A,0)),FALSE),ROUND(D337+(E337-D337)*(1+G337)*((8-1)/(MaxLevel-1))^(2^F337),0),D337+(E337-D337)*(1+G337)*((8-1)/(MaxLevel-1))^(2^F337)))</f>
        <v/>
      </c>
      <c r="P337" s="12" t="str">
        <f>IF(OR(D337="",E337=""),"",IF(IFERROR(INDEX(Stats!$D:$D,MATCH($C337,Stats!$A:$A,0)),FALSE),ROUND(D337+(E337-D337)*(1+G337)*((9-1)/(MaxLevel-1))^(2^F337),0),D337+(E337-D337)*(1+G337)*((9-1)/(MaxLevel-1))^(2^F337)))</f>
        <v/>
      </c>
      <c r="Q337" s="12" t="str">
        <f>IF(OR(D337="",E337=""),"",IF(IFERROR(INDEX(Stats!$D:$D,MATCH($C337,Stats!$A:$A,0)),FALSE),ROUND(D337+(E337-D337)*(1+G337)*((10-1)/(MaxLevel-1))^(2^F337),0),D337+(E337-D337)*(1+G337)*((10-1)/(MaxLevel-1))^(2^F337)))</f>
        <v/>
      </c>
    </row>
    <row r="338" spans="1:17" x14ac:dyDescent="0.25">
      <c r="A338" s="4" t="s">
        <v>185</v>
      </c>
      <c r="B338" s="19" t="s">
        <v>232</v>
      </c>
      <c r="C338" s="4" t="s">
        <v>50</v>
      </c>
      <c r="D338" s="5"/>
      <c r="E338" s="5"/>
      <c r="F338" s="5"/>
      <c r="G338" s="5"/>
      <c r="H338" s="12" t="str">
        <f>IF(OR(D338="",E338=""),"",IF(IFERROR(INDEX(Stats!$D:$D,MATCH($C338,Stats!$A:$A,0)),FALSE),ROUND(D338+(E338-D338)*(1+G338)*((1-1)/(MaxLevel-1))^(2^F338),0),D338+(E338-D338)*(1+G338)*((1-1)/(MaxLevel-1))^(2^F338)))</f>
        <v/>
      </c>
      <c r="I338" s="12" t="str">
        <f>IF(OR(D338="",E338=""),"",IF(IFERROR(INDEX(Stats!$D:$D,MATCH($C338,Stats!$A:$A,0)),FALSE),ROUND(D338+(E338-D338)*(1+G338)*((2-1)/(MaxLevel-1))^(2^F338),0),D338+(E338-D338)*(1+G338)*((2-1)/(MaxLevel-1))^(2^F338)))</f>
        <v/>
      </c>
      <c r="J338" s="12" t="str">
        <f>IF(OR(D338="",E338=""),"",IF(IFERROR(INDEX(Stats!$D:$D,MATCH($C338,Stats!$A:$A,0)),FALSE),ROUND(D338+(E338-D338)*(1+G338)*((3-1)/(MaxLevel-1))^(2^F338),0),D338+(E338-D338)*(1+G338)*((3-1)/(MaxLevel-1))^(2^F338)))</f>
        <v/>
      </c>
      <c r="K338" s="12" t="str">
        <f>IF(OR(D338="",E338=""),"",IF(IFERROR(INDEX(Stats!$D:$D,MATCH($C338,Stats!$A:$A,0)),FALSE),ROUND(D338+(E338-D338)*(1+G338)*((4-1)/(MaxLevel-1))^(2^F338),0),D338+(E338-D338)*(1+G338)*((4-1)/(MaxLevel-1))^(2^F338)))</f>
        <v/>
      </c>
      <c r="L338" s="12" t="str">
        <f>IF(OR(D338="",E338=""),"",IF(IFERROR(INDEX(Stats!$D:$D,MATCH($C338,Stats!$A:$A,0)),FALSE),ROUND(D338+(E338-D338)*(1+G338)*((5-1)/(MaxLevel-1))^(2^F338),0),D338+(E338-D338)*(1+G338)*((5-1)/(MaxLevel-1))^(2^F338)))</f>
        <v/>
      </c>
      <c r="M338" s="12" t="str">
        <f>IF(OR(D338="",E338=""),"",IF(IFERROR(INDEX(Stats!$D:$D,MATCH($C338,Stats!$A:$A,0)),FALSE),ROUND(D338+(E338-D338)*(1+G338)*((6-1)/(MaxLevel-1))^(2^F338),0),D338+(E338-D338)*(1+G338)*((6-1)/(MaxLevel-1))^(2^F338)))</f>
        <v/>
      </c>
      <c r="N338" s="12" t="str">
        <f>IF(OR(D338="",E338=""),"",IF(IFERROR(INDEX(Stats!$D:$D,MATCH($C338,Stats!$A:$A,0)),FALSE),ROUND(D338+(E338-D338)*(1+G338)*((7-1)/(MaxLevel-1))^(2^F338),0),D338+(E338-D338)*(1+G338)*((7-1)/(MaxLevel-1))^(2^F338)))</f>
        <v/>
      </c>
      <c r="O338" s="12" t="str">
        <f>IF(OR(D338="",E338=""),"",IF(IFERROR(INDEX(Stats!$D:$D,MATCH($C338,Stats!$A:$A,0)),FALSE),ROUND(D338+(E338-D338)*(1+G338)*((8-1)/(MaxLevel-1))^(2^F338),0),D338+(E338-D338)*(1+G338)*((8-1)/(MaxLevel-1))^(2^F338)))</f>
        <v/>
      </c>
      <c r="P338" s="12" t="str">
        <f>IF(OR(D338="",E338=""),"",IF(IFERROR(INDEX(Stats!$D:$D,MATCH($C338,Stats!$A:$A,0)),FALSE),ROUND(D338+(E338-D338)*(1+G338)*((9-1)/(MaxLevel-1))^(2^F338),0),D338+(E338-D338)*(1+G338)*((9-1)/(MaxLevel-1))^(2^F338)))</f>
        <v/>
      </c>
      <c r="Q338" s="12" t="str">
        <f>IF(OR(D338="",E338=""),"",IF(IFERROR(INDEX(Stats!$D:$D,MATCH($C338,Stats!$A:$A,0)),FALSE),ROUND(D338+(E338-D338)*(1+G338)*((10-1)/(MaxLevel-1))^(2^F338),0),D338+(E338-D338)*(1+G338)*((10-1)/(MaxLevel-1))^(2^F338)))</f>
        <v/>
      </c>
    </row>
    <row r="339" spans="1:17" x14ac:dyDescent="0.25">
      <c r="A339" s="4" t="s">
        <v>185</v>
      </c>
      <c r="B339" s="19" t="s">
        <v>232</v>
      </c>
      <c r="C339" s="4" t="s">
        <v>52</v>
      </c>
      <c r="D339" s="5"/>
      <c r="E339" s="5"/>
      <c r="F339" s="5"/>
      <c r="G339" s="5"/>
      <c r="H339" s="12" t="str">
        <f>IF(OR(D339="",E339=""),"",IF(IFERROR(INDEX(Stats!$D:$D,MATCH($C339,Stats!$A:$A,0)),FALSE),ROUND(D339+(E339-D339)*(1+G339)*((1-1)/(MaxLevel-1))^(2^F339),0),D339+(E339-D339)*(1+G339)*((1-1)/(MaxLevel-1))^(2^F339)))</f>
        <v/>
      </c>
      <c r="I339" s="12" t="str">
        <f>IF(OR(D339="",E339=""),"",IF(IFERROR(INDEX(Stats!$D:$D,MATCH($C339,Stats!$A:$A,0)),FALSE),ROUND(D339+(E339-D339)*(1+G339)*((2-1)/(MaxLevel-1))^(2^F339),0),D339+(E339-D339)*(1+G339)*((2-1)/(MaxLevel-1))^(2^F339)))</f>
        <v/>
      </c>
      <c r="J339" s="12" t="str">
        <f>IF(OR(D339="",E339=""),"",IF(IFERROR(INDEX(Stats!$D:$D,MATCH($C339,Stats!$A:$A,0)),FALSE),ROUND(D339+(E339-D339)*(1+G339)*((3-1)/(MaxLevel-1))^(2^F339),0),D339+(E339-D339)*(1+G339)*((3-1)/(MaxLevel-1))^(2^F339)))</f>
        <v/>
      </c>
      <c r="K339" s="12" t="str">
        <f>IF(OR(D339="",E339=""),"",IF(IFERROR(INDEX(Stats!$D:$D,MATCH($C339,Stats!$A:$A,0)),FALSE),ROUND(D339+(E339-D339)*(1+G339)*((4-1)/(MaxLevel-1))^(2^F339),0),D339+(E339-D339)*(1+G339)*((4-1)/(MaxLevel-1))^(2^F339)))</f>
        <v/>
      </c>
      <c r="L339" s="12" t="str">
        <f>IF(OR(D339="",E339=""),"",IF(IFERROR(INDEX(Stats!$D:$D,MATCH($C339,Stats!$A:$A,0)),FALSE),ROUND(D339+(E339-D339)*(1+G339)*((5-1)/(MaxLevel-1))^(2^F339),0),D339+(E339-D339)*(1+G339)*((5-1)/(MaxLevel-1))^(2^F339)))</f>
        <v/>
      </c>
      <c r="M339" s="12" t="str">
        <f>IF(OR(D339="",E339=""),"",IF(IFERROR(INDEX(Stats!$D:$D,MATCH($C339,Stats!$A:$A,0)),FALSE),ROUND(D339+(E339-D339)*(1+G339)*((6-1)/(MaxLevel-1))^(2^F339),0),D339+(E339-D339)*(1+G339)*((6-1)/(MaxLevel-1))^(2^F339)))</f>
        <v/>
      </c>
      <c r="N339" s="12" t="str">
        <f>IF(OR(D339="",E339=""),"",IF(IFERROR(INDEX(Stats!$D:$D,MATCH($C339,Stats!$A:$A,0)),FALSE),ROUND(D339+(E339-D339)*(1+G339)*((7-1)/(MaxLevel-1))^(2^F339),0),D339+(E339-D339)*(1+G339)*((7-1)/(MaxLevel-1))^(2^F339)))</f>
        <v/>
      </c>
      <c r="O339" s="12" t="str">
        <f>IF(OR(D339="",E339=""),"",IF(IFERROR(INDEX(Stats!$D:$D,MATCH($C339,Stats!$A:$A,0)),FALSE),ROUND(D339+(E339-D339)*(1+G339)*((8-1)/(MaxLevel-1))^(2^F339),0),D339+(E339-D339)*(1+G339)*((8-1)/(MaxLevel-1))^(2^F339)))</f>
        <v/>
      </c>
      <c r="P339" s="12" t="str">
        <f>IF(OR(D339="",E339=""),"",IF(IFERROR(INDEX(Stats!$D:$D,MATCH($C339,Stats!$A:$A,0)),FALSE),ROUND(D339+(E339-D339)*(1+G339)*((9-1)/(MaxLevel-1))^(2^F339),0),D339+(E339-D339)*(1+G339)*((9-1)/(MaxLevel-1))^(2^F339)))</f>
        <v/>
      </c>
      <c r="Q339" s="12" t="str">
        <f>IF(OR(D339="",E339=""),"",IF(IFERROR(INDEX(Stats!$D:$D,MATCH($C339,Stats!$A:$A,0)),FALSE),ROUND(D339+(E339-D339)*(1+G339)*((10-1)/(MaxLevel-1))^(2^F339),0),D339+(E339-D339)*(1+G339)*((10-1)/(MaxLevel-1))^(2^F339)))</f>
        <v/>
      </c>
    </row>
    <row r="340" spans="1:17" x14ac:dyDescent="0.25">
      <c r="A340" s="4" t="s">
        <v>185</v>
      </c>
      <c r="B340" s="19" t="s">
        <v>232</v>
      </c>
      <c r="C340" s="4" t="s">
        <v>54</v>
      </c>
      <c r="D340" s="5"/>
      <c r="E340" s="5"/>
      <c r="F340" s="5"/>
      <c r="G340" s="5"/>
      <c r="H340" s="12" t="str">
        <f>IF(OR(D340="",E340=""),"",IF(IFERROR(INDEX(Stats!$D:$D,MATCH($C340,Stats!$A:$A,0)),FALSE),ROUND(D340+(E340-D340)*(1+G340)*((1-1)/(MaxLevel-1))^(2^F340),0),D340+(E340-D340)*(1+G340)*((1-1)/(MaxLevel-1))^(2^F340)))</f>
        <v/>
      </c>
      <c r="I340" s="12" t="str">
        <f>IF(OR(D340="",E340=""),"",IF(IFERROR(INDEX(Stats!$D:$D,MATCH($C340,Stats!$A:$A,0)),FALSE),ROUND(D340+(E340-D340)*(1+G340)*((2-1)/(MaxLevel-1))^(2^F340),0),D340+(E340-D340)*(1+G340)*((2-1)/(MaxLevel-1))^(2^F340)))</f>
        <v/>
      </c>
      <c r="J340" s="12" t="str">
        <f>IF(OR(D340="",E340=""),"",IF(IFERROR(INDEX(Stats!$D:$D,MATCH($C340,Stats!$A:$A,0)),FALSE),ROUND(D340+(E340-D340)*(1+G340)*((3-1)/(MaxLevel-1))^(2^F340),0),D340+(E340-D340)*(1+G340)*((3-1)/(MaxLevel-1))^(2^F340)))</f>
        <v/>
      </c>
      <c r="K340" s="12" t="str">
        <f>IF(OR(D340="",E340=""),"",IF(IFERROR(INDEX(Stats!$D:$D,MATCH($C340,Stats!$A:$A,0)),FALSE),ROUND(D340+(E340-D340)*(1+G340)*((4-1)/(MaxLevel-1))^(2^F340),0),D340+(E340-D340)*(1+G340)*((4-1)/(MaxLevel-1))^(2^F340)))</f>
        <v/>
      </c>
      <c r="L340" s="12" t="str">
        <f>IF(OR(D340="",E340=""),"",IF(IFERROR(INDEX(Stats!$D:$D,MATCH($C340,Stats!$A:$A,0)),FALSE),ROUND(D340+(E340-D340)*(1+G340)*((5-1)/(MaxLevel-1))^(2^F340),0),D340+(E340-D340)*(1+G340)*((5-1)/(MaxLevel-1))^(2^F340)))</f>
        <v/>
      </c>
      <c r="M340" s="12" t="str">
        <f>IF(OR(D340="",E340=""),"",IF(IFERROR(INDEX(Stats!$D:$D,MATCH($C340,Stats!$A:$A,0)),FALSE),ROUND(D340+(E340-D340)*(1+G340)*((6-1)/(MaxLevel-1))^(2^F340),0),D340+(E340-D340)*(1+G340)*((6-1)/(MaxLevel-1))^(2^F340)))</f>
        <v/>
      </c>
      <c r="N340" s="12" t="str">
        <f>IF(OR(D340="",E340=""),"",IF(IFERROR(INDEX(Stats!$D:$D,MATCH($C340,Stats!$A:$A,0)),FALSE),ROUND(D340+(E340-D340)*(1+G340)*((7-1)/(MaxLevel-1))^(2^F340),0),D340+(E340-D340)*(1+G340)*((7-1)/(MaxLevel-1))^(2^F340)))</f>
        <v/>
      </c>
      <c r="O340" s="12" t="str">
        <f>IF(OR(D340="",E340=""),"",IF(IFERROR(INDEX(Stats!$D:$D,MATCH($C340,Stats!$A:$A,0)),FALSE),ROUND(D340+(E340-D340)*(1+G340)*((8-1)/(MaxLevel-1))^(2^F340),0),D340+(E340-D340)*(1+G340)*((8-1)/(MaxLevel-1))^(2^F340)))</f>
        <v/>
      </c>
      <c r="P340" s="12" t="str">
        <f>IF(OR(D340="",E340=""),"",IF(IFERROR(INDEX(Stats!$D:$D,MATCH($C340,Stats!$A:$A,0)),FALSE),ROUND(D340+(E340-D340)*(1+G340)*((9-1)/(MaxLevel-1))^(2^F340),0),D340+(E340-D340)*(1+G340)*((9-1)/(MaxLevel-1))^(2^F340)))</f>
        <v/>
      </c>
      <c r="Q340" s="12" t="str">
        <f>IF(OR(D340="",E340=""),"",IF(IFERROR(INDEX(Stats!$D:$D,MATCH($C340,Stats!$A:$A,0)),FALSE),ROUND(D340+(E340-D340)*(1+G340)*((10-1)/(MaxLevel-1))^(2^F340),0),D340+(E340-D340)*(1+G340)*((10-1)/(MaxLevel-1))^(2^F340)))</f>
        <v/>
      </c>
    </row>
    <row r="341" spans="1:17" x14ac:dyDescent="0.25">
      <c r="A341" s="4" t="s">
        <v>185</v>
      </c>
      <c r="B341" s="19" t="s">
        <v>232</v>
      </c>
      <c r="C341" s="4" t="s">
        <v>56</v>
      </c>
      <c r="D341" s="5"/>
      <c r="E341" s="5"/>
      <c r="F341" s="5"/>
      <c r="G341" s="5"/>
      <c r="H341" s="12" t="str">
        <f>IF(OR(D341="",E341=""),"",IF(IFERROR(INDEX(Stats!$D:$D,MATCH($C341,Stats!$A:$A,0)),FALSE),ROUND(D341+(E341-D341)*(1+G341)*((1-1)/(MaxLevel-1))^(2^F341),0),D341+(E341-D341)*(1+G341)*((1-1)/(MaxLevel-1))^(2^F341)))</f>
        <v/>
      </c>
      <c r="I341" s="12" t="str">
        <f>IF(OR(D341="",E341=""),"",IF(IFERROR(INDEX(Stats!$D:$D,MATCH($C341,Stats!$A:$A,0)),FALSE),ROUND(D341+(E341-D341)*(1+G341)*((2-1)/(MaxLevel-1))^(2^F341),0),D341+(E341-D341)*(1+G341)*((2-1)/(MaxLevel-1))^(2^F341)))</f>
        <v/>
      </c>
      <c r="J341" s="12" t="str">
        <f>IF(OR(D341="",E341=""),"",IF(IFERROR(INDEX(Stats!$D:$D,MATCH($C341,Stats!$A:$A,0)),FALSE),ROUND(D341+(E341-D341)*(1+G341)*((3-1)/(MaxLevel-1))^(2^F341),0),D341+(E341-D341)*(1+G341)*((3-1)/(MaxLevel-1))^(2^F341)))</f>
        <v/>
      </c>
      <c r="K341" s="12" t="str">
        <f>IF(OR(D341="",E341=""),"",IF(IFERROR(INDEX(Stats!$D:$D,MATCH($C341,Stats!$A:$A,0)),FALSE),ROUND(D341+(E341-D341)*(1+G341)*((4-1)/(MaxLevel-1))^(2^F341),0),D341+(E341-D341)*(1+G341)*((4-1)/(MaxLevel-1))^(2^F341)))</f>
        <v/>
      </c>
      <c r="L341" s="12" t="str">
        <f>IF(OR(D341="",E341=""),"",IF(IFERROR(INDEX(Stats!$D:$D,MATCH($C341,Stats!$A:$A,0)),FALSE),ROUND(D341+(E341-D341)*(1+G341)*((5-1)/(MaxLevel-1))^(2^F341),0),D341+(E341-D341)*(1+G341)*((5-1)/(MaxLevel-1))^(2^F341)))</f>
        <v/>
      </c>
      <c r="M341" s="12" t="str">
        <f>IF(OR(D341="",E341=""),"",IF(IFERROR(INDEX(Stats!$D:$D,MATCH($C341,Stats!$A:$A,0)),FALSE),ROUND(D341+(E341-D341)*(1+G341)*((6-1)/(MaxLevel-1))^(2^F341),0),D341+(E341-D341)*(1+G341)*((6-1)/(MaxLevel-1))^(2^F341)))</f>
        <v/>
      </c>
      <c r="N341" s="12" t="str">
        <f>IF(OR(D341="",E341=""),"",IF(IFERROR(INDEX(Stats!$D:$D,MATCH($C341,Stats!$A:$A,0)),FALSE),ROUND(D341+(E341-D341)*(1+G341)*((7-1)/(MaxLevel-1))^(2^F341),0),D341+(E341-D341)*(1+G341)*((7-1)/(MaxLevel-1))^(2^F341)))</f>
        <v/>
      </c>
      <c r="O341" s="12" t="str">
        <f>IF(OR(D341="",E341=""),"",IF(IFERROR(INDEX(Stats!$D:$D,MATCH($C341,Stats!$A:$A,0)),FALSE),ROUND(D341+(E341-D341)*(1+G341)*((8-1)/(MaxLevel-1))^(2^F341),0),D341+(E341-D341)*(1+G341)*((8-1)/(MaxLevel-1))^(2^F341)))</f>
        <v/>
      </c>
      <c r="P341" s="12" t="str">
        <f>IF(OR(D341="",E341=""),"",IF(IFERROR(INDEX(Stats!$D:$D,MATCH($C341,Stats!$A:$A,0)),FALSE),ROUND(D341+(E341-D341)*(1+G341)*((9-1)/(MaxLevel-1))^(2^F341),0),D341+(E341-D341)*(1+G341)*((9-1)/(MaxLevel-1))^(2^F341)))</f>
        <v/>
      </c>
      <c r="Q341" s="12" t="str">
        <f>IF(OR(D341="",E341=""),"",IF(IFERROR(INDEX(Stats!$D:$D,MATCH($C341,Stats!$A:$A,0)),FALSE),ROUND(D341+(E341-D341)*(1+G341)*((10-1)/(MaxLevel-1))^(2^F341),0),D341+(E341-D341)*(1+G341)*((10-1)/(MaxLevel-1))^(2^F341)))</f>
        <v/>
      </c>
    </row>
    <row r="342" spans="1:17" x14ac:dyDescent="0.25">
      <c r="A342" s="4" t="s">
        <v>185</v>
      </c>
      <c r="B342" s="19" t="s">
        <v>232</v>
      </c>
      <c r="C342" s="4" t="s">
        <v>58</v>
      </c>
      <c r="D342" s="5"/>
      <c r="E342" s="5"/>
      <c r="F342" s="5"/>
      <c r="G342" s="5"/>
      <c r="H342" s="12" t="str">
        <f>IF(OR(D342="",E342=""),"",IF(IFERROR(INDEX(Stats!$D:$D,MATCH($C342,Stats!$A:$A,0)),FALSE),ROUND(D342+(E342-D342)*(1+G342)*((1-1)/(MaxLevel-1))^(2^F342),0),D342+(E342-D342)*(1+G342)*((1-1)/(MaxLevel-1))^(2^F342)))</f>
        <v/>
      </c>
      <c r="I342" s="12" t="str">
        <f>IF(OR(D342="",E342=""),"",IF(IFERROR(INDEX(Stats!$D:$D,MATCH($C342,Stats!$A:$A,0)),FALSE),ROUND(D342+(E342-D342)*(1+G342)*((2-1)/(MaxLevel-1))^(2^F342),0),D342+(E342-D342)*(1+G342)*((2-1)/(MaxLevel-1))^(2^F342)))</f>
        <v/>
      </c>
      <c r="J342" s="12" t="str">
        <f>IF(OR(D342="",E342=""),"",IF(IFERROR(INDEX(Stats!$D:$D,MATCH($C342,Stats!$A:$A,0)),FALSE),ROUND(D342+(E342-D342)*(1+G342)*((3-1)/(MaxLevel-1))^(2^F342),0),D342+(E342-D342)*(1+G342)*((3-1)/(MaxLevel-1))^(2^F342)))</f>
        <v/>
      </c>
      <c r="K342" s="12" t="str">
        <f>IF(OR(D342="",E342=""),"",IF(IFERROR(INDEX(Stats!$D:$D,MATCH($C342,Stats!$A:$A,0)),FALSE),ROUND(D342+(E342-D342)*(1+G342)*((4-1)/(MaxLevel-1))^(2^F342),0),D342+(E342-D342)*(1+G342)*((4-1)/(MaxLevel-1))^(2^F342)))</f>
        <v/>
      </c>
      <c r="L342" s="12" t="str">
        <f>IF(OR(D342="",E342=""),"",IF(IFERROR(INDEX(Stats!$D:$D,MATCH($C342,Stats!$A:$A,0)),FALSE),ROUND(D342+(E342-D342)*(1+G342)*((5-1)/(MaxLevel-1))^(2^F342),0),D342+(E342-D342)*(1+G342)*((5-1)/(MaxLevel-1))^(2^F342)))</f>
        <v/>
      </c>
      <c r="M342" s="12" t="str">
        <f>IF(OR(D342="",E342=""),"",IF(IFERROR(INDEX(Stats!$D:$D,MATCH($C342,Stats!$A:$A,0)),FALSE),ROUND(D342+(E342-D342)*(1+G342)*((6-1)/(MaxLevel-1))^(2^F342),0),D342+(E342-D342)*(1+G342)*((6-1)/(MaxLevel-1))^(2^F342)))</f>
        <v/>
      </c>
      <c r="N342" s="12" t="str">
        <f>IF(OR(D342="",E342=""),"",IF(IFERROR(INDEX(Stats!$D:$D,MATCH($C342,Stats!$A:$A,0)),FALSE),ROUND(D342+(E342-D342)*(1+G342)*((7-1)/(MaxLevel-1))^(2^F342),0),D342+(E342-D342)*(1+G342)*((7-1)/(MaxLevel-1))^(2^F342)))</f>
        <v/>
      </c>
      <c r="O342" s="12" t="str">
        <f>IF(OR(D342="",E342=""),"",IF(IFERROR(INDEX(Stats!$D:$D,MATCH($C342,Stats!$A:$A,0)),FALSE),ROUND(D342+(E342-D342)*(1+G342)*((8-1)/(MaxLevel-1))^(2^F342),0),D342+(E342-D342)*(1+G342)*((8-1)/(MaxLevel-1))^(2^F342)))</f>
        <v/>
      </c>
      <c r="P342" s="12" t="str">
        <f>IF(OR(D342="",E342=""),"",IF(IFERROR(INDEX(Stats!$D:$D,MATCH($C342,Stats!$A:$A,0)),FALSE),ROUND(D342+(E342-D342)*(1+G342)*((9-1)/(MaxLevel-1))^(2^F342),0),D342+(E342-D342)*(1+G342)*((9-1)/(MaxLevel-1))^(2^F342)))</f>
        <v/>
      </c>
      <c r="Q342" s="12" t="str">
        <f>IF(OR(D342="",E342=""),"",IF(IFERROR(INDEX(Stats!$D:$D,MATCH($C342,Stats!$A:$A,0)),FALSE),ROUND(D342+(E342-D342)*(1+G342)*((10-1)/(MaxLevel-1))^(2^F342),0),D342+(E342-D342)*(1+G342)*((10-1)/(MaxLevel-1))^(2^F342)))</f>
        <v/>
      </c>
    </row>
    <row r="343" spans="1:17" x14ac:dyDescent="0.25">
      <c r="A343" s="4" t="s">
        <v>185</v>
      </c>
      <c r="B343" s="19" t="s">
        <v>232</v>
      </c>
      <c r="C343" s="4" t="s">
        <v>60</v>
      </c>
      <c r="D343" s="5"/>
      <c r="E343" s="5"/>
      <c r="F343" s="5"/>
      <c r="G343" s="5"/>
      <c r="H343" s="12" t="str">
        <f>IF(OR(D343="",E343=""),"",IF(IFERROR(INDEX(Stats!$D:$D,MATCH($C343,Stats!$A:$A,0)),FALSE),ROUND(D343+(E343-D343)*(1+G343)*((1-1)/(MaxLevel-1))^(2^F343),0),D343+(E343-D343)*(1+G343)*((1-1)/(MaxLevel-1))^(2^F343)))</f>
        <v/>
      </c>
      <c r="I343" s="12" t="str">
        <f>IF(OR(D343="",E343=""),"",IF(IFERROR(INDEX(Stats!$D:$D,MATCH($C343,Stats!$A:$A,0)),FALSE),ROUND(D343+(E343-D343)*(1+G343)*((2-1)/(MaxLevel-1))^(2^F343),0),D343+(E343-D343)*(1+G343)*((2-1)/(MaxLevel-1))^(2^F343)))</f>
        <v/>
      </c>
      <c r="J343" s="12" t="str">
        <f>IF(OR(D343="",E343=""),"",IF(IFERROR(INDEX(Stats!$D:$D,MATCH($C343,Stats!$A:$A,0)),FALSE),ROUND(D343+(E343-D343)*(1+G343)*((3-1)/(MaxLevel-1))^(2^F343),0),D343+(E343-D343)*(1+G343)*((3-1)/(MaxLevel-1))^(2^F343)))</f>
        <v/>
      </c>
      <c r="K343" s="12" t="str">
        <f>IF(OR(D343="",E343=""),"",IF(IFERROR(INDEX(Stats!$D:$D,MATCH($C343,Stats!$A:$A,0)),FALSE),ROUND(D343+(E343-D343)*(1+G343)*((4-1)/(MaxLevel-1))^(2^F343),0),D343+(E343-D343)*(1+G343)*((4-1)/(MaxLevel-1))^(2^F343)))</f>
        <v/>
      </c>
      <c r="L343" s="12" t="str">
        <f>IF(OR(D343="",E343=""),"",IF(IFERROR(INDEX(Stats!$D:$D,MATCH($C343,Stats!$A:$A,0)),FALSE),ROUND(D343+(E343-D343)*(1+G343)*((5-1)/(MaxLevel-1))^(2^F343),0),D343+(E343-D343)*(1+G343)*((5-1)/(MaxLevel-1))^(2^F343)))</f>
        <v/>
      </c>
      <c r="M343" s="12" t="str">
        <f>IF(OR(D343="",E343=""),"",IF(IFERROR(INDEX(Stats!$D:$D,MATCH($C343,Stats!$A:$A,0)),FALSE),ROUND(D343+(E343-D343)*(1+G343)*((6-1)/(MaxLevel-1))^(2^F343),0),D343+(E343-D343)*(1+G343)*((6-1)/(MaxLevel-1))^(2^F343)))</f>
        <v/>
      </c>
      <c r="N343" s="12" t="str">
        <f>IF(OR(D343="",E343=""),"",IF(IFERROR(INDEX(Stats!$D:$D,MATCH($C343,Stats!$A:$A,0)),FALSE),ROUND(D343+(E343-D343)*(1+G343)*((7-1)/(MaxLevel-1))^(2^F343),0),D343+(E343-D343)*(1+G343)*((7-1)/(MaxLevel-1))^(2^F343)))</f>
        <v/>
      </c>
      <c r="O343" s="12" t="str">
        <f>IF(OR(D343="",E343=""),"",IF(IFERROR(INDEX(Stats!$D:$D,MATCH($C343,Stats!$A:$A,0)),FALSE),ROUND(D343+(E343-D343)*(1+G343)*((8-1)/(MaxLevel-1))^(2^F343),0),D343+(E343-D343)*(1+G343)*((8-1)/(MaxLevel-1))^(2^F343)))</f>
        <v/>
      </c>
      <c r="P343" s="12" t="str">
        <f>IF(OR(D343="",E343=""),"",IF(IFERROR(INDEX(Stats!$D:$D,MATCH($C343,Stats!$A:$A,0)),FALSE),ROUND(D343+(E343-D343)*(1+G343)*((9-1)/(MaxLevel-1))^(2^F343),0),D343+(E343-D343)*(1+G343)*((9-1)/(MaxLevel-1))^(2^F343)))</f>
        <v/>
      </c>
      <c r="Q343" s="12" t="str">
        <f>IF(OR(D343="",E343=""),"",IF(IFERROR(INDEX(Stats!$D:$D,MATCH($C343,Stats!$A:$A,0)),FALSE),ROUND(D343+(E343-D343)*(1+G343)*((10-1)/(MaxLevel-1))^(2^F343),0),D343+(E343-D343)*(1+G343)*((10-1)/(MaxLevel-1))^(2^F343)))</f>
        <v/>
      </c>
    </row>
    <row r="344" spans="1:17" x14ac:dyDescent="0.25">
      <c r="A344" s="4" t="s">
        <v>185</v>
      </c>
      <c r="B344" s="19" t="s">
        <v>233</v>
      </c>
      <c r="C344" s="4" t="s">
        <v>24</v>
      </c>
      <c r="D344" s="5">
        <v>0</v>
      </c>
      <c r="E344" s="5">
        <v>10000</v>
      </c>
      <c r="F344" s="5">
        <v>1</v>
      </c>
      <c r="G344" s="5">
        <v>0</v>
      </c>
      <c r="H344" s="12">
        <f>IF(OR(D344="",E344=""),"",IF(IFERROR(INDEX(Stats!$D:$D,MATCH($C344,Stats!$A:$A,0)),FALSE),ROUND(D344+(E344-D344)*(1+G344)*((1-1)/(MaxLevel-1))^(2^F344),0),D344+(E344-D344)*(1+G344)*((1-1)/(MaxLevel-1))^(2^F344)))</f>
        <v>0</v>
      </c>
      <c r="I344" s="12">
        <f>IF(OR(D344="",E344=""),"",IF(IFERROR(INDEX(Stats!$D:$D,MATCH($C344,Stats!$A:$A,0)),FALSE),ROUND(D344+(E344-D344)*(1+G344)*((2-1)/(MaxLevel-1))^(2^F344),0),D344+(E344-D344)*(1+G344)*((2-1)/(MaxLevel-1))^(2^F344)))</f>
        <v>123</v>
      </c>
      <c r="J344" s="12">
        <f>IF(OR(D344="",E344=""),"",IF(IFERROR(INDEX(Stats!$D:$D,MATCH($C344,Stats!$A:$A,0)),FALSE),ROUND(D344+(E344-D344)*(1+G344)*((3-1)/(MaxLevel-1))^(2^F344),0),D344+(E344-D344)*(1+G344)*((3-1)/(MaxLevel-1))^(2^F344)))</f>
        <v>494</v>
      </c>
      <c r="K344" s="12">
        <f>IF(OR(D344="",E344=""),"",IF(IFERROR(INDEX(Stats!$D:$D,MATCH($C344,Stats!$A:$A,0)),FALSE),ROUND(D344+(E344-D344)*(1+G344)*((4-1)/(MaxLevel-1))^(2^F344),0),D344+(E344-D344)*(1+G344)*((4-1)/(MaxLevel-1))^(2^F344)))</f>
        <v>1111</v>
      </c>
      <c r="L344" s="12">
        <f>IF(OR(D344="",E344=""),"",IF(IFERROR(INDEX(Stats!$D:$D,MATCH($C344,Stats!$A:$A,0)),FALSE),ROUND(D344+(E344-D344)*(1+G344)*((5-1)/(MaxLevel-1))^(2^F344),0),D344+(E344-D344)*(1+G344)*((5-1)/(MaxLevel-1))^(2^F344)))</f>
        <v>1975</v>
      </c>
      <c r="M344" s="12">
        <f>IF(OR(D344="",E344=""),"",IF(IFERROR(INDEX(Stats!$D:$D,MATCH($C344,Stats!$A:$A,0)),FALSE),ROUND(D344+(E344-D344)*(1+G344)*((6-1)/(MaxLevel-1))^(2^F344),0),D344+(E344-D344)*(1+G344)*((6-1)/(MaxLevel-1))^(2^F344)))</f>
        <v>3086</v>
      </c>
      <c r="N344" s="12">
        <f>IF(OR(D344="",E344=""),"",IF(IFERROR(INDEX(Stats!$D:$D,MATCH($C344,Stats!$A:$A,0)),FALSE),ROUND(D344+(E344-D344)*(1+G344)*((7-1)/(MaxLevel-1))^(2^F344),0),D344+(E344-D344)*(1+G344)*((7-1)/(MaxLevel-1))^(2^F344)))</f>
        <v>4444</v>
      </c>
      <c r="O344" s="12">
        <f>IF(OR(D344="",E344=""),"",IF(IFERROR(INDEX(Stats!$D:$D,MATCH($C344,Stats!$A:$A,0)),FALSE),ROUND(D344+(E344-D344)*(1+G344)*((8-1)/(MaxLevel-1))^(2^F344),0),D344+(E344-D344)*(1+G344)*((8-1)/(MaxLevel-1))^(2^F344)))</f>
        <v>6049</v>
      </c>
      <c r="P344" s="12">
        <f>IF(OR(D344="",E344=""),"",IF(IFERROR(INDEX(Stats!$D:$D,MATCH($C344,Stats!$A:$A,0)),FALSE),ROUND(D344+(E344-D344)*(1+G344)*((9-1)/(MaxLevel-1))^(2^F344),0),D344+(E344-D344)*(1+G344)*((9-1)/(MaxLevel-1))^(2^F344)))</f>
        <v>7901</v>
      </c>
      <c r="Q344" s="12">
        <f>IF(OR(D344="",E344=""),"",IF(IFERROR(INDEX(Stats!$D:$D,MATCH($C344,Stats!$A:$A,0)),FALSE),ROUND(D344+(E344-D344)*(1+G344)*((10-1)/(MaxLevel-1))^(2^F344),0),D344+(E344-D344)*(1+G344)*((10-1)/(MaxLevel-1))^(2^F344)))</f>
        <v>10000</v>
      </c>
    </row>
    <row r="345" spans="1:17" x14ac:dyDescent="0.25">
      <c r="A345" s="4" t="s">
        <v>185</v>
      </c>
      <c r="B345" s="19" t="s">
        <v>233</v>
      </c>
      <c r="C345" s="4" t="s">
        <v>26</v>
      </c>
      <c r="D345" s="5">
        <v>25</v>
      </c>
      <c r="E345" s="5">
        <v>150</v>
      </c>
      <c r="F345" s="5">
        <v>0</v>
      </c>
      <c r="G345" s="5">
        <v>0</v>
      </c>
      <c r="H345" s="12">
        <f>IF(OR(D345="",E345=""),"",IF(IFERROR(INDEX(Stats!$D:$D,MATCH($C345,Stats!$A:$A,0)),FALSE),ROUND(D345+(E345-D345)*(1+G345)*((1-1)/(MaxLevel-1))^(2^F345),0),D345+(E345-D345)*(1+G345)*((1-1)/(MaxLevel-1))^(2^F345)))</f>
        <v>25</v>
      </c>
      <c r="I345" s="12">
        <f>IF(OR(D345="",E345=""),"",IF(IFERROR(INDEX(Stats!$D:$D,MATCH($C345,Stats!$A:$A,0)),FALSE),ROUND(D345+(E345-D345)*(1+G345)*((2-1)/(MaxLevel-1))^(2^F345),0),D345+(E345-D345)*(1+G345)*((2-1)/(MaxLevel-1))^(2^F345)))</f>
        <v>39</v>
      </c>
      <c r="J345" s="12">
        <f>IF(OR(D345="",E345=""),"",IF(IFERROR(INDEX(Stats!$D:$D,MATCH($C345,Stats!$A:$A,0)),FALSE),ROUND(D345+(E345-D345)*(1+G345)*((3-1)/(MaxLevel-1))^(2^F345),0),D345+(E345-D345)*(1+G345)*((3-1)/(MaxLevel-1))^(2^F345)))</f>
        <v>53</v>
      </c>
      <c r="K345" s="12">
        <f>IF(OR(D345="",E345=""),"",IF(IFERROR(INDEX(Stats!$D:$D,MATCH($C345,Stats!$A:$A,0)),FALSE),ROUND(D345+(E345-D345)*(1+G345)*((4-1)/(MaxLevel-1))^(2^F345),0),D345+(E345-D345)*(1+G345)*((4-1)/(MaxLevel-1))^(2^F345)))</f>
        <v>67</v>
      </c>
      <c r="L345" s="12">
        <f>IF(OR(D345="",E345=""),"",IF(IFERROR(INDEX(Stats!$D:$D,MATCH($C345,Stats!$A:$A,0)),FALSE),ROUND(D345+(E345-D345)*(1+G345)*((5-1)/(MaxLevel-1))^(2^F345),0),D345+(E345-D345)*(1+G345)*((5-1)/(MaxLevel-1))^(2^F345)))</f>
        <v>81</v>
      </c>
      <c r="M345" s="12">
        <f>IF(OR(D345="",E345=""),"",IF(IFERROR(INDEX(Stats!$D:$D,MATCH($C345,Stats!$A:$A,0)),FALSE),ROUND(D345+(E345-D345)*(1+G345)*((6-1)/(MaxLevel-1))^(2^F345),0),D345+(E345-D345)*(1+G345)*((6-1)/(MaxLevel-1))^(2^F345)))</f>
        <v>94</v>
      </c>
      <c r="N345" s="12">
        <f>IF(OR(D345="",E345=""),"",IF(IFERROR(INDEX(Stats!$D:$D,MATCH($C345,Stats!$A:$A,0)),FALSE),ROUND(D345+(E345-D345)*(1+G345)*((7-1)/(MaxLevel-1))^(2^F345),0),D345+(E345-D345)*(1+G345)*((7-1)/(MaxLevel-1))^(2^F345)))</f>
        <v>108</v>
      </c>
      <c r="O345" s="12">
        <f>IF(OR(D345="",E345=""),"",IF(IFERROR(INDEX(Stats!$D:$D,MATCH($C345,Stats!$A:$A,0)),FALSE),ROUND(D345+(E345-D345)*(1+G345)*((8-1)/(MaxLevel-1))^(2^F345),0),D345+(E345-D345)*(1+G345)*((8-1)/(MaxLevel-1))^(2^F345)))</f>
        <v>122</v>
      </c>
      <c r="P345" s="12">
        <f>IF(OR(D345="",E345=""),"",IF(IFERROR(INDEX(Stats!$D:$D,MATCH($C345,Stats!$A:$A,0)),FALSE),ROUND(D345+(E345-D345)*(1+G345)*((9-1)/(MaxLevel-1))^(2^F345),0),D345+(E345-D345)*(1+G345)*((9-1)/(MaxLevel-1))^(2^F345)))</f>
        <v>136</v>
      </c>
      <c r="Q345" s="12">
        <f>IF(OR(D345="",E345=""),"",IF(IFERROR(INDEX(Stats!$D:$D,MATCH($C345,Stats!$A:$A,0)),FALSE),ROUND(D345+(E345-D345)*(1+G345)*((10-1)/(MaxLevel-1))^(2^F345),0),D345+(E345-D345)*(1+G345)*((10-1)/(MaxLevel-1))^(2^F345)))</f>
        <v>150</v>
      </c>
    </row>
    <row r="346" spans="1:17" x14ac:dyDescent="0.25">
      <c r="A346" s="4" t="s">
        <v>185</v>
      </c>
      <c r="B346" s="19" t="s">
        <v>233</v>
      </c>
      <c r="C346" s="4" t="s">
        <v>28</v>
      </c>
      <c r="D346" s="5">
        <v>300</v>
      </c>
      <c r="E346" s="5">
        <v>1200</v>
      </c>
      <c r="F346" s="5">
        <v>0</v>
      </c>
      <c r="G346" s="5">
        <v>-0.1</v>
      </c>
      <c r="H346" s="12">
        <f>IF(OR(D346="",E346=""),"",IF(IFERROR(INDEX(Stats!$D:$D,MATCH($C346,Stats!$A:$A,0)),FALSE),ROUND(D346+(E346-D346)*(1+G346)*((1-1)/(MaxLevel-1))^(2^F346),0),D346+(E346-D346)*(1+G346)*((1-1)/(MaxLevel-1))^(2^F346)))</f>
        <v>300</v>
      </c>
      <c r="I346" s="12">
        <f>IF(OR(D346="",E346=""),"",IF(IFERROR(INDEX(Stats!$D:$D,MATCH($C346,Stats!$A:$A,0)),FALSE),ROUND(D346+(E346-D346)*(1+G346)*((2-1)/(MaxLevel-1))^(2^F346),0),D346+(E346-D346)*(1+G346)*((2-1)/(MaxLevel-1))^(2^F346)))</f>
        <v>390</v>
      </c>
      <c r="J346" s="12">
        <f>IF(OR(D346="",E346=""),"",IF(IFERROR(INDEX(Stats!$D:$D,MATCH($C346,Stats!$A:$A,0)),FALSE),ROUND(D346+(E346-D346)*(1+G346)*((3-1)/(MaxLevel-1))^(2^F346),0),D346+(E346-D346)*(1+G346)*((3-1)/(MaxLevel-1))^(2^F346)))</f>
        <v>480</v>
      </c>
      <c r="K346" s="12">
        <f>IF(OR(D346="",E346=""),"",IF(IFERROR(INDEX(Stats!$D:$D,MATCH($C346,Stats!$A:$A,0)),FALSE),ROUND(D346+(E346-D346)*(1+G346)*((4-1)/(MaxLevel-1))^(2^F346),0),D346+(E346-D346)*(1+G346)*((4-1)/(MaxLevel-1))^(2^F346)))</f>
        <v>570</v>
      </c>
      <c r="L346" s="12">
        <f>IF(OR(D346="",E346=""),"",IF(IFERROR(INDEX(Stats!$D:$D,MATCH($C346,Stats!$A:$A,0)),FALSE),ROUND(D346+(E346-D346)*(1+G346)*((5-1)/(MaxLevel-1))^(2^F346),0),D346+(E346-D346)*(1+G346)*((5-1)/(MaxLevel-1))^(2^F346)))</f>
        <v>660</v>
      </c>
      <c r="M346" s="12">
        <f>IF(OR(D346="",E346=""),"",IF(IFERROR(INDEX(Stats!$D:$D,MATCH($C346,Stats!$A:$A,0)),FALSE),ROUND(D346+(E346-D346)*(1+G346)*((6-1)/(MaxLevel-1))^(2^F346),0),D346+(E346-D346)*(1+G346)*((6-1)/(MaxLevel-1))^(2^F346)))</f>
        <v>750</v>
      </c>
      <c r="N346" s="12">
        <f>IF(OR(D346="",E346=""),"",IF(IFERROR(INDEX(Stats!$D:$D,MATCH($C346,Stats!$A:$A,0)),FALSE),ROUND(D346+(E346-D346)*(1+G346)*((7-1)/(MaxLevel-1))^(2^F346),0),D346+(E346-D346)*(1+G346)*((7-1)/(MaxLevel-1))^(2^F346)))</f>
        <v>840</v>
      </c>
      <c r="O346" s="12">
        <f>IF(OR(D346="",E346=""),"",IF(IFERROR(INDEX(Stats!$D:$D,MATCH($C346,Stats!$A:$A,0)),FALSE),ROUND(D346+(E346-D346)*(1+G346)*((8-1)/(MaxLevel-1))^(2^F346),0),D346+(E346-D346)*(1+G346)*((8-1)/(MaxLevel-1))^(2^F346)))</f>
        <v>930</v>
      </c>
      <c r="P346" s="12">
        <f>IF(OR(D346="",E346=""),"",IF(IFERROR(INDEX(Stats!$D:$D,MATCH($C346,Stats!$A:$A,0)),FALSE),ROUND(D346+(E346-D346)*(1+G346)*((9-1)/(MaxLevel-1))^(2^F346),0),D346+(E346-D346)*(1+G346)*((9-1)/(MaxLevel-1))^(2^F346)))</f>
        <v>1020</v>
      </c>
      <c r="Q346" s="12">
        <f>IF(OR(D346="",E346=""),"",IF(IFERROR(INDEX(Stats!$D:$D,MATCH($C346,Stats!$A:$A,0)),FALSE),ROUND(D346+(E346-D346)*(1+G346)*((10-1)/(MaxLevel-1))^(2^F346),0),D346+(E346-D346)*(1+G346)*((10-1)/(MaxLevel-1))^(2^F346)))</f>
        <v>1110</v>
      </c>
    </row>
    <row r="347" spans="1:17" x14ac:dyDescent="0.25">
      <c r="A347" s="4" t="s">
        <v>185</v>
      </c>
      <c r="B347" s="19" t="s">
        <v>233</v>
      </c>
      <c r="C347" s="4" t="s">
        <v>30</v>
      </c>
      <c r="D347" s="5">
        <v>25</v>
      </c>
      <c r="E347" s="5">
        <v>110</v>
      </c>
      <c r="F347" s="5">
        <v>0.5</v>
      </c>
      <c r="G347" s="5">
        <v>0</v>
      </c>
      <c r="H347" s="12">
        <f>IF(OR(D347="",E347=""),"",IF(IFERROR(INDEX(Stats!$D:$D,MATCH($C347,Stats!$A:$A,0)),FALSE),ROUND(D347+(E347-D347)*(1+G347)*((1-1)/(MaxLevel-1))^(2^F347),0),D347+(E347-D347)*(1+G347)*((1-1)/(MaxLevel-1))^(2^F347)))</f>
        <v>25</v>
      </c>
      <c r="I347" s="12">
        <f>IF(OR(D347="",E347=""),"",IF(IFERROR(INDEX(Stats!$D:$D,MATCH($C347,Stats!$A:$A,0)),FALSE),ROUND(D347+(E347-D347)*(1+G347)*((2-1)/(MaxLevel-1))^(2^F347),0),D347+(E347-D347)*(1+G347)*((2-1)/(MaxLevel-1))^(2^F347)))</f>
        <v>29</v>
      </c>
      <c r="J347" s="12">
        <f>IF(OR(D347="",E347=""),"",IF(IFERROR(INDEX(Stats!$D:$D,MATCH($C347,Stats!$A:$A,0)),FALSE),ROUND(D347+(E347-D347)*(1+G347)*((3-1)/(MaxLevel-1))^(2^F347),0),D347+(E347-D347)*(1+G347)*((3-1)/(MaxLevel-1))^(2^F347)))</f>
        <v>35</v>
      </c>
      <c r="K347" s="12">
        <f>IF(OR(D347="",E347=""),"",IF(IFERROR(INDEX(Stats!$D:$D,MATCH($C347,Stats!$A:$A,0)),FALSE),ROUND(D347+(E347-D347)*(1+G347)*((4-1)/(MaxLevel-1))^(2^F347),0),D347+(E347-D347)*(1+G347)*((4-1)/(MaxLevel-1))^(2^F347)))</f>
        <v>43</v>
      </c>
      <c r="L347" s="12">
        <f>IF(OR(D347="",E347=""),"",IF(IFERROR(INDEX(Stats!$D:$D,MATCH($C347,Stats!$A:$A,0)),FALSE),ROUND(D347+(E347-D347)*(1+G347)*((5-1)/(MaxLevel-1))^(2^F347),0),D347+(E347-D347)*(1+G347)*((5-1)/(MaxLevel-1))^(2^F347)))</f>
        <v>52</v>
      </c>
      <c r="M347" s="12">
        <f>IF(OR(D347="",E347=""),"",IF(IFERROR(INDEX(Stats!$D:$D,MATCH($C347,Stats!$A:$A,0)),FALSE),ROUND(D347+(E347-D347)*(1+G347)*((6-1)/(MaxLevel-1))^(2^F347),0),D347+(E347-D347)*(1+G347)*((6-1)/(MaxLevel-1))^(2^F347)))</f>
        <v>62</v>
      </c>
      <c r="N347" s="12">
        <f>IF(OR(D347="",E347=""),"",IF(IFERROR(INDEX(Stats!$D:$D,MATCH($C347,Stats!$A:$A,0)),FALSE),ROUND(D347+(E347-D347)*(1+G347)*((7-1)/(MaxLevel-1))^(2^F347),0),D347+(E347-D347)*(1+G347)*((7-1)/(MaxLevel-1))^(2^F347)))</f>
        <v>73</v>
      </c>
      <c r="O347" s="12">
        <f>IF(OR(D347="",E347=""),"",IF(IFERROR(INDEX(Stats!$D:$D,MATCH($C347,Stats!$A:$A,0)),FALSE),ROUND(D347+(E347-D347)*(1+G347)*((8-1)/(MaxLevel-1))^(2^F347),0),D347+(E347-D347)*(1+G347)*((8-1)/(MaxLevel-1))^(2^F347)))</f>
        <v>85</v>
      </c>
      <c r="P347" s="12">
        <f>IF(OR(D347="",E347=""),"",IF(IFERROR(INDEX(Stats!$D:$D,MATCH($C347,Stats!$A:$A,0)),FALSE),ROUND(D347+(E347-D347)*(1+G347)*((9-1)/(MaxLevel-1))^(2^F347),0),D347+(E347-D347)*(1+G347)*((9-1)/(MaxLevel-1))^(2^F347)))</f>
        <v>97</v>
      </c>
      <c r="Q347" s="12">
        <f>IF(OR(D347="",E347=""),"",IF(IFERROR(INDEX(Stats!$D:$D,MATCH($C347,Stats!$A:$A,0)),FALSE),ROUND(D347+(E347-D347)*(1+G347)*((10-1)/(MaxLevel-1))^(2^F347),0),D347+(E347-D347)*(1+G347)*((10-1)/(MaxLevel-1))^(2^F347)))</f>
        <v>110</v>
      </c>
    </row>
    <row r="348" spans="1:17" x14ac:dyDescent="0.25">
      <c r="A348" s="4" t="s">
        <v>185</v>
      </c>
      <c r="B348" s="19" t="s">
        <v>233</v>
      </c>
      <c r="C348" s="4" t="s">
        <v>32</v>
      </c>
      <c r="D348" s="5"/>
      <c r="E348" s="5"/>
      <c r="F348" s="5"/>
      <c r="G348" s="5"/>
      <c r="H348" s="12" t="str">
        <f>IF(OR(D348="",E348=""),"",IF(IFERROR(INDEX(Stats!$D:$D,MATCH($C348,Stats!$A:$A,0)),FALSE),ROUND(D348+(E348-D348)*(1+G348)*((1-1)/(MaxLevel-1))^(2^F348),0),D348+(E348-D348)*(1+G348)*((1-1)/(MaxLevel-1))^(2^F348)))</f>
        <v/>
      </c>
      <c r="I348" s="12" t="str">
        <f>IF(OR(D348="",E348=""),"",IF(IFERROR(INDEX(Stats!$D:$D,MATCH($C348,Stats!$A:$A,0)),FALSE),ROUND(D348+(E348-D348)*(1+G348)*((2-1)/(MaxLevel-1))^(2^F348),0),D348+(E348-D348)*(1+G348)*((2-1)/(MaxLevel-1))^(2^F348)))</f>
        <v/>
      </c>
      <c r="J348" s="12" t="str">
        <f>IF(OR(D348="",E348=""),"",IF(IFERROR(INDEX(Stats!$D:$D,MATCH($C348,Stats!$A:$A,0)),FALSE),ROUND(D348+(E348-D348)*(1+G348)*((3-1)/(MaxLevel-1))^(2^F348),0),D348+(E348-D348)*(1+G348)*((3-1)/(MaxLevel-1))^(2^F348)))</f>
        <v/>
      </c>
      <c r="K348" s="12" t="str">
        <f>IF(OR(D348="",E348=""),"",IF(IFERROR(INDEX(Stats!$D:$D,MATCH($C348,Stats!$A:$A,0)),FALSE),ROUND(D348+(E348-D348)*(1+G348)*((4-1)/(MaxLevel-1))^(2^F348),0),D348+(E348-D348)*(1+G348)*((4-1)/(MaxLevel-1))^(2^F348)))</f>
        <v/>
      </c>
      <c r="L348" s="12" t="str">
        <f>IF(OR(D348="",E348=""),"",IF(IFERROR(INDEX(Stats!$D:$D,MATCH($C348,Stats!$A:$A,0)),FALSE),ROUND(D348+(E348-D348)*(1+G348)*((5-1)/(MaxLevel-1))^(2^F348),0),D348+(E348-D348)*(1+G348)*((5-1)/(MaxLevel-1))^(2^F348)))</f>
        <v/>
      </c>
      <c r="M348" s="12" t="str">
        <f>IF(OR(D348="",E348=""),"",IF(IFERROR(INDEX(Stats!$D:$D,MATCH($C348,Stats!$A:$A,0)),FALSE),ROUND(D348+(E348-D348)*(1+G348)*((6-1)/(MaxLevel-1))^(2^F348),0),D348+(E348-D348)*(1+G348)*((6-1)/(MaxLevel-1))^(2^F348)))</f>
        <v/>
      </c>
      <c r="N348" s="12" t="str">
        <f>IF(OR(D348="",E348=""),"",IF(IFERROR(INDEX(Stats!$D:$D,MATCH($C348,Stats!$A:$A,0)),FALSE),ROUND(D348+(E348-D348)*(1+G348)*((7-1)/(MaxLevel-1))^(2^F348),0),D348+(E348-D348)*(1+G348)*((7-1)/(MaxLevel-1))^(2^F348)))</f>
        <v/>
      </c>
      <c r="O348" s="12" t="str">
        <f>IF(OR(D348="",E348=""),"",IF(IFERROR(INDEX(Stats!$D:$D,MATCH($C348,Stats!$A:$A,0)),FALSE),ROUND(D348+(E348-D348)*(1+G348)*((8-1)/(MaxLevel-1))^(2^F348),0),D348+(E348-D348)*(1+G348)*((8-1)/(MaxLevel-1))^(2^F348)))</f>
        <v/>
      </c>
      <c r="P348" s="12" t="str">
        <f>IF(OR(D348="",E348=""),"",IF(IFERROR(INDEX(Stats!$D:$D,MATCH($C348,Stats!$A:$A,0)),FALSE),ROUND(D348+(E348-D348)*(1+G348)*((9-1)/(MaxLevel-1))^(2^F348),0),D348+(E348-D348)*(1+G348)*((9-1)/(MaxLevel-1))^(2^F348)))</f>
        <v/>
      </c>
      <c r="Q348" s="12" t="str">
        <f>IF(OR(D348="",E348=""),"",IF(IFERROR(INDEX(Stats!$D:$D,MATCH($C348,Stats!$A:$A,0)),FALSE),ROUND(D348+(E348-D348)*(1+G348)*((10-1)/(MaxLevel-1))^(2^F348),0),D348+(E348-D348)*(1+G348)*((10-1)/(MaxLevel-1))^(2^F348)))</f>
        <v/>
      </c>
    </row>
    <row r="349" spans="1:17" x14ac:dyDescent="0.25">
      <c r="A349" s="4" t="s">
        <v>185</v>
      </c>
      <c r="B349" s="19" t="s">
        <v>233</v>
      </c>
      <c r="C349" s="4" t="s">
        <v>34</v>
      </c>
      <c r="D349" s="5"/>
      <c r="E349" s="5"/>
      <c r="F349" s="5"/>
      <c r="G349" s="5"/>
      <c r="H349" s="12" t="str">
        <f>IF(OR(D349="",E349=""),"",IF(IFERROR(INDEX(Stats!$D:$D,MATCH($C349,Stats!$A:$A,0)),FALSE),ROUND(D349+(E349-D349)*(1+G349)*((1-1)/(MaxLevel-1))^(2^F349),0),D349+(E349-D349)*(1+G349)*((1-1)/(MaxLevel-1))^(2^F349)))</f>
        <v/>
      </c>
      <c r="I349" s="12" t="str">
        <f>IF(OR(D349="",E349=""),"",IF(IFERROR(INDEX(Stats!$D:$D,MATCH($C349,Stats!$A:$A,0)),FALSE),ROUND(D349+(E349-D349)*(1+G349)*((2-1)/(MaxLevel-1))^(2^F349),0),D349+(E349-D349)*(1+G349)*((2-1)/(MaxLevel-1))^(2^F349)))</f>
        <v/>
      </c>
      <c r="J349" s="12" t="str">
        <f>IF(OR(D349="",E349=""),"",IF(IFERROR(INDEX(Stats!$D:$D,MATCH($C349,Stats!$A:$A,0)),FALSE),ROUND(D349+(E349-D349)*(1+G349)*((3-1)/(MaxLevel-1))^(2^F349),0),D349+(E349-D349)*(1+G349)*((3-1)/(MaxLevel-1))^(2^F349)))</f>
        <v/>
      </c>
      <c r="K349" s="12" t="str">
        <f>IF(OR(D349="",E349=""),"",IF(IFERROR(INDEX(Stats!$D:$D,MATCH($C349,Stats!$A:$A,0)),FALSE),ROUND(D349+(E349-D349)*(1+G349)*((4-1)/(MaxLevel-1))^(2^F349),0),D349+(E349-D349)*(1+G349)*((4-1)/(MaxLevel-1))^(2^F349)))</f>
        <v/>
      </c>
      <c r="L349" s="12" t="str">
        <f>IF(OR(D349="",E349=""),"",IF(IFERROR(INDEX(Stats!$D:$D,MATCH($C349,Stats!$A:$A,0)),FALSE),ROUND(D349+(E349-D349)*(1+G349)*((5-1)/(MaxLevel-1))^(2^F349),0),D349+(E349-D349)*(1+G349)*((5-1)/(MaxLevel-1))^(2^F349)))</f>
        <v/>
      </c>
      <c r="M349" s="12" t="str">
        <f>IF(OR(D349="",E349=""),"",IF(IFERROR(INDEX(Stats!$D:$D,MATCH($C349,Stats!$A:$A,0)),FALSE),ROUND(D349+(E349-D349)*(1+G349)*((6-1)/(MaxLevel-1))^(2^F349),0),D349+(E349-D349)*(1+G349)*((6-1)/(MaxLevel-1))^(2^F349)))</f>
        <v/>
      </c>
      <c r="N349" s="12" t="str">
        <f>IF(OR(D349="",E349=""),"",IF(IFERROR(INDEX(Stats!$D:$D,MATCH($C349,Stats!$A:$A,0)),FALSE),ROUND(D349+(E349-D349)*(1+G349)*((7-1)/(MaxLevel-1))^(2^F349),0),D349+(E349-D349)*(1+G349)*((7-1)/(MaxLevel-1))^(2^F349)))</f>
        <v/>
      </c>
      <c r="O349" s="12" t="str">
        <f>IF(OR(D349="",E349=""),"",IF(IFERROR(INDEX(Stats!$D:$D,MATCH($C349,Stats!$A:$A,0)),FALSE),ROUND(D349+(E349-D349)*(1+G349)*((8-1)/(MaxLevel-1))^(2^F349),0),D349+(E349-D349)*(1+G349)*((8-1)/(MaxLevel-1))^(2^F349)))</f>
        <v/>
      </c>
      <c r="P349" s="12" t="str">
        <f>IF(OR(D349="",E349=""),"",IF(IFERROR(INDEX(Stats!$D:$D,MATCH($C349,Stats!$A:$A,0)),FALSE),ROUND(D349+(E349-D349)*(1+G349)*((9-1)/(MaxLevel-1))^(2^F349),0),D349+(E349-D349)*(1+G349)*((9-1)/(MaxLevel-1))^(2^F349)))</f>
        <v/>
      </c>
      <c r="Q349" s="12" t="str">
        <f>IF(OR(D349="",E349=""),"",IF(IFERROR(INDEX(Stats!$D:$D,MATCH($C349,Stats!$A:$A,0)),FALSE),ROUND(D349+(E349-D349)*(1+G349)*((10-1)/(MaxLevel-1))^(2^F349),0),D349+(E349-D349)*(1+G349)*((10-1)/(MaxLevel-1))^(2^F349)))</f>
        <v/>
      </c>
    </row>
    <row r="350" spans="1:17" x14ac:dyDescent="0.25">
      <c r="A350" s="4" t="s">
        <v>185</v>
      </c>
      <c r="B350" s="19" t="s">
        <v>233</v>
      </c>
      <c r="C350" s="4" t="s">
        <v>36</v>
      </c>
      <c r="D350" s="5"/>
      <c r="E350" s="5"/>
      <c r="F350" s="5"/>
      <c r="G350" s="5"/>
      <c r="H350" s="12" t="str">
        <f>IF(OR(D350="",E350=""),"",IF(IFERROR(INDEX(Stats!$D:$D,MATCH($C350,Stats!$A:$A,0)),FALSE),ROUND(D350+(E350-D350)*(1+G350)*((1-1)/(MaxLevel-1))^(2^F350),0),D350+(E350-D350)*(1+G350)*((1-1)/(MaxLevel-1))^(2^F350)))</f>
        <v/>
      </c>
      <c r="I350" s="12" t="str">
        <f>IF(OR(D350="",E350=""),"",IF(IFERROR(INDEX(Stats!$D:$D,MATCH($C350,Stats!$A:$A,0)),FALSE),ROUND(D350+(E350-D350)*(1+G350)*((2-1)/(MaxLevel-1))^(2^F350),0),D350+(E350-D350)*(1+G350)*((2-1)/(MaxLevel-1))^(2^F350)))</f>
        <v/>
      </c>
      <c r="J350" s="12" t="str">
        <f>IF(OR(D350="",E350=""),"",IF(IFERROR(INDEX(Stats!$D:$D,MATCH($C350,Stats!$A:$A,0)),FALSE),ROUND(D350+(E350-D350)*(1+G350)*((3-1)/(MaxLevel-1))^(2^F350),0),D350+(E350-D350)*(1+G350)*((3-1)/(MaxLevel-1))^(2^F350)))</f>
        <v/>
      </c>
      <c r="K350" s="12" t="str">
        <f>IF(OR(D350="",E350=""),"",IF(IFERROR(INDEX(Stats!$D:$D,MATCH($C350,Stats!$A:$A,0)),FALSE),ROUND(D350+(E350-D350)*(1+G350)*((4-1)/(MaxLevel-1))^(2^F350),0),D350+(E350-D350)*(1+G350)*((4-1)/(MaxLevel-1))^(2^F350)))</f>
        <v/>
      </c>
      <c r="L350" s="12" t="str">
        <f>IF(OR(D350="",E350=""),"",IF(IFERROR(INDEX(Stats!$D:$D,MATCH($C350,Stats!$A:$A,0)),FALSE),ROUND(D350+(E350-D350)*(1+G350)*((5-1)/(MaxLevel-1))^(2^F350),0),D350+(E350-D350)*(1+G350)*((5-1)/(MaxLevel-1))^(2^F350)))</f>
        <v/>
      </c>
      <c r="M350" s="12" t="str">
        <f>IF(OR(D350="",E350=""),"",IF(IFERROR(INDEX(Stats!$D:$D,MATCH($C350,Stats!$A:$A,0)),FALSE),ROUND(D350+(E350-D350)*(1+G350)*((6-1)/(MaxLevel-1))^(2^F350),0),D350+(E350-D350)*(1+G350)*((6-1)/(MaxLevel-1))^(2^F350)))</f>
        <v/>
      </c>
      <c r="N350" s="12" t="str">
        <f>IF(OR(D350="",E350=""),"",IF(IFERROR(INDEX(Stats!$D:$D,MATCH($C350,Stats!$A:$A,0)),FALSE),ROUND(D350+(E350-D350)*(1+G350)*((7-1)/(MaxLevel-1))^(2^F350),0),D350+(E350-D350)*(1+G350)*((7-1)/(MaxLevel-1))^(2^F350)))</f>
        <v/>
      </c>
      <c r="O350" s="12" t="str">
        <f>IF(OR(D350="",E350=""),"",IF(IFERROR(INDEX(Stats!$D:$D,MATCH($C350,Stats!$A:$A,0)),FALSE),ROUND(D350+(E350-D350)*(1+G350)*((8-1)/(MaxLevel-1))^(2^F350),0),D350+(E350-D350)*(1+G350)*((8-1)/(MaxLevel-1))^(2^F350)))</f>
        <v/>
      </c>
      <c r="P350" s="12" t="str">
        <f>IF(OR(D350="",E350=""),"",IF(IFERROR(INDEX(Stats!$D:$D,MATCH($C350,Stats!$A:$A,0)),FALSE),ROUND(D350+(E350-D350)*(1+G350)*((9-1)/(MaxLevel-1))^(2^F350),0),D350+(E350-D350)*(1+G350)*((9-1)/(MaxLevel-1))^(2^F350)))</f>
        <v/>
      </c>
      <c r="Q350" s="12" t="str">
        <f>IF(OR(D350="",E350=""),"",IF(IFERROR(INDEX(Stats!$D:$D,MATCH($C350,Stats!$A:$A,0)),FALSE),ROUND(D350+(E350-D350)*(1+G350)*((10-1)/(MaxLevel-1))^(2^F350),0),D350+(E350-D350)*(1+G350)*((10-1)/(MaxLevel-1))^(2^F350)))</f>
        <v/>
      </c>
    </row>
    <row r="351" spans="1:17" x14ac:dyDescent="0.25">
      <c r="A351" s="4" t="s">
        <v>185</v>
      </c>
      <c r="B351" s="19" t="s">
        <v>233</v>
      </c>
      <c r="C351" s="4" t="s">
        <v>38</v>
      </c>
      <c r="D351" s="5"/>
      <c r="E351" s="5"/>
      <c r="F351" s="5"/>
      <c r="G351" s="5"/>
      <c r="H351" s="12" t="str">
        <f>IF(OR(D351="",E351=""),"",IF(IFERROR(INDEX(Stats!$D:$D,MATCH($C351,Stats!$A:$A,0)),FALSE),ROUND(D351+(E351-D351)*(1+G351)*((1-1)/(MaxLevel-1))^(2^F351),0),D351+(E351-D351)*(1+G351)*((1-1)/(MaxLevel-1))^(2^F351)))</f>
        <v/>
      </c>
      <c r="I351" s="12" t="str">
        <f>IF(OR(D351="",E351=""),"",IF(IFERROR(INDEX(Stats!$D:$D,MATCH($C351,Stats!$A:$A,0)),FALSE),ROUND(D351+(E351-D351)*(1+G351)*((2-1)/(MaxLevel-1))^(2^F351),0),D351+(E351-D351)*(1+G351)*((2-1)/(MaxLevel-1))^(2^F351)))</f>
        <v/>
      </c>
      <c r="J351" s="12" t="str">
        <f>IF(OR(D351="",E351=""),"",IF(IFERROR(INDEX(Stats!$D:$D,MATCH($C351,Stats!$A:$A,0)),FALSE),ROUND(D351+(E351-D351)*(1+G351)*((3-1)/(MaxLevel-1))^(2^F351),0),D351+(E351-D351)*(1+G351)*((3-1)/(MaxLevel-1))^(2^F351)))</f>
        <v/>
      </c>
      <c r="K351" s="12" t="str">
        <f>IF(OR(D351="",E351=""),"",IF(IFERROR(INDEX(Stats!$D:$D,MATCH($C351,Stats!$A:$A,0)),FALSE),ROUND(D351+(E351-D351)*(1+G351)*((4-1)/(MaxLevel-1))^(2^F351),0),D351+(E351-D351)*(1+G351)*((4-1)/(MaxLevel-1))^(2^F351)))</f>
        <v/>
      </c>
      <c r="L351" s="12" t="str">
        <f>IF(OR(D351="",E351=""),"",IF(IFERROR(INDEX(Stats!$D:$D,MATCH($C351,Stats!$A:$A,0)),FALSE),ROUND(D351+(E351-D351)*(1+G351)*((5-1)/(MaxLevel-1))^(2^F351),0),D351+(E351-D351)*(1+G351)*((5-1)/(MaxLevel-1))^(2^F351)))</f>
        <v/>
      </c>
      <c r="M351" s="12" t="str">
        <f>IF(OR(D351="",E351=""),"",IF(IFERROR(INDEX(Stats!$D:$D,MATCH($C351,Stats!$A:$A,0)),FALSE),ROUND(D351+(E351-D351)*(1+G351)*((6-1)/(MaxLevel-1))^(2^F351),0),D351+(E351-D351)*(1+G351)*((6-1)/(MaxLevel-1))^(2^F351)))</f>
        <v/>
      </c>
      <c r="N351" s="12" t="str">
        <f>IF(OR(D351="",E351=""),"",IF(IFERROR(INDEX(Stats!$D:$D,MATCH($C351,Stats!$A:$A,0)),FALSE),ROUND(D351+(E351-D351)*(1+G351)*((7-1)/(MaxLevel-1))^(2^F351),0),D351+(E351-D351)*(1+G351)*((7-1)/(MaxLevel-1))^(2^F351)))</f>
        <v/>
      </c>
      <c r="O351" s="12" t="str">
        <f>IF(OR(D351="",E351=""),"",IF(IFERROR(INDEX(Stats!$D:$D,MATCH($C351,Stats!$A:$A,0)),FALSE),ROUND(D351+(E351-D351)*(1+G351)*((8-1)/(MaxLevel-1))^(2^F351),0),D351+(E351-D351)*(1+G351)*((8-1)/(MaxLevel-1))^(2^F351)))</f>
        <v/>
      </c>
      <c r="P351" s="12" t="str">
        <f>IF(OR(D351="",E351=""),"",IF(IFERROR(INDEX(Stats!$D:$D,MATCH($C351,Stats!$A:$A,0)),FALSE),ROUND(D351+(E351-D351)*(1+G351)*((9-1)/(MaxLevel-1))^(2^F351),0),D351+(E351-D351)*(1+G351)*((9-1)/(MaxLevel-1))^(2^F351)))</f>
        <v/>
      </c>
      <c r="Q351" s="12" t="str">
        <f>IF(OR(D351="",E351=""),"",IF(IFERROR(INDEX(Stats!$D:$D,MATCH($C351,Stats!$A:$A,0)),FALSE),ROUND(D351+(E351-D351)*(1+G351)*((10-1)/(MaxLevel-1))^(2^F351),0),D351+(E351-D351)*(1+G351)*((10-1)/(MaxLevel-1))^(2^F351)))</f>
        <v/>
      </c>
    </row>
    <row r="352" spans="1:17" x14ac:dyDescent="0.25">
      <c r="A352" s="4" t="s">
        <v>185</v>
      </c>
      <c r="B352" s="19" t="s">
        <v>233</v>
      </c>
      <c r="C352" s="4" t="s">
        <v>40</v>
      </c>
      <c r="D352" s="5"/>
      <c r="E352" s="5"/>
      <c r="F352" s="5"/>
      <c r="G352" s="5"/>
      <c r="H352" s="12" t="str">
        <f>IF(OR(D352="",E352=""),"",IF(IFERROR(INDEX(Stats!$D:$D,MATCH($C352,Stats!$A:$A,0)),FALSE),ROUND(D352+(E352-D352)*(1+G352)*((1-1)/(MaxLevel-1))^(2^F352),0),D352+(E352-D352)*(1+G352)*((1-1)/(MaxLevel-1))^(2^F352)))</f>
        <v/>
      </c>
      <c r="I352" s="12" t="str">
        <f>IF(OR(D352="",E352=""),"",IF(IFERROR(INDEX(Stats!$D:$D,MATCH($C352,Stats!$A:$A,0)),FALSE),ROUND(D352+(E352-D352)*(1+G352)*((2-1)/(MaxLevel-1))^(2^F352),0),D352+(E352-D352)*(1+G352)*((2-1)/(MaxLevel-1))^(2^F352)))</f>
        <v/>
      </c>
      <c r="J352" s="12" t="str">
        <f>IF(OR(D352="",E352=""),"",IF(IFERROR(INDEX(Stats!$D:$D,MATCH($C352,Stats!$A:$A,0)),FALSE),ROUND(D352+(E352-D352)*(1+G352)*((3-1)/(MaxLevel-1))^(2^F352),0),D352+(E352-D352)*(1+G352)*((3-1)/(MaxLevel-1))^(2^F352)))</f>
        <v/>
      </c>
      <c r="K352" s="12" t="str">
        <f>IF(OR(D352="",E352=""),"",IF(IFERROR(INDEX(Stats!$D:$D,MATCH($C352,Stats!$A:$A,0)),FALSE),ROUND(D352+(E352-D352)*(1+G352)*((4-1)/(MaxLevel-1))^(2^F352),0),D352+(E352-D352)*(1+G352)*((4-1)/(MaxLevel-1))^(2^F352)))</f>
        <v/>
      </c>
      <c r="L352" s="12" t="str">
        <f>IF(OR(D352="",E352=""),"",IF(IFERROR(INDEX(Stats!$D:$D,MATCH($C352,Stats!$A:$A,0)),FALSE),ROUND(D352+(E352-D352)*(1+G352)*((5-1)/(MaxLevel-1))^(2^F352),0),D352+(E352-D352)*(1+G352)*((5-1)/(MaxLevel-1))^(2^F352)))</f>
        <v/>
      </c>
      <c r="M352" s="12" t="str">
        <f>IF(OR(D352="",E352=""),"",IF(IFERROR(INDEX(Stats!$D:$D,MATCH($C352,Stats!$A:$A,0)),FALSE),ROUND(D352+(E352-D352)*(1+G352)*((6-1)/(MaxLevel-1))^(2^F352),0),D352+(E352-D352)*(1+G352)*((6-1)/(MaxLevel-1))^(2^F352)))</f>
        <v/>
      </c>
      <c r="N352" s="12" t="str">
        <f>IF(OR(D352="",E352=""),"",IF(IFERROR(INDEX(Stats!$D:$D,MATCH($C352,Stats!$A:$A,0)),FALSE),ROUND(D352+(E352-D352)*(1+G352)*((7-1)/(MaxLevel-1))^(2^F352),0),D352+(E352-D352)*(1+G352)*((7-1)/(MaxLevel-1))^(2^F352)))</f>
        <v/>
      </c>
      <c r="O352" s="12" t="str">
        <f>IF(OR(D352="",E352=""),"",IF(IFERROR(INDEX(Stats!$D:$D,MATCH($C352,Stats!$A:$A,0)),FALSE),ROUND(D352+(E352-D352)*(1+G352)*((8-1)/(MaxLevel-1))^(2^F352),0),D352+(E352-D352)*(1+G352)*((8-1)/(MaxLevel-1))^(2^F352)))</f>
        <v/>
      </c>
      <c r="P352" s="12" t="str">
        <f>IF(OR(D352="",E352=""),"",IF(IFERROR(INDEX(Stats!$D:$D,MATCH($C352,Stats!$A:$A,0)),FALSE),ROUND(D352+(E352-D352)*(1+G352)*((9-1)/(MaxLevel-1))^(2^F352),0),D352+(E352-D352)*(1+G352)*((9-1)/(MaxLevel-1))^(2^F352)))</f>
        <v/>
      </c>
      <c r="Q352" s="12" t="str">
        <f>IF(OR(D352="",E352=""),"",IF(IFERROR(INDEX(Stats!$D:$D,MATCH($C352,Stats!$A:$A,0)),FALSE),ROUND(D352+(E352-D352)*(1+G352)*((10-1)/(MaxLevel-1))^(2^F352),0),D352+(E352-D352)*(1+G352)*((10-1)/(MaxLevel-1))^(2^F352)))</f>
        <v/>
      </c>
    </row>
    <row r="353" spans="1:17" x14ac:dyDescent="0.25">
      <c r="A353" s="4" t="s">
        <v>185</v>
      </c>
      <c r="B353" s="19" t="s">
        <v>233</v>
      </c>
      <c r="C353" s="4" t="s">
        <v>42</v>
      </c>
      <c r="D353" s="5"/>
      <c r="E353" s="5"/>
      <c r="F353" s="5"/>
      <c r="G353" s="5"/>
      <c r="H353" s="12" t="str">
        <f>IF(OR(D353="",E353=""),"",IF(IFERROR(INDEX(Stats!$D:$D,MATCH($C353,Stats!$A:$A,0)),FALSE),ROUND(D353+(E353-D353)*(1+G353)*((1-1)/(MaxLevel-1))^(2^F353),0),D353+(E353-D353)*(1+G353)*((1-1)/(MaxLevel-1))^(2^F353)))</f>
        <v/>
      </c>
      <c r="I353" s="12" t="str">
        <f>IF(OR(D353="",E353=""),"",IF(IFERROR(INDEX(Stats!$D:$D,MATCH($C353,Stats!$A:$A,0)),FALSE),ROUND(D353+(E353-D353)*(1+G353)*((2-1)/(MaxLevel-1))^(2^F353),0),D353+(E353-D353)*(1+G353)*((2-1)/(MaxLevel-1))^(2^F353)))</f>
        <v/>
      </c>
      <c r="J353" s="12" t="str">
        <f>IF(OR(D353="",E353=""),"",IF(IFERROR(INDEX(Stats!$D:$D,MATCH($C353,Stats!$A:$A,0)),FALSE),ROUND(D353+(E353-D353)*(1+G353)*((3-1)/(MaxLevel-1))^(2^F353),0),D353+(E353-D353)*(1+G353)*((3-1)/(MaxLevel-1))^(2^F353)))</f>
        <v/>
      </c>
      <c r="K353" s="12" t="str">
        <f>IF(OR(D353="",E353=""),"",IF(IFERROR(INDEX(Stats!$D:$D,MATCH($C353,Stats!$A:$A,0)),FALSE),ROUND(D353+(E353-D353)*(1+G353)*((4-1)/(MaxLevel-1))^(2^F353),0),D353+(E353-D353)*(1+G353)*((4-1)/(MaxLevel-1))^(2^F353)))</f>
        <v/>
      </c>
      <c r="L353" s="12" t="str">
        <f>IF(OR(D353="",E353=""),"",IF(IFERROR(INDEX(Stats!$D:$D,MATCH($C353,Stats!$A:$A,0)),FALSE),ROUND(D353+(E353-D353)*(1+G353)*((5-1)/(MaxLevel-1))^(2^F353),0),D353+(E353-D353)*(1+G353)*((5-1)/(MaxLevel-1))^(2^F353)))</f>
        <v/>
      </c>
      <c r="M353" s="12" t="str">
        <f>IF(OR(D353="",E353=""),"",IF(IFERROR(INDEX(Stats!$D:$D,MATCH($C353,Stats!$A:$A,0)),FALSE),ROUND(D353+(E353-D353)*(1+G353)*((6-1)/(MaxLevel-1))^(2^F353),0),D353+(E353-D353)*(1+G353)*((6-1)/(MaxLevel-1))^(2^F353)))</f>
        <v/>
      </c>
      <c r="N353" s="12" t="str">
        <f>IF(OR(D353="",E353=""),"",IF(IFERROR(INDEX(Stats!$D:$D,MATCH($C353,Stats!$A:$A,0)),FALSE),ROUND(D353+(E353-D353)*(1+G353)*((7-1)/(MaxLevel-1))^(2^F353),0),D353+(E353-D353)*(1+G353)*((7-1)/(MaxLevel-1))^(2^F353)))</f>
        <v/>
      </c>
      <c r="O353" s="12" t="str">
        <f>IF(OR(D353="",E353=""),"",IF(IFERROR(INDEX(Stats!$D:$D,MATCH($C353,Stats!$A:$A,0)),FALSE),ROUND(D353+(E353-D353)*(1+G353)*((8-1)/(MaxLevel-1))^(2^F353),0),D353+(E353-D353)*(1+G353)*((8-1)/(MaxLevel-1))^(2^F353)))</f>
        <v/>
      </c>
      <c r="P353" s="12" t="str">
        <f>IF(OR(D353="",E353=""),"",IF(IFERROR(INDEX(Stats!$D:$D,MATCH($C353,Stats!$A:$A,0)),FALSE),ROUND(D353+(E353-D353)*(1+G353)*((9-1)/(MaxLevel-1))^(2^F353),0),D353+(E353-D353)*(1+G353)*((9-1)/(MaxLevel-1))^(2^F353)))</f>
        <v/>
      </c>
      <c r="Q353" s="12" t="str">
        <f>IF(OR(D353="",E353=""),"",IF(IFERROR(INDEX(Stats!$D:$D,MATCH($C353,Stats!$A:$A,0)),FALSE),ROUND(D353+(E353-D353)*(1+G353)*((10-1)/(MaxLevel-1))^(2^F353),0),D353+(E353-D353)*(1+G353)*((10-1)/(MaxLevel-1))^(2^F353)))</f>
        <v/>
      </c>
    </row>
    <row r="354" spans="1:17" x14ac:dyDescent="0.25">
      <c r="A354" s="4" t="s">
        <v>185</v>
      </c>
      <c r="B354" s="19" t="s">
        <v>233</v>
      </c>
      <c r="C354" s="4" t="s">
        <v>44</v>
      </c>
      <c r="D354" s="5"/>
      <c r="E354" s="5"/>
      <c r="F354" s="5"/>
      <c r="G354" s="5"/>
      <c r="H354" s="12" t="str">
        <f>IF(OR(D354="",E354=""),"",IF(IFERROR(INDEX(Stats!$D:$D,MATCH($C354,Stats!$A:$A,0)),FALSE),ROUND(D354+(E354-D354)*(1+G354)*((1-1)/(MaxLevel-1))^(2^F354),0),D354+(E354-D354)*(1+G354)*((1-1)/(MaxLevel-1))^(2^F354)))</f>
        <v/>
      </c>
      <c r="I354" s="12" t="str">
        <f>IF(OR(D354="",E354=""),"",IF(IFERROR(INDEX(Stats!$D:$D,MATCH($C354,Stats!$A:$A,0)),FALSE),ROUND(D354+(E354-D354)*(1+G354)*((2-1)/(MaxLevel-1))^(2^F354),0),D354+(E354-D354)*(1+G354)*((2-1)/(MaxLevel-1))^(2^F354)))</f>
        <v/>
      </c>
      <c r="J354" s="12" t="str">
        <f>IF(OR(D354="",E354=""),"",IF(IFERROR(INDEX(Stats!$D:$D,MATCH($C354,Stats!$A:$A,0)),FALSE),ROUND(D354+(E354-D354)*(1+G354)*((3-1)/(MaxLevel-1))^(2^F354),0),D354+(E354-D354)*(1+G354)*((3-1)/(MaxLevel-1))^(2^F354)))</f>
        <v/>
      </c>
      <c r="K354" s="12" t="str">
        <f>IF(OR(D354="",E354=""),"",IF(IFERROR(INDEX(Stats!$D:$D,MATCH($C354,Stats!$A:$A,0)),FALSE),ROUND(D354+(E354-D354)*(1+G354)*((4-1)/(MaxLevel-1))^(2^F354),0),D354+(E354-D354)*(1+G354)*((4-1)/(MaxLevel-1))^(2^F354)))</f>
        <v/>
      </c>
      <c r="L354" s="12" t="str">
        <f>IF(OR(D354="",E354=""),"",IF(IFERROR(INDEX(Stats!$D:$D,MATCH($C354,Stats!$A:$A,0)),FALSE),ROUND(D354+(E354-D354)*(1+G354)*((5-1)/(MaxLevel-1))^(2^F354),0),D354+(E354-D354)*(1+G354)*((5-1)/(MaxLevel-1))^(2^F354)))</f>
        <v/>
      </c>
      <c r="M354" s="12" t="str">
        <f>IF(OR(D354="",E354=""),"",IF(IFERROR(INDEX(Stats!$D:$D,MATCH($C354,Stats!$A:$A,0)),FALSE),ROUND(D354+(E354-D354)*(1+G354)*((6-1)/(MaxLevel-1))^(2^F354),0),D354+(E354-D354)*(1+G354)*((6-1)/(MaxLevel-1))^(2^F354)))</f>
        <v/>
      </c>
      <c r="N354" s="12" t="str">
        <f>IF(OR(D354="",E354=""),"",IF(IFERROR(INDEX(Stats!$D:$D,MATCH($C354,Stats!$A:$A,0)),FALSE),ROUND(D354+(E354-D354)*(1+G354)*((7-1)/(MaxLevel-1))^(2^F354),0),D354+(E354-D354)*(1+G354)*((7-1)/(MaxLevel-1))^(2^F354)))</f>
        <v/>
      </c>
      <c r="O354" s="12" t="str">
        <f>IF(OR(D354="",E354=""),"",IF(IFERROR(INDEX(Stats!$D:$D,MATCH($C354,Stats!$A:$A,0)),FALSE),ROUND(D354+(E354-D354)*(1+G354)*((8-1)/(MaxLevel-1))^(2^F354),0),D354+(E354-D354)*(1+G354)*((8-1)/(MaxLevel-1))^(2^F354)))</f>
        <v/>
      </c>
      <c r="P354" s="12" t="str">
        <f>IF(OR(D354="",E354=""),"",IF(IFERROR(INDEX(Stats!$D:$D,MATCH($C354,Stats!$A:$A,0)),FALSE),ROUND(D354+(E354-D354)*(1+G354)*((9-1)/(MaxLevel-1))^(2^F354),0),D354+(E354-D354)*(1+G354)*((9-1)/(MaxLevel-1))^(2^F354)))</f>
        <v/>
      </c>
      <c r="Q354" s="12" t="str">
        <f>IF(OR(D354="",E354=""),"",IF(IFERROR(INDEX(Stats!$D:$D,MATCH($C354,Stats!$A:$A,0)),FALSE),ROUND(D354+(E354-D354)*(1+G354)*((10-1)/(MaxLevel-1))^(2^F354),0),D354+(E354-D354)*(1+G354)*((10-1)/(MaxLevel-1))^(2^F354)))</f>
        <v/>
      </c>
    </row>
    <row r="355" spans="1:17" x14ac:dyDescent="0.25">
      <c r="A355" s="4" t="s">
        <v>185</v>
      </c>
      <c r="B355" s="19" t="s">
        <v>233</v>
      </c>
      <c r="C355" s="4" t="s">
        <v>46</v>
      </c>
      <c r="D355" s="5">
        <v>300</v>
      </c>
      <c r="E355" s="5">
        <v>320</v>
      </c>
      <c r="F355" s="5">
        <v>0</v>
      </c>
      <c r="G355" s="5">
        <v>0</v>
      </c>
      <c r="H355" s="12">
        <f>IF(OR(D355="",E355=""),"",IF(IFERROR(INDEX(Stats!$D:$D,MATCH($C355,Stats!$A:$A,0)),FALSE),ROUND(D355+(E355-D355)*(1+G355)*((1-1)/(MaxLevel-1))^(2^F355),0),D355+(E355-D355)*(1+G355)*((1-1)/(MaxLevel-1))^(2^F355)))</f>
        <v>300</v>
      </c>
      <c r="I355" s="12">
        <f>IF(OR(D355="",E355=""),"",IF(IFERROR(INDEX(Stats!$D:$D,MATCH($C355,Stats!$A:$A,0)),FALSE),ROUND(D355+(E355-D355)*(1+G355)*((2-1)/(MaxLevel-1))^(2^F355),0),D355+(E355-D355)*(1+G355)*((2-1)/(MaxLevel-1))^(2^F355)))</f>
        <v>302.22222222222223</v>
      </c>
      <c r="J355" s="12">
        <f>IF(OR(D355="",E355=""),"",IF(IFERROR(INDEX(Stats!$D:$D,MATCH($C355,Stats!$A:$A,0)),FALSE),ROUND(D355+(E355-D355)*(1+G355)*((3-1)/(MaxLevel-1))^(2^F355),0),D355+(E355-D355)*(1+G355)*((3-1)/(MaxLevel-1))^(2^F355)))</f>
        <v>304.44444444444446</v>
      </c>
      <c r="K355" s="12">
        <f>IF(OR(D355="",E355=""),"",IF(IFERROR(INDEX(Stats!$D:$D,MATCH($C355,Stats!$A:$A,0)),FALSE),ROUND(D355+(E355-D355)*(1+G355)*((4-1)/(MaxLevel-1))^(2^F355),0),D355+(E355-D355)*(1+G355)*((4-1)/(MaxLevel-1))^(2^F355)))</f>
        <v>306.66666666666669</v>
      </c>
      <c r="L355" s="12">
        <f>IF(OR(D355="",E355=""),"",IF(IFERROR(INDEX(Stats!$D:$D,MATCH($C355,Stats!$A:$A,0)),FALSE),ROUND(D355+(E355-D355)*(1+G355)*((5-1)/(MaxLevel-1))^(2^F355),0),D355+(E355-D355)*(1+G355)*((5-1)/(MaxLevel-1))^(2^F355)))</f>
        <v>308.88888888888891</v>
      </c>
      <c r="M355" s="12">
        <f>IF(OR(D355="",E355=""),"",IF(IFERROR(INDEX(Stats!$D:$D,MATCH($C355,Stats!$A:$A,0)),FALSE),ROUND(D355+(E355-D355)*(1+G355)*((6-1)/(MaxLevel-1))^(2^F355),0),D355+(E355-D355)*(1+G355)*((6-1)/(MaxLevel-1))^(2^F355)))</f>
        <v>311.11111111111109</v>
      </c>
      <c r="N355" s="12">
        <f>IF(OR(D355="",E355=""),"",IF(IFERROR(INDEX(Stats!$D:$D,MATCH($C355,Stats!$A:$A,0)),FALSE),ROUND(D355+(E355-D355)*(1+G355)*((7-1)/(MaxLevel-1))^(2^F355),0),D355+(E355-D355)*(1+G355)*((7-1)/(MaxLevel-1))^(2^F355)))</f>
        <v>313.33333333333331</v>
      </c>
      <c r="O355" s="12">
        <f>IF(OR(D355="",E355=""),"",IF(IFERROR(INDEX(Stats!$D:$D,MATCH($C355,Stats!$A:$A,0)),FALSE),ROUND(D355+(E355-D355)*(1+G355)*((8-1)/(MaxLevel-1))^(2^F355),0),D355+(E355-D355)*(1+G355)*((8-1)/(MaxLevel-1))^(2^F355)))</f>
        <v>315.55555555555554</v>
      </c>
      <c r="P355" s="12">
        <f>IF(OR(D355="",E355=""),"",IF(IFERROR(INDEX(Stats!$D:$D,MATCH($C355,Stats!$A:$A,0)),FALSE),ROUND(D355+(E355-D355)*(1+G355)*((9-1)/(MaxLevel-1))^(2^F355),0),D355+(E355-D355)*(1+G355)*((9-1)/(MaxLevel-1))^(2^F355)))</f>
        <v>317.77777777777777</v>
      </c>
      <c r="Q355" s="12">
        <f>IF(OR(D355="",E355=""),"",IF(IFERROR(INDEX(Stats!$D:$D,MATCH($C355,Stats!$A:$A,0)),FALSE),ROUND(D355+(E355-D355)*(1+G355)*((10-1)/(MaxLevel-1))^(2^F355),0),D355+(E355-D355)*(1+G355)*((10-1)/(MaxLevel-1))^(2^F355)))</f>
        <v>320</v>
      </c>
    </row>
    <row r="356" spans="1:17" x14ac:dyDescent="0.25">
      <c r="A356" s="4" t="s">
        <v>185</v>
      </c>
      <c r="B356" s="19" t="s">
        <v>233</v>
      </c>
      <c r="C356" s="4" t="s">
        <v>48</v>
      </c>
      <c r="D356" s="5"/>
      <c r="E356" s="5"/>
      <c r="F356" s="5"/>
      <c r="G356" s="5"/>
      <c r="H356" s="12" t="str">
        <f>IF(OR(D356="",E356=""),"",IF(IFERROR(INDEX(Stats!$D:$D,MATCH($C356,Stats!$A:$A,0)),FALSE),ROUND(D356+(E356-D356)*(1+G356)*((1-1)/(MaxLevel-1))^(2^F356),0),D356+(E356-D356)*(1+G356)*((1-1)/(MaxLevel-1))^(2^F356)))</f>
        <v/>
      </c>
      <c r="I356" s="12" t="str">
        <f>IF(OR(D356="",E356=""),"",IF(IFERROR(INDEX(Stats!$D:$D,MATCH($C356,Stats!$A:$A,0)),FALSE),ROUND(D356+(E356-D356)*(1+G356)*((2-1)/(MaxLevel-1))^(2^F356),0),D356+(E356-D356)*(1+G356)*((2-1)/(MaxLevel-1))^(2^F356)))</f>
        <v/>
      </c>
      <c r="J356" s="12" t="str">
        <f>IF(OR(D356="",E356=""),"",IF(IFERROR(INDEX(Stats!$D:$D,MATCH($C356,Stats!$A:$A,0)),FALSE),ROUND(D356+(E356-D356)*(1+G356)*((3-1)/(MaxLevel-1))^(2^F356),0),D356+(E356-D356)*(1+G356)*((3-1)/(MaxLevel-1))^(2^F356)))</f>
        <v/>
      </c>
      <c r="K356" s="12" t="str">
        <f>IF(OR(D356="",E356=""),"",IF(IFERROR(INDEX(Stats!$D:$D,MATCH($C356,Stats!$A:$A,0)),FALSE),ROUND(D356+(E356-D356)*(1+G356)*((4-1)/(MaxLevel-1))^(2^F356),0),D356+(E356-D356)*(1+G356)*((4-1)/(MaxLevel-1))^(2^F356)))</f>
        <v/>
      </c>
      <c r="L356" s="12" t="str">
        <f>IF(OR(D356="",E356=""),"",IF(IFERROR(INDEX(Stats!$D:$D,MATCH($C356,Stats!$A:$A,0)),FALSE),ROUND(D356+(E356-D356)*(1+G356)*((5-1)/(MaxLevel-1))^(2^F356),0),D356+(E356-D356)*(1+G356)*((5-1)/(MaxLevel-1))^(2^F356)))</f>
        <v/>
      </c>
      <c r="M356" s="12" t="str">
        <f>IF(OR(D356="",E356=""),"",IF(IFERROR(INDEX(Stats!$D:$D,MATCH($C356,Stats!$A:$A,0)),FALSE),ROUND(D356+(E356-D356)*(1+G356)*((6-1)/(MaxLevel-1))^(2^F356),0),D356+(E356-D356)*(1+G356)*((6-1)/(MaxLevel-1))^(2^F356)))</f>
        <v/>
      </c>
      <c r="N356" s="12" t="str">
        <f>IF(OR(D356="",E356=""),"",IF(IFERROR(INDEX(Stats!$D:$D,MATCH($C356,Stats!$A:$A,0)),FALSE),ROUND(D356+(E356-D356)*(1+G356)*((7-1)/(MaxLevel-1))^(2^F356),0),D356+(E356-D356)*(1+G356)*((7-1)/(MaxLevel-1))^(2^F356)))</f>
        <v/>
      </c>
      <c r="O356" s="12" t="str">
        <f>IF(OR(D356="",E356=""),"",IF(IFERROR(INDEX(Stats!$D:$D,MATCH($C356,Stats!$A:$A,0)),FALSE),ROUND(D356+(E356-D356)*(1+G356)*((8-1)/(MaxLevel-1))^(2^F356),0),D356+(E356-D356)*(1+G356)*((8-1)/(MaxLevel-1))^(2^F356)))</f>
        <v/>
      </c>
      <c r="P356" s="12" t="str">
        <f>IF(OR(D356="",E356=""),"",IF(IFERROR(INDEX(Stats!$D:$D,MATCH($C356,Stats!$A:$A,0)),FALSE),ROUND(D356+(E356-D356)*(1+G356)*((9-1)/(MaxLevel-1))^(2^F356),0),D356+(E356-D356)*(1+G356)*((9-1)/(MaxLevel-1))^(2^F356)))</f>
        <v/>
      </c>
      <c r="Q356" s="12" t="str">
        <f>IF(OR(D356="",E356=""),"",IF(IFERROR(INDEX(Stats!$D:$D,MATCH($C356,Stats!$A:$A,0)),FALSE),ROUND(D356+(E356-D356)*(1+G356)*((10-1)/(MaxLevel-1))^(2^F356),0),D356+(E356-D356)*(1+G356)*((10-1)/(MaxLevel-1))^(2^F356)))</f>
        <v/>
      </c>
    </row>
    <row r="357" spans="1:17" x14ac:dyDescent="0.25">
      <c r="A357" s="4" t="s">
        <v>185</v>
      </c>
      <c r="B357" s="19" t="s">
        <v>233</v>
      </c>
      <c r="C357" s="4" t="s">
        <v>50</v>
      </c>
      <c r="D357" s="5"/>
      <c r="E357" s="5"/>
      <c r="F357" s="5"/>
      <c r="G357" s="5"/>
      <c r="H357" s="12" t="str">
        <f>IF(OR(D357="",E357=""),"",IF(IFERROR(INDEX(Stats!$D:$D,MATCH($C357,Stats!$A:$A,0)),FALSE),ROUND(D357+(E357-D357)*(1+G357)*((1-1)/(MaxLevel-1))^(2^F357),0),D357+(E357-D357)*(1+G357)*((1-1)/(MaxLevel-1))^(2^F357)))</f>
        <v/>
      </c>
      <c r="I357" s="12" t="str">
        <f>IF(OR(D357="",E357=""),"",IF(IFERROR(INDEX(Stats!$D:$D,MATCH($C357,Stats!$A:$A,0)),FALSE),ROUND(D357+(E357-D357)*(1+G357)*((2-1)/(MaxLevel-1))^(2^F357),0),D357+(E357-D357)*(1+G357)*((2-1)/(MaxLevel-1))^(2^F357)))</f>
        <v/>
      </c>
      <c r="J357" s="12" t="str">
        <f>IF(OR(D357="",E357=""),"",IF(IFERROR(INDEX(Stats!$D:$D,MATCH($C357,Stats!$A:$A,0)),FALSE),ROUND(D357+(E357-D357)*(1+G357)*((3-1)/(MaxLevel-1))^(2^F357),0),D357+(E357-D357)*(1+G357)*((3-1)/(MaxLevel-1))^(2^F357)))</f>
        <v/>
      </c>
      <c r="K357" s="12" t="str">
        <f>IF(OR(D357="",E357=""),"",IF(IFERROR(INDEX(Stats!$D:$D,MATCH($C357,Stats!$A:$A,0)),FALSE),ROUND(D357+(E357-D357)*(1+G357)*((4-1)/(MaxLevel-1))^(2^F357),0),D357+(E357-D357)*(1+G357)*((4-1)/(MaxLevel-1))^(2^F357)))</f>
        <v/>
      </c>
      <c r="L357" s="12" t="str">
        <f>IF(OR(D357="",E357=""),"",IF(IFERROR(INDEX(Stats!$D:$D,MATCH($C357,Stats!$A:$A,0)),FALSE),ROUND(D357+(E357-D357)*(1+G357)*((5-1)/(MaxLevel-1))^(2^F357),0),D357+(E357-D357)*(1+G357)*((5-1)/(MaxLevel-1))^(2^F357)))</f>
        <v/>
      </c>
      <c r="M357" s="12" t="str">
        <f>IF(OR(D357="",E357=""),"",IF(IFERROR(INDEX(Stats!$D:$D,MATCH($C357,Stats!$A:$A,0)),FALSE),ROUND(D357+(E357-D357)*(1+G357)*((6-1)/(MaxLevel-1))^(2^F357),0),D357+(E357-D357)*(1+G357)*((6-1)/(MaxLevel-1))^(2^F357)))</f>
        <v/>
      </c>
      <c r="N357" s="12" t="str">
        <f>IF(OR(D357="",E357=""),"",IF(IFERROR(INDEX(Stats!$D:$D,MATCH($C357,Stats!$A:$A,0)),FALSE),ROUND(D357+(E357-D357)*(1+G357)*((7-1)/(MaxLevel-1))^(2^F357),0),D357+(E357-D357)*(1+G357)*((7-1)/(MaxLevel-1))^(2^F357)))</f>
        <v/>
      </c>
      <c r="O357" s="12" t="str">
        <f>IF(OR(D357="",E357=""),"",IF(IFERROR(INDEX(Stats!$D:$D,MATCH($C357,Stats!$A:$A,0)),FALSE),ROUND(D357+(E357-D357)*(1+G357)*((8-1)/(MaxLevel-1))^(2^F357),0),D357+(E357-D357)*(1+G357)*((8-1)/(MaxLevel-1))^(2^F357)))</f>
        <v/>
      </c>
      <c r="P357" s="12" t="str">
        <f>IF(OR(D357="",E357=""),"",IF(IFERROR(INDEX(Stats!$D:$D,MATCH($C357,Stats!$A:$A,0)),FALSE),ROUND(D357+(E357-D357)*(1+G357)*((9-1)/(MaxLevel-1))^(2^F357),0),D357+(E357-D357)*(1+G357)*((9-1)/(MaxLevel-1))^(2^F357)))</f>
        <v/>
      </c>
      <c r="Q357" s="12" t="str">
        <f>IF(OR(D357="",E357=""),"",IF(IFERROR(INDEX(Stats!$D:$D,MATCH($C357,Stats!$A:$A,0)),FALSE),ROUND(D357+(E357-D357)*(1+G357)*((10-1)/(MaxLevel-1))^(2^F357),0),D357+(E357-D357)*(1+G357)*((10-1)/(MaxLevel-1))^(2^F357)))</f>
        <v/>
      </c>
    </row>
    <row r="358" spans="1:17" x14ac:dyDescent="0.25">
      <c r="A358" s="4" t="s">
        <v>185</v>
      </c>
      <c r="B358" s="19" t="s">
        <v>233</v>
      </c>
      <c r="C358" s="4" t="s">
        <v>52</v>
      </c>
      <c r="D358" s="5"/>
      <c r="E358" s="5"/>
      <c r="F358" s="5"/>
      <c r="G358" s="5"/>
      <c r="H358" s="12" t="str">
        <f>IF(OR(D358="",E358=""),"",IF(IFERROR(INDEX(Stats!$D:$D,MATCH($C358,Stats!$A:$A,0)),FALSE),ROUND(D358+(E358-D358)*(1+G358)*((1-1)/(MaxLevel-1))^(2^F358),0),D358+(E358-D358)*(1+G358)*((1-1)/(MaxLevel-1))^(2^F358)))</f>
        <v/>
      </c>
      <c r="I358" s="12" t="str">
        <f>IF(OR(D358="",E358=""),"",IF(IFERROR(INDEX(Stats!$D:$D,MATCH($C358,Stats!$A:$A,0)),FALSE),ROUND(D358+(E358-D358)*(1+G358)*((2-1)/(MaxLevel-1))^(2^F358),0),D358+(E358-D358)*(1+G358)*((2-1)/(MaxLevel-1))^(2^F358)))</f>
        <v/>
      </c>
      <c r="J358" s="12" t="str">
        <f>IF(OR(D358="",E358=""),"",IF(IFERROR(INDEX(Stats!$D:$D,MATCH($C358,Stats!$A:$A,0)),FALSE),ROUND(D358+(E358-D358)*(1+G358)*((3-1)/(MaxLevel-1))^(2^F358),0),D358+(E358-D358)*(1+G358)*((3-1)/(MaxLevel-1))^(2^F358)))</f>
        <v/>
      </c>
      <c r="K358" s="12" t="str">
        <f>IF(OR(D358="",E358=""),"",IF(IFERROR(INDEX(Stats!$D:$D,MATCH($C358,Stats!$A:$A,0)),FALSE),ROUND(D358+(E358-D358)*(1+G358)*((4-1)/(MaxLevel-1))^(2^F358),0),D358+(E358-D358)*(1+G358)*((4-1)/(MaxLevel-1))^(2^F358)))</f>
        <v/>
      </c>
      <c r="L358" s="12" t="str">
        <f>IF(OR(D358="",E358=""),"",IF(IFERROR(INDEX(Stats!$D:$D,MATCH($C358,Stats!$A:$A,0)),FALSE),ROUND(D358+(E358-D358)*(1+G358)*((5-1)/(MaxLevel-1))^(2^F358),0),D358+(E358-D358)*(1+G358)*((5-1)/(MaxLevel-1))^(2^F358)))</f>
        <v/>
      </c>
      <c r="M358" s="12" t="str">
        <f>IF(OR(D358="",E358=""),"",IF(IFERROR(INDEX(Stats!$D:$D,MATCH($C358,Stats!$A:$A,0)),FALSE),ROUND(D358+(E358-D358)*(1+G358)*((6-1)/(MaxLevel-1))^(2^F358),0),D358+(E358-D358)*(1+G358)*((6-1)/(MaxLevel-1))^(2^F358)))</f>
        <v/>
      </c>
      <c r="N358" s="12" t="str">
        <f>IF(OR(D358="",E358=""),"",IF(IFERROR(INDEX(Stats!$D:$D,MATCH($C358,Stats!$A:$A,0)),FALSE),ROUND(D358+(E358-D358)*(1+G358)*((7-1)/(MaxLevel-1))^(2^F358),0),D358+(E358-D358)*(1+G358)*((7-1)/(MaxLevel-1))^(2^F358)))</f>
        <v/>
      </c>
      <c r="O358" s="12" t="str">
        <f>IF(OR(D358="",E358=""),"",IF(IFERROR(INDEX(Stats!$D:$D,MATCH($C358,Stats!$A:$A,0)),FALSE),ROUND(D358+(E358-D358)*(1+G358)*((8-1)/(MaxLevel-1))^(2^F358),0),D358+(E358-D358)*(1+G358)*((8-1)/(MaxLevel-1))^(2^F358)))</f>
        <v/>
      </c>
      <c r="P358" s="12" t="str">
        <f>IF(OR(D358="",E358=""),"",IF(IFERROR(INDEX(Stats!$D:$D,MATCH($C358,Stats!$A:$A,0)),FALSE),ROUND(D358+(E358-D358)*(1+G358)*((9-1)/(MaxLevel-1))^(2^F358),0),D358+(E358-D358)*(1+G358)*((9-1)/(MaxLevel-1))^(2^F358)))</f>
        <v/>
      </c>
      <c r="Q358" s="12" t="str">
        <f>IF(OR(D358="",E358=""),"",IF(IFERROR(INDEX(Stats!$D:$D,MATCH($C358,Stats!$A:$A,0)),FALSE),ROUND(D358+(E358-D358)*(1+G358)*((10-1)/(MaxLevel-1))^(2^F358),0),D358+(E358-D358)*(1+G358)*((10-1)/(MaxLevel-1))^(2^F358)))</f>
        <v/>
      </c>
    </row>
    <row r="359" spans="1:17" x14ac:dyDescent="0.25">
      <c r="A359" s="4" t="s">
        <v>185</v>
      </c>
      <c r="B359" s="19" t="s">
        <v>233</v>
      </c>
      <c r="C359" s="4" t="s">
        <v>54</v>
      </c>
      <c r="D359" s="5"/>
      <c r="E359" s="5"/>
      <c r="F359" s="5"/>
      <c r="G359" s="5"/>
      <c r="H359" s="12" t="str">
        <f>IF(OR(D359="",E359=""),"",IF(IFERROR(INDEX(Stats!$D:$D,MATCH($C359,Stats!$A:$A,0)),FALSE),ROUND(D359+(E359-D359)*(1+G359)*((1-1)/(MaxLevel-1))^(2^F359),0),D359+(E359-D359)*(1+G359)*((1-1)/(MaxLevel-1))^(2^F359)))</f>
        <v/>
      </c>
      <c r="I359" s="12" t="str">
        <f>IF(OR(D359="",E359=""),"",IF(IFERROR(INDEX(Stats!$D:$D,MATCH($C359,Stats!$A:$A,0)),FALSE),ROUND(D359+(E359-D359)*(1+G359)*((2-1)/(MaxLevel-1))^(2^F359),0),D359+(E359-D359)*(1+G359)*((2-1)/(MaxLevel-1))^(2^F359)))</f>
        <v/>
      </c>
      <c r="J359" s="12" t="str">
        <f>IF(OR(D359="",E359=""),"",IF(IFERROR(INDEX(Stats!$D:$D,MATCH($C359,Stats!$A:$A,0)),FALSE),ROUND(D359+(E359-D359)*(1+G359)*((3-1)/(MaxLevel-1))^(2^F359),0),D359+(E359-D359)*(1+G359)*((3-1)/(MaxLevel-1))^(2^F359)))</f>
        <v/>
      </c>
      <c r="K359" s="12" t="str">
        <f>IF(OR(D359="",E359=""),"",IF(IFERROR(INDEX(Stats!$D:$D,MATCH($C359,Stats!$A:$A,0)),FALSE),ROUND(D359+(E359-D359)*(1+G359)*((4-1)/(MaxLevel-1))^(2^F359),0),D359+(E359-D359)*(1+G359)*((4-1)/(MaxLevel-1))^(2^F359)))</f>
        <v/>
      </c>
      <c r="L359" s="12" t="str">
        <f>IF(OR(D359="",E359=""),"",IF(IFERROR(INDEX(Stats!$D:$D,MATCH($C359,Stats!$A:$A,0)),FALSE),ROUND(D359+(E359-D359)*(1+G359)*((5-1)/(MaxLevel-1))^(2^F359),0),D359+(E359-D359)*(1+G359)*((5-1)/(MaxLevel-1))^(2^F359)))</f>
        <v/>
      </c>
      <c r="M359" s="12" t="str">
        <f>IF(OR(D359="",E359=""),"",IF(IFERROR(INDEX(Stats!$D:$D,MATCH($C359,Stats!$A:$A,0)),FALSE),ROUND(D359+(E359-D359)*(1+G359)*((6-1)/(MaxLevel-1))^(2^F359),0),D359+(E359-D359)*(1+G359)*((6-1)/(MaxLevel-1))^(2^F359)))</f>
        <v/>
      </c>
      <c r="N359" s="12" t="str">
        <f>IF(OR(D359="",E359=""),"",IF(IFERROR(INDEX(Stats!$D:$D,MATCH($C359,Stats!$A:$A,0)),FALSE),ROUND(D359+(E359-D359)*(1+G359)*((7-1)/(MaxLevel-1))^(2^F359),0),D359+(E359-D359)*(1+G359)*((7-1)/(MaxLevel-1))^(2^F359)))</f>
        <v/>
      </c>
      <c r="O359" s="12" t="str">
        <f>IF(OR(D359="",E359=""),"",IF(IFERROR(INDEX(Stats!$D:$D,MATCH($C359,Stats!$A:$A,0)),FALSE),ROUND(D359+(E359-D359)*(1+G359)*((8-1)/(MaxLevel-1))^(2^F359),0),D359+(E359-D359)*(1+G359)*((8-1)/(MaxLevel-1))^(2^F359)))</f>
        <v/>
      </c>
      <c r="P359" s="12" t="str">
        <f>IF(OR(D359="",E359=""),"",IF(IFERROR(INDEX(Stats!$D:$D,MATCH($C359,Stats!$A:$A,0)),FALSE),ROUND(D359+(E359-D359)*(1+G359)*((9-1)/(MaxLevel-1))^(2^F359),0),D359+(E359-D359)*(1+G359)*((9-1)/(MaxLevel-1))^(2^F359)))</f>
        <v/>
      </c>
      <c r="Q359" s="12" t="str">
        <f>IF(OR(D359="",E359=""),"",IF(IFERROR(INDEX(Stats!$D:$D,MATCH($C359,Stats!$A:$A,0)),FALSE),ROUND(D359+(E359-D359)*(1+G359)*((10-1)/(MaxLevel-1))^(2^F359),0),D359+(E359-D359)*(1+G359)*((10-1)/(MaxLevel-1))^(2^F359)))</f>
        <v/>
      </c>
    </row>
    <row r="360" spans="1:17" x14ac:dyDescent="0.25">
      <c r="A360" s="4" t="s">
        <v>185</v>
      </c>
      <c r="B360" s="19" t="s">
        <v>233</v>
      </c>
      <c r="C360" s="4" t="s">
        <v>56</v>
      </c>
      <c r="D360" s="5"/>
      <c r="E360" s="5"/>
      <c r="F360" s="5"/>
      <c r="G360" s="5"/>
      <c r="H360" s="12" t="str">
        <f>IF(OR(D360="",E360=""),"",IF(IFERROR(INDEX(Stats!$D:$D,MATCH($C360,Stats!$A:$A,0)),FALSE),ROUND(D360+(E360-D360)*(1+G360)*((1-1)/(MaxLevel-1))^(2^F360),0),D360+(E360-D360)*(1+G360)*((1-1)/(MaxLevel-1))^(2^F360)))</f>
        <v/>
      </c>
      <c r="I360" s="12" t="str">
        <f>IF(OR(D360="",E360=""),"",IF(IFERROR(INDEX(Stats!$D:$D,MATCH($C360,Stats!$A:$A,0)),FALSE),ROUND(D360+(E360-D360)*(1+G360)*((2-1)/(MaxLevel-1))^(2^F360),0),D360+(E360-D360)*(1+G360)*((2-1)/(MaxLevel-1))^(2^F360)))</f>
        <v/>
      </c>
      <c r="J360" s="12" t="str">
        <f>IF(OR(D360="",E360=""),"",IF(IFERROR(INDEX(Stats!$D:$D,MATCH($C360,Stats!$A:$A,0)),FALSE),ROUND(D360+(E360-D360)*(1+G360)*((3-1)/(MaxLevel-1))^(2^F360),0),D360+(E360-D360)*(1+G360)*((3-1)/(MaxLevel-1))^(2^F360)))</f>
        <v/>
      </c>
      <c r="K360" s="12" t="str">
        <f>IF(OR(D360="",E360=""),"",IF(IFERROR(INDEX(Stats!$D:$D,MATCH($C360,Stats!$A:$A,0)),FALSE),ROUND(D360+(E360-D360)*(1+G360)*((4-1)/(MaxLevel-1))^(2^F360),0),D360+(E360-D360)*(1+G360)*((4-1)/(MaxLevel-1))^(2^F360)))</f>
        <v/>
      </c>
      <c r="L360" s="12" t="str">
        <f>IF(OR(D360="",E360=""),"",IF(IFERROR(INDEX(Stats!$D:$D,MATCH($C360,Stats!$A:$A,0)),FALSE),ROUND(D360+(E360-D360)*(1+G360)*((5-1)/(MaxLevel-1))^(2^F360),0),D360+(E360-D360)*(1+G360)*((5-1)/(MaxLevel-1))^(2^F360)))</f>
        <v/>
      </c>
      <c r="M360" s="12" t="str">
        <f>IF(OR(D360="",E360=""),"",IF(IFERROR(INDEX(Stats!$D:$D,MATCH($C360,Stats!$A:$A,0)),FALSE),ROUND(D360+(E360-D360)*(1+G360)*((6-1)/(MaxLevel-1))^(2^F360),0),D360+(E360-D360)*(1+G360)*((6-1)/(MaxLevel-1))^(2^F360)))</f>
        <v/>
      </c>
      <c r="N360" s="12" t="str">
        <f>IF(OR(D360="",E360=""),"",IF(IFERROR(INDEX(Stats!$D:$D,MATCH($C360,Stats!$A:$A,0)),FALSE),ROUND(D360+(E360-D360)*(1+G360)*((7-1)/(MaxLevel-1))^(2^F360),0),D360+(E360-D360)*(1+G360)*((7-1)/(MaxLevel-1))^(2^F360)))</f>
        <v/>
      </c>
      <c r="O360" s="12" t="str">
        <f>IF(OR(D360="",E360=""),"",IF(IFERROR(INDEX(Stats!$D:$D,MATCH($C360,Stats!$A:$A,0)),FALSE),ROUND(D360+(E360-D360)*(1+G360)*((8-1)/(MaxLevel-1))^(2^F360),0),D360+(E360-D360)*(1+G360)*((8-1)/(MaxLevel-1))^(2^F360)))</f>
        <v/>
      </c>
      <c r="P360" s="12" t="str">
        <f>IF(OR(D360="",E360=""),"",IF(IFERROR(INDEX(Stats!$D:$D,MATCH($C360,Stats!$A:$A,0)),FALSE),ROUND(D360+(E360-D360)*(1+G360)*((9-1)/(MaxLevel-1))^(2^F360),0),D360+(E360-D360)*(1+G360)*((9-1)/(MaxLevel-1))^(2^F360)))</f>
        <v/>
      </c>
      <c r="Q360" s="12" t="str">
        <f>IF(OR(D360="",E360=""),"",IF(IFERROR(INDEX(Stats!$D:$D,MATCH($C360,Stats!$A:$A,0)),FALSE),ROUND(D360+(E360-D360)*(1+G360)*((10-1)/(MaxLevel-1))^(2^F360),0),D360+(E360-D360)*(1+G360)*((10-1)/(MaxLevel-1))^(2^F360)))</f>
        <v/>
      </c>
    </row>
    <row r="361" spans="1:17" x14ac:dyDescent="0.25">
      <c r="A361" s="4" t="s">
        <v>185</v>
      </c>
      <c r="B361" s="19" t="s">
        <v>233</v>
      </c>
      <c r="C361" s="4" t="s">
        <v>58</v>
      </c>
      <c r="D361" s="5"/>
      <c r="E361" s="5"/>
      <c r="F361" s="5"/>
      <c r="G361" s="5"/>
      <c r="H361" s="12" t="str">
        <f>IF(OR(D361="",E361=""),"",IF(IFERROR(INDEX(Stats!$D:$D,MATCH($C361,Stats!$A:$A,0)),FALSE),ROUND(D361+(E361-D361)*(1+G361)*((1-1)/(MaxLevel-1))^(2^F361),0),D361+(E361-D361)*(1+G361)*((1-1)/(MaxLevel-1))^(2^F361)))</f>
        <v/>
      </c>
      <c r="I361" s="12" t="str">
        <f>IF(OR(D361="",E361=""),"",IF(IFERROR(INDEX(Stats!$D:$D,MATCH($C361,Stats!$A:$A,0)),FALSE),ROUND(D361+(E361-D361)*(1+G361)*((2-1)/(MaxLevel-1))^(2^F361),0),D361+(E361-D361)*(1+G361)*((2-1)/(MaxLevel-1))^(2^F361)))</f>
        <v/>
      </c>
      <c r="J361" s="12" t="str">
        <f>IF(OR(D361="",E361=""),"",IF(IFERROR(INDEX(Stats!$D:$D,MATCH($C361,Stats!$A:$A,0)),FALSE),ROUND(D361+(E361-D361)*(1+G361)*((3-1)/(MaxLevel-1))^(2^F361),0),D361+(E361-D361)*(1+G361)*((3-1)/(MaxLevel-1))^(2^F361)))</f>
        <v/>
      </c>
      <c r="K361" s="12" t="str">
        <f>IF(OR(D361="",E361=""),"",IF(IFERROR(INDEX(Stats!$D:$D,MATCH($C361,Stats!$A:$A,0)),FALSE),ROUND(D361+(E361-D361)*(1+G361)*((4-1)/(MaxLevel-1))^(2^F361),0),D361+(E361-D361)*(1+G361)*((4-1)/(MaxLevel-1))^(2^F361)))</f>
        <v/>
      </c>
      <c r="L361" s="12" t="str">
        <f>IF(OR(D361="",E361=""),"",IF(IFERROR(INDEX(Stats!$D:$D,MATCH($C361,Stats!$A:$A,0)),FALSE),ROUND(D361+(E361-D361)*(1+G361)*((5-1)/(MaxLevel-1))^(2^F361),0),D361+(E361-D361)*(1+G361)*((5-1)/(MaxLevel-1))^(2^F361)))</f>
        <v/>
      </c>
      <c r="M361" s="12" t="str">
        <f>IF(OR(D361="",E361=""),"",IF(IFERROR(INDEX(Stats!$D:$D,MATCH($C361,Stats!$A:$A,0)),FALSE),ROUND(D361+(E361-D361)*(1+G361)*((6-1)/(MaxLevel-1))^(2^F361),0),D361+(E361-D361)*(1+G361)*((6-1)/(MaxLevel-1))^(2^F361)))</f>
        <v/>
      </c>
      <c r="N361" s="12" t="str">
        <f>IF(OR(D361="",E361=""),"",IF(IFERROR(INDEX(Stats!$D:$D,MATCH($C361,Stats!$A:$A,0)),FALSE),ROUND(D361+(E361-D361)*(1+G361)*((7-1)/(MaxLevel-1))^(2^F361),0),D361+(E361-D361)*(1+G361)*((7-1)/(MaxLevel-1))^(2^F361)))</f>
        <v/>
      </c>
      <c r="O361" s="12" t="str">
        <f>IF(OR(D361="",E361=""),"",IF(IFERROR(INDEX(Stats!$D:$D,MATCH($C361,Stats!$A:$A,0)),FALSE),ROUND(D361+(E361-D361)*(1+G361)*((8-1)/(MaxLevel-1))^(2^F361),0),D361+(E361-D361)*(1+G361)*((8-1)/(MaxLevel-1))^(2^F361)))</f>
        <v/>
      </c>
      <c r="P361" s="12" t="str">
        <f>IF(OR(D361="",E361=""),"",IF(IFERROR(INDEX(Stats!$D:$D,MATCH($C361,Stats!$A:$A,0)),FALSE),ROUND(D361+(E361-D361)*(1+G361)*((9-1)/(MaxLevel-1))^(2^F361),0),D361+(E361-D361)*(1+G361)*((9-1)/(MaxLevel-1))^(2^F361)))</f>
        <v/>
      </c>
      <c r="Q361" s="12" t="str">
        <f>IF(OR(D361="",E361=""),"",IF(IFERROR(INDEX(Stats!$D:$D,MATCH($C361,Stats!$A:$A,0)),FALSE),ROUND(D361+(E361-D361)*(1+G361)*((10-1)/(MaxLevel-1))^(2^F361),0),D361+(E361-D361)*(1+G361)*((10-1)/(MaxLevel-1))^(2^F361)))</f>
        <v/>
      </c>
    </row>
    <row r="362" spans="1:17" x14ac:dyDescent="0.25">
      <c r="A362" s="4" t="s">
        <v>185</v>
      </c>
      <c r="B362" s="19" t="s">
        <v>233</v>
      </c>
      <c r="C362" s="4" t="s">
        <v>60</v>
      </c>
      <c r="D362" s="5"/>
      <c r="E362" s="5"/>
      <c r="F362" s="5"/>
      <c r="G362" s="5"/>
      <c r="H362" s="12" t="str">
        <f>IF(OR(D362="",E362=""),"",IF(IFERROR(INDEX(Stats!$D:$D,MATCH($C362,Stats!$A:$A,0)),FALSE),ROUND(D362+(E362-D362)*(1+G362)*((1-1)/(MaxLevel-1))^(2^F362),0),D362+(E362-D362)*(1+G362)*((1-1)/(MaxLevel-1))^(2^F362)))</f>
        <v/>
      </c>
      <c r="I362" s="12" t="str">
        <f>IF(OR(D362="",E362=""),"",IF(IFERROR(INDEX(Stats!$D:$D,MATCH($C362,Stats!$A:$A,0)),FALSE),ROUND(D362+(E362-D362)*(1+G362)*((2-1)/(MaxLevel-1))^(2^F362),0),D362+(E362-D362)*(1+G362)*((2-1)/(MaxLevel-1))^(2^F362)))</f>
        <v/>
      </c>
      <c r="J362" s="12" t="str">
        <f>IF(OR(D362="",E362=""),"",IF(IFERROR(INDEX(Stats!$D:$D,MATCH($C362,Stats!$A:$A,0)),FALSE),ROUND(D362+(E362-D362)*(1+G362)*((3-1)/(MaxLevel-1))^(2^F362),0),D362+(E362-D362)*(1+G362)*((3-1)/(MaxLevel-1))^(2^F362)))</f>
        <v/>
      </c>
      <c r="K362" s="12" t="str">
        <f>IF(OR(D362="",E362=""),"",IF(IFERROR(INDEX(Stats!$D:$D,MATCH($C362,Stats!$A:$A,0)),FALSE),ROUND(D362+(E362-D362)*(1+G362)*((4-1)/(MaxLevel-1))^(2^F362),0),D362+(E362-D362)*(1+G362)*((4-1)/(MaxLevel-1))^(2^F362)))</f>
        <v/>
      </c>
      <c r="L362" s="12" t="str">
        <f>IF(OR(D362="",E362=""),"",IF(IFERROR(INDEX(Stats!$D:$D,MATCH($C362,Stats!$A:$A,0)),FALSE),ROUND(D362+(E362-D362)*(1+G362)*((5-1)/(MaxLevel-1))^(2^F362),0),D362+(E362-D362)*(1+G362)*((5-1)/(MaxLevel-1))^(2^F362)))</f>
        <v/>
      </c>
      <c r="M362" s="12" t="str">
        <f>IF(OR(D362="",E362=""),"",IF(IFERROR(INDEX(Stats!$D:$D,MATCH($C362,Stats!$A:$A,0)),FALSE),ROUND(D362+(E362-D362)*(1+G362)*((6-1)/(MaxLevel-1))^(2^F362),0),D362+(E362-D362)*(1+G362)*((6-1)/(MaxLevel-1))^(2^F362)))</f>
        <v/>
      </c>
      <c r="N362" s="12" t="str">
        <f>IF(OR(D362="",E362=""),"",IF(IFERROR(INDEX(Stats!$D:$D,MATCH($C362,Stats!$A:$A,0)),FALSE),ROUND(D362+(E362-D362)*(1+G362)*((7-1)/(MaxLevel-1))^(2^F362),0),D362+(E362-D362)*(1+G362)*((7-1)/(MaxLevel-1))^(2^F362)))</f>
        <v/>
      </c>
      <c r="O362" s="12" t="str">
        <f>IF(OR(D362="",E362=""),"",IF(IFERROR(INDEX(Stats!$D:$D,MATCH($C362,Stats!$A:$A,0)),FALSE),ROUND(D362+(E362-D362)*(1+G362)*((8-1)/(MaxLevel-1))^(2^F362),0),D362+(E362-D362)*(1+G362)*((8-1)/(MaxLevel-1))^(2^F362)))</f>
        <v/>
      </c>
      <c r="P362" s="12" t="str">
        <f>IF(OR(D362="",E362=""),"",IF(IFERROR(INDEX(Stats!$D:$D,MATCH($C362,Stats!$A:$A,0)),FALSE),ROUND(D362+(E362-D362)*(1+G362)*((9-1)/(MaxLevel-1))^(2^F362),0),D362+(E362-D362)*(1+G362)*((9-1)/(MaxLevel-1))^(2^F362)))</f>
        <v/>
      </c>
      <c r="Q362" s="12" t="str">
        <f>IF(OR(D362="",E362=""),"",IF(IFERROR(INDEX(Stats!$D:$D,MATCH($C362,Stats!$A:$A,0)),FALSE),ROUND(D362+(E362-D362)*(1+G362)*((10-1)/(MaxLevel-1))^(2^F362),0),D362+(E362-D362)*(1+G362)*((10-1)/(MaxLevel-1))^(2^F362)))</f>
        <v/>
      </c>
    </row>
    <row r="363" spans="1:17" x14ac:dyDescent="0.25">
      <c r="A363" s="4" t="s">
        <v>185</v>
      </c>
      <c r="B363" s="19" t="s">
        <v>234</v>
      </c>
      <c r="C363" s="4" t="s">
        <v>24</v>
      </c>
      <c r="D363" s="5">
        <v>0</v>
      </c>
      <c r="E363" s="5">
        <v>10000</v>
      </c>
      <c r="F363" s="5">
        <v>1</v>
      </c>
      <c r="G363" s="5">
        <v>0</v>
      </c>
      <c r="H363" s="12">
        <f>IF(OR(D363="",E363=""),"",IF(IFERROR(INDEX(Stats!$D:$D,MATCH($C363,Stats!$A:$A,0)),FALSE),ROUND(D363+(E363-D363)*(1+G363)*((1-1)/(MaxLevel-1))^(2^F363),0),D363+(E363-D363)*(1+G363)*((1-1)/(MaxLevel-1))^(2^F363)))</f>
        <v>0</v>
      </c>
      <c r="I363" s="12">
        <f>IF(OR(D363="",E363=""),"",IF(IFERROR(INDEX(Stats!$D:$D,MATCH($C363,Stats!$A:$A,0)),FALSE),ROUND(D363+(E363-D363)*(1+G363)*((2-1)/(MaxLevel-1))^(2^F363),0),D363+(E363-D363)*(1+G363)*((2-1)/(MaxLevel-1))^(2^F363)))</f>
        <v>123</v>
      </c>
      <c r="J363" s="12">
        <f>IF(OR(D363="",E363=""),"",IF(IFERROR(INDEX(Stats!$D:$D,MATCH($C363,Stats!$A:$A,0)),FALSE),ROUND(D363+(E363-D363)*(1+G363)*((3-1)/(MaxLevel-1))^(2^F363),0),D363+(E363-D363)*(1+G363)*((3-1)/(MaxLevel-1))^(2^F363)))</f>
        <v>494</v>
      </c>
      <c r="K363" s="12">
        <f>IF(OR(D363="",E363=""),"",IF(IFERROR(INDEX(Stats!$D:$D,MATCH($C363,Stats!$A:$A,0)),FALSE),ROUND(D363+(E363-D363)*(1+G363)*((4-1)/(MaxLevel-1))^(2^F363),0),D363+(E363-D363)*(1+G363)*((4-1)/(MaxLevel-1))^(2^F363)))</f>
        <v>1111</v>
      </c>
      <c r="L363" s="12">
        <f>IF(OR(D363="",E363=""),"",IF(IFERROR(INDEX(Stats!$D:$D,MATCH($C363,Stats!$A:$A,0)),FALSE),ROUND(D363+(E363-D363)*(1+G363)*((5-1)/(MaxLevel-1))^(2^F363),0),D363+(E363-D363)*(1+G363)*((5-1)/(MaxLevel-1))^(2^F363)))</f>
        <v>1975</v>
      </c>
      <c r="M363" s="12">
        <f>IF(OR(D363="",E363=""),"",IF(IFERROR(INDEX(Stats!$D:$D,MATCH($C363,Stats!$A:$A,0)),FALSE),ROUND(D363+(E363-D363)*(1+G363)*((6-1)/(MaxLevel-1))^(2^F363),0),D363+(E363-D363)*(1+G363)*((6-1)/(MaxLevel-1))^(2^F363)))</f>
        <v>3086</v>
      </c>
      <c r="N363" s="12">
        <f>IF(OR(D363="",E363=""),"",IF(IFERROR(INDEX(Stats!$D:$D,MATCH($C363,Stats!$A:$A,0)),FALSE),ROUND(D363+(E363-D363)*(1+G363)*((7-1)/(MaxLevel-1))^(2^F363),0),D363+(E363-D363)*(1+G363)*((7-1)/(MaxLevel-1))^(2^F363)))</f>
        <v>4444</v>
      </c>
      <c r="O363" s="12">
        <f>IF(OR(D363="",E363=""),"",IF(IFERROR(INDEX(Stats!$D:$D,MATCH($C363,Stats!$A:$A,0)),FALSE),ROUND(D363+(E363-D363)*(1+G363)*((8-1)/(MaxLevel-1))^(2^F363),0),D363+(E363-D363)*(1+G363)*((8-1)/(MaxLevel-1))^(2^F363)))</f>
        <v>6049</v>
      </c>
      <c r="P363" s="12">
        <f>IF(OR(D363="",E363=""),"",IF(IFERROR(INDEX(Stats!$D:$D,MATCH($C363,Stats!$A:$A,0)),FALSE),ROUND(D363+(E363-D363)*(1+G363)*((9-1)/(MaxLevel-1))^(2^F363),0),D363+(E363-D363)*(1+G363)*((9-1)/(MaxLevel-1))^(2^F363)))</f>
        <v>7901</v>
      </c>
      <c r="Q363" s="12">
        <f>IF(OR(D363="",E363=""),"",IF(IFERROR(INDEX(Stats!$D:$D,MATCH($C363,Stats!$A:$A,0)),FALSE),ROUND(D363+(E363-D363)*(1+G363)*((10-1)/(MaxLevel-1))^(2^F363),0),D363+(E363-D363)*(1+G363)*((10-1)/(MaxLevel-1))^(2^F363)))</f>
        <v>10000</v>
      </c>
    </row>
    <row r="364" spans="1:17" x14ac:dyDescent="0.25">
      <c r="A364" s="4" t="s">
        <v>185</v>
      </c>
      <c r="B364" s="19" t="s">
        <v>234</v>
      </c>
      <c r="C364" s="4" t="s">
        <v>26</v>
      </c>
      <c r="D364" s="5">
        <v>25</v>
      </c>
      <c r="E364" s="5">
        <v>150</v>
      </c>
      <c r="F364" s="5">
        <v>0</v>
      </c>
      <c r="G364" s="5">
        <v>0</v>
      </c>
      <c r="H364" s="12">
        <f>IF(OR(D364="",E364=""),"",IF(IFERROR(INDEX(Stats!$D:$D,MATCH($C364,Stats!$A:$A,0)),FALSE),ROUND(D364+(E364-D364)*(1+G364)*((1-1)/(MaxLevel-1))^(2^F364),0),D364+(E364-D364)*(1+G364)*((1-1)/(MaxLevel-1))^(2^F364)))</f>
        <v>25</v>
      </c>
      <c r="I364" s="12">
        <f>IF(OR(D364="",E364=""),"",IF(IFERROR(INDEX(Stats!$D:$D,MATCH($C364,Stats!$A:$A,0)),FALSE),ROUND(D364+(E364-D364)*(1+G364)*((2-1)/(MaxLevel-1))^(2^F364),0),D364+(E364-D364)*(1+G364)*((2-1)/(MaxLevel-1))^(2^F364)))</f>
        <v>39</v>
      </c>
      <c r="J364" s="12">
        <f>IF(OR(D364="",E364=""),"",IF(IFERROR(INDEX(Stats!$D:$D,MATCH($C364,Stats!$A:$A,0)),FALSE),ROUND(D364+(E364-D364)*(1+G364)*((3-1)/(MaxLevel-1))^(2^F364),0),D364+(E364-D364)*(1+G364)*((3-1)/(MaxLevel-1))^(2^F364)))</f>
        <v>53</v>
      </c>
      <c r="K364" s="12">
        <f>IF(OR(D364="",E364=""),"",IF(IFERROR(INDEX(Stats!$D:$D,MATCH($C364,Stats!$A:$A,0)),FALSE),ROUND(D364+(E364-D364)*(1+G364)*((4-1)/(MaxLevel-1))^(2^F364),0),D364+(E364-D364)*(1+G364)*((4-1)/(MaxLevel-1))^(2^F364)))</f>
        <v>67</v>
      </c>
      <c r="L364" s="12">
        <f>IF(OR(D364="",E364=""),"",IF(IFERROR(INDEX(Stats!$D:$D,MATCH($C364,Stats!$A:$A,0)),FALSE),ROUND(D364+(E364-D364)*(1+G364)*((5-1)/(MaxLevel-1))^(2^F364),0),D364+(E364-D364)*(1+G364)*((5-1)/(MaxLevel-1))^(2^F364)))</f>
        <v>81</v>
      </c>
      <c r="M364" s="12">
        <f>IF(OR(D364="",E364=""),"",IF(IFERROR(INDEX(Stats!$D:$D,MATCH($C364,Stats!$A:$A,0)),FALSE),ROUND(D364+(E364-D364)*(1+G364)*((6-1)/(MaxLevel-1))^(2^F364),0),D364+(E364-D364)*(1+G364)*((6-1)/(MaxLevel-1))^(2^F364)))</f>
        <v>94</v>
      </c>
      <c r="N364" s="12">
        <f>IF(OR(D364="",E364=""),"",IF(IFERROR(INDEX(Stats!$D:$D,MATCH($C364,Stats!$A:$A,0)),FALSE),ROUND(D364+(E364-D364)*(1+G364)*((7-1)/(MaxLevel-1))^(2^F364),0),D364+(E364-D364)*(1+G364)*((7-1)/(MaxLevel-1))^(2^F364)))</f>
        <v>108</v>
      </c>
      <c r="O364" s="12">
        <f>IF(OR(D364="",E364=""),"",IF(IFERROR(INDEX(Stats!$D:$D,MATCH($C364,Stats!$A:$A,0)),FALSE),ROUND(D364+(E364-D364)*(1+G364)*((8-1)/(MaxLevel-1))^(2^F364),0),D364+(E364-D364)*(1+G364)*((8-1)/(MaxLevel-1))^(2^F364)))</f>
        <v>122</v>
      </c>
      <c r="P364" s="12">
        <f>IF(OR(D364="",E364=""),"",IF(IFERROR(INDEX(Stats!$D:$D,MATCH($C364,Stats!$A:$A,0)),FALSE),ROUND(D364+(E364-D364)*(1+G364)*((9-1)/(MaxLevel-1))^(2^F364),0),D364+(E364-D364)*(1+G364)*((9-1)/(MaxLevel-1))^(2^F364)))</f>
        <v>136</v>
      </c>
      <c r="Q364" s="12">
        <f>IF(OR(D364="",E364=""),"",IF(IFERROR(INDEX(Stats!$D:$D,MATCH($C364,Stats!$A:$A,0)),FALSE),ROUND(D364+(E364-D364)*(1+G364)*((10-1)/(MaxLevel-1))^(2^F364),0),D364+(E364-D364)*(1+G364)*((10-1)/(MaxLevel-1))^(2^F364)))</f>
        <v>150</v>
      </c>
    </row>
    <row r="365" spans="1:17" x14ac:dyDescent="0.25">
      <c r="A365" s="4" t="s">
        <v>185</v>
      </c>
      <c r="B365" s="19" t="s">
        <v>234</v>
      </c>
      <c r="C365" s="4" t="s">
        <v>28</v>
      </c>
      <c r="D365" s="5">
        <v>300</v>
      </c>
      <c r="E365" s="5">
        <v>1200</v>
      </c>
      <c r="F365" s="5">
        <v>0</v>
      </c>
      <c r="G365" s="5">
        <v>-0.1</v>
      </c>
      <c r="H365" s="12">
        <f>IF(OR(D365="",E365=""),"",IF(IFERROR(INDEX(Stats!$D:$D,MATCH($C365,Stats!$A:$A,0)),FALSE),ROUND(D365+(E365-D365)*(1+G365)*((1-1)/(MaxLevel-1))^(2^F365),0),D365+(E365-D365)*(1+G365)*((1-1)/(MaxLevel-1))^(2^F365)))</f>
        <v>300</v>
      </c>
      <c r="I365" s="12">
        <f>IF(OR(D365="",E365=""),"",IF(IFERROR(INDEX(Stats!$D:$D,MATCH($C365,Stats!$A:$A,0)),FALSE),ROUND(D365+(E365-D365)*(1+G365)*((2-1)/(MaxLevel-1))^(2^F365),0),D365+(E365-D365)*(1+G365)*((2-1)/(MaxLevel-1))^(2^F365)))</f>
        <v>390</v>
      </c>
      <c r="J365" s="12">
        <f>IF(OR(D365="",E365=""),"",IF(IFERROR(INDEX(Stats!$D:$D,MATCH($C365,Stats!$A:$A,0)),FALSE),ROUND(D365+(E365-D365)*(1+G365)*((3-1)/(MaxLevel-1))^(2^F365),0),D365+(E365-D365)*(1+G365)*((3-1)/(MaxLevel-1))^(2^F365)))</f>
        <v>480</v>
      </c>
      <c r="K365" s="12">
        <f>IF(OR(D365="",E365=""),"",IF(IFERROR(INDEX(Stats!$D:$D,MATCH($C365,Stats!$A:$A,0)),FALSE),ROUND(D365+(E365-D365)*(1+G365)*((4-1)/(MaxLevel-1))^(2^F365),0),D365+(E365-D365)*(1+G365)*((4-1)/(MaxLevel-1))^(2^F365)))</f>
        <v>570</v>
      </c>
      <c r="L365" s="12">
        <f>IF(OR(D365="",E365=""),"",IF(IFERROR(INDEX(Stats!$D:$D,MATCH($C365,Stats!$A:$A,0)),FALSE),ROUND(D365+(E365-D365)*(1+G365)*((5-1)/(MaxLevel-1))^(2^F365),0),D365+(E365-D365)*(1+G365)*((5-1)/(MaxLevel-1))^(2^F365)))</f>
        <v>660</v>
      </c>
      <c r="M365" s="12">
        <f>IF(OR(D365="",E365=""),"",IF(IFERROR(INDEX(Stats!$D:$D,MATCH($C365,Stats!$A:$A,0)),FALSE),ROUND(D365+(E365-D365)*(1+G365)*((6-1)/(MaxLevel-1))^(2^F365),0),D365+(E365-D365)*(1+G365)*((6-1)/(MaxLevel-1))^(2^F365)))</f>
        <v>750</v>
      </c>
      <c r="N365" s="12">
        <f>IF(OR(D365="",E365=""),"",IF(IFERROR(INDEX(Stats!$D:$D,MATCH($C365,Stats!$A:$A,0)),FALSE),ROUND(D365+(E365-D365)*(1+G365)*((7-1)/(MaxLevel-1))^(2^F365),0),D365+(E365-D365)*(1+G365)*((7-1)/(MaxLevel-1))^(2^F365)))</f>
        <v>840</v>
      </c>
      <c r="O365" s="12">
        <f>IF(OR(D365="",E365=""),"",IF(IFERROR(INDEX(Stats!$D:$D,MATCH($C365,Stats!$A:$A,0)),FALSE),ROUND(D365+(E365-D365)*(1+G365)*((8-1)/(MaxLevel-1))^(2^F365),0),D365+(E365-D365)*(1+G365)*((8-1)/(MaxLevel-1))^(2^F365)))</f>
        <v>930</v>
      </c>
      <c r="P365" s="12">
        <f>IF(OR(D365="",E365=""),"",IF(IFERROR(INDEX(Stats!$D:$D,MATCH($C365,Stats!$A:$A,0)),FALSE),ROUND(D365+(E365-D365)*(1+G365)*((9-1)/(MaxLevel-1))^(2^F365),0),D365+(E365-D365)*(1+G365)*((9-1)/(MaxLevel-1))^(2^F365)))</f>
        <v>1020</v>
      </c>
      <c r="Q365" s="12">
        <f>IF(OR(D365="",E365=""),"",IF(IFERROR(INDEX(Stats!$D:$D,MATCH($C365,Stats!$A:$A,0)),FALSE),ROUND(D365+(E365-D365)*(1+G365)*((10-1)/(MaxLevel-1))^(2^F365),0),D365+(E365-D365)*(1+G365)*((10-1)/(MaxLevel-1))^(2^F365)))</f>
        <v>1110</v>
      </c>
    </row>
    <row r="366" spans="1:17" x14ac:dyDescent="0.25">
      <c r="A366" s="4" t="s">
        <v>185</v>
      </c>
      <c r="B366" s="19" t="s">
        <v>234</v>
      </c>
      <c r="C366" s="4" t="s">
        <v>30</v>
      </c>
      <c r="D366" s="5">
        <v>25</v>
      </c>
      <c r="E366" s="5">
        <v>110</v>
      </c>
      <c r="F366" s="5">
        <v>0.5</v>
      </c>
      <c r="G366" s="5">
        <v>0</v>
      </c>
      <c r="H366" s="12">
        <f>IF(OR(D366="",E366=""),"",IF(IFERROR(INDEX(Stats!$D:$D,MATCH($C366,Stats!$A:$A,0)),FALSE),ROUND(D366+(E366-D366)*(1+G366)*((1-1)/(MaxLevel-1))^(2^F366),0),D366+(E366-D366)*(1+G366)*((1-1)/(MaxLevel-1))^(2^F366)))</f>
        <v>25</v>
      </c>
      <c r="I366" s="12">
        <f>IF(OR(D366="",E366=""),"",IF(IFERROR(INDEX(Stats!$D:$D,MATCH($C366,Stats!$A:$A,0)),FALSE),ROUND(D366+(E366-D366)*(1+G366)*((2-1)/(MaxLevel-1))^(2^F366),0),D366+(E366-D366)*(1+G366)*((2-1)/(MaxLevel-1))^(2^F366)))</f>
        <v>29</v>
      </c>
      <c r="J366" s="12">
        <f>IF(OR(D366="",E366=""),"",IF(IFERROR(INDEX(Stats!$D:$D,MATCH($C366,Stats!$A:$A,0)),FALSE),ROUND(D366+(E366-D366)*(1+G366)*((3-1)/(MaxLevel-1))^(2^F366),0),D366+(E366-D366)*(1+G366)*((3-1)/(MaxLevel-1))^(2^F366)))</f>
        <v>35</v>
      </c>
      <c r="K366" s="12">
        <f>IF(OR(D366="",E366=""),"",IF(IFERROR(INDEX(Stats!$D:$D,MATCH($C366,Stats!$A:$A,0)),FALSE),ROUND(D366+(E366-D366)*(1+G366)*((4-1)/(MaxLevel-1))^(2^F366),0),D366+(E366-D366)*(1+G366)*((4-1)/(MaxLevel-1))^(2^F366)))</f>
        <v>43</v>
      </c>
      <c r="L366" s="12">
        <f>IF(OR(D366="",E366=""),"",IF(IFERROR(INDEX(Stats!$D:$D,MATCH($C366,Stats!$A:$A,0)),FALSE),ROUND(D366+(E366-D366)*(1+G366)*((5-1)/(MaxLevel-1))^(2^F366),0),D366+(E366-D366)*(1+G366)*((5-1)/(MaxLevel-1))^(2^F366)))</f>
        <v>52</v>
      </c>
      <c r="M366" s="12">
        <f>IF(OR(D366="",E366=""),"",IF(IFERROR(INDEX(Stats!$D:$D,MATCH($C366,Stats!$A:$A,0)),FALSE),ROUND(D366+(E366-D366)*(1+G366)*((6-1)/(MaxLevel-1))^(2^F366),0),D366+(E366-D366)*(1+G366)*((6-1)/(MaxLevel-1))^(2^F366)))</f>
        <v>62</v>
      </c>
      <c r="N366" s="12">
        <f>IF(OR(D366="",E366=""),"",IF(IFERROR(INDEX(Stats!$D:$D,MATCH($C366,Stats!$A:$A,0)),FALSE),ROUND(D366+(E366-D366)*(1+G366)*((7-1)/(MaxLevel-1))^(2^F366),0),D366+(E366-D366)*(1+G366)*((7-1)/(MaxLevel-1))^(2^F366)))</f>
        <v>73</v>
      </c>
      <c r="O366" s="12">
        <f>IF(OR(D366="",E366=""),"",IF(IFERROR(INDEX(Stats!$D:$D,MATCH($C366,Stats!$A:$A,0)),FALSE),ROUND(D366+(E366-D366)*(1+G366)*((8-1)/(MaxLevel-1))^(2^F366),0),D366+(E366-D366)*(1+G366)*((8-1)/(MaxLevel-1))^(2^F366)))</f>
        <v>85</v>
      </c>
      <c r="P366" s="12">
        <f>IF(OR(D366="",E366=""),"",IF(IFERROR(INDEX(Stats!$D:$D,MATCH($C366,Stats!$A:$A,0)),FALSE),ROUND(D366+(E366-D366)*(1+G366)*((9-1)/(MaxLevel-1))^(2^F366),0),D366+(E366-D366)*(1+G366)*((9-1)/(MaxLevel-1))^(2^F366)))</f>
        <v>97</v>
      </c>
      <c r="Q366" s="12">
        <f>IF(OR(D366="",E366=""),"",IF(IFERROR(INDEX(Stats!$D:$D,MATCH($C366,Stats!$A:$A,0)),FALSE),ROUND(D366+(E366-D366)*(1+G366)*((10-1)/(MaxLevel-1))^(2^F366),0),D366+(E366-D366)*(1+G366)*((10-1)/(MaxLevel-1))^(2^F366)))</f>
        <v>110</v>
      </c>
    </row>
    <row r="367" spans="1:17" x14ac:dyDescent="0.25">
      <c r="A367" s="4" t="s">
        <v>185</v>
      </c>
      <c r="B367" s="19" t="s">
        <v>234</v>
      </c>
      <c r="C367" s="4" t="s">
        <v>32</v>
      </c>
      <c r="D367" s="5"/>
      <c r="E367" s="5"/>
      <c r="F367" s="5"/>
      <c r="G367" s="5"/>
      <c r="H367" s="12" t="str">
        <f>IF(OR(D367="",E367=""),"",IF(IFERROR(INDEX(Stats!$D:$D,MATCH($C367,Stats!$A:$A,0)),FALSE),ROUND(D367+(E367-D367)*(1+G367)*((1-1)/(MaxLevel-1))^(2^F367),0),D367+(E367-D367)*(1+G367)*((1-1)/(MaxLevel-1))^(2^F367)))</f>
        <v/>
      </c>
      <c r="I367" s="12" t="str">
        <f>IF(OR(D367="",E367=""),"",IF(IFERROR(INDEX(Stats!$D:$D,MATCH($C367,Stats!$A:$A,0)),FALSE),ROUND(D367+(E367-D367)*(1+G367)*((2-1)/(MaxLevel-1))^(2^F367),0),D367+(E367-D367)*(1+G367)*((2-1)/(MaxLevel-1))^(2^F367)))</f>
        <v/>
      </c>
      <c r="J367" s="12" t="str">
        <f>IF(OR(D367="",E367=""),"",IF(IFERROR(INDEX(Stats!$D:$D,MATCH($C367,Stats!$A:$A,0)),FALSE),ROUND(D367+(E367-D367)*(1+G367)*((3-1)/(MaxLevel-1))^(2^F367),0),D367+(E367-D367)*(1+G367)*((3-1)/(MaxLevel-1))^(2^F367)))</f>
        <v/>
      </c>
      <c r="K367" s="12" t="str">
        <f>IF(OR(D367="",E367=""),"",IF(IFERROR(INDEX(Stats!$D:$D,MATCH($C367,Stats!$A:$A,0)),FALSE),ROUND(D367+(E367-D367)*(1+G367)*((4-1)/(MaxLevel-1))^(2^F367),0),D367+(E367-D367)*(1+G367)*((4-1)/(MaxLevel-1))^(2^F367)))</f>
        <v/>
      </c>
      <c r="L367" s="12" t="str">
        <f>IF(OR(D367="",E367=""),"",IF(IFERROR(INDEX(Stats!$D:$D,MATCH($C367,Stats!$A:$A,0)),FALSE),ROUND(D367+(E367-D367)*(1+G367)*((5-1)/(MaxLevel-1))^(2^F367),0),D367+(E367-D367)*(1+G367)*((5-1)/(MaxLevel-1))^(2^F367)))</f>
        <v/>
      </c>
      <c r="M367" s="12" t="str">
        <f>IF(OR(D367="",E367=""),"",IF(IFERROR(INDEX(Stats!$D:$D,MATCH($C367,Stats!$A:$A,0)),FALSE),ROUND(D367+(E367-D367)*(1+G367)*((6-1)/(MaxLevel-1))^(2^F367),0),D367+(E367-D367)*(1+G367)*((6-1)/(MaxLevel-1))^(2^F367)))</f>
        <v/>
      </c>
      <c r="N367" s="12" t="str">
        <f>IF(OR(D367="",E367=""),"",IF(IFERROR(INDEX(Stats!$D:$D,MATCH($C367,Stats!$A:$A,0)),FALSE),ROUND(D367+(E367-D367)*(1+G367)*((7-1)/(MaxLevel-1))^(2^F367),0),D367+(E367-D367)*(1+G367)*((7-1)/(MaxLevel-1))^(2^F367)))</f>
        <v/>
      </c>
      <c r="O367" s="12" t="str">
        <f>IF(OR(D367="",E367=""),"",IF(IFERROR(INDEX(Stats!$D:$D,MATCH($C367,Stats!$A:$A,0)),FALSE),ROUND(D367+(E367-D367)*(1+G367)*((8-1)/(MaxLevel-1))^(2^F367),0),D367+(E367-D367)*(1+G367)*((8-1)/(MaxLevel-1))^(2^F367)))</f>
        <v/>
      </c>
      <c r="P367" s="12" t="str">
        <f>IF(OR(D367="",E367=""),"",IF(IFERROR(INDEX(Stats!$D:$D,MATCH($C367,Stats!$A:$A,0)),FALSE),ROUND(D367+(E367-D367)*(1+G367)*((9-1)/(MaxLevel-1))^(2^F367),0),D367+(E367-D367)*(1+G367)*((9-1)/(MaxLevel-1))^(2^F367)))</f>
        <v/>
      </c>
      <c r="Q367" s="12" t="str">
        <f>IF(OR(D367="",E367=""),"",IF(IFERROR(INDEX(Stats!$D:$D,MATCH($C367,Stats!$A:$A,0)),FALSE),ROUND(D367+(E367-D367)*(1+G367)*((10-1)/(MaxLevel-1))^(2^F367),0),D367+(E367-D367)*(1+G367)*((10-1)/(MaxLevel-1))^(2^F367)))</f>
        <v/>
      </c>
    </row>
    <row r="368" spans="1:17" x14ac:dyDescent="0.25">
      <c r="A368" s="4" t="s">
        <v>185</v>
      </c>
      <c r="B368" s="19" t="s">
        <v>234</v>
      </c>
      <c r="C368" s="4" t="s">
        <v>34</v>
      </c>
      <c r="D368" s="5"/>
      <c r="E368" s="5"/>
      <c r="F368" s="5"/>
      <c r="G368" s="5"/>
      <c r="H368" s="12" t="str">
        <f>IF(OR(D368="",E368=""),"",IF(IFERROR(INDEX(Stats!$D:$D,MATCH($C368,Stats!$A:$A,0)),FALSE),ROUND(D368+(E368-D368)*(1+G368)*((1-1)/(MaxLevel-1))^(2^F368),0),D368+(E368-D368)*(1+G368)*((1-1)/(MaxLevel-1))^(2^F368)))</f>
        <v/>
      </c>
      <c r="I368" s="12" t="str">
        <f>IF(OR(D368="",E368=""),"",IF(IFERROR(INDEX(Stats!$D:$D,MATCH($C368,Stats!$A:$A,0)),FALSE),ROUND(D368+(E368-D368)*(1+G368)*((2-1)/(MaxLevel-1))^(2^F368),0),D368+(E368-D368)*(1+G368)*((2-1)/(MaxLevel-1))^(2^F368)))</f>
        <v/>
      </c>
      <c r="J368" s="12" t="str">
        <f>IF(OR(D368="",E368=""),"",IF(IFERROR(INDEX(Stats!$D:$D,MATCH($C368,Stats!$A:$A,0)),FALSE),ROUND(D368+(E368-D368)*(1+G368)*((3-1)/(MaxLevel-1))^(2^F368),0),D368+(E368-D368)*(1+G368)*((3-1)/(MaxLevel-1))^(2^F368)))</f>
        <v/>
      </c>
      <c r="K368" s="12" t="str">
        <f>IF(OR(D368="",E368=""),"",IF(IFERROR(INDEX(Stats!$D:$D,MATCH($C368,Stats!$A:$A,0)),FALSE),ROUND(D368+(E368-D368)*(1+G368)*((4-1)/(MaxLevel-1))^(2^F368),0),D368+(E368-D368)*(1+G368)*((4-1)/(MaxLevel-1))^(2^F368)))</f>
        <v/>
      </c>
      <c r="L368" s="12" t="str">
        <f>IF(OR(D368="",E368=""),"",IF(IFERROR(INDEX(Stats!$D:$D,MATCH($C368,Stats!$A:$A,0)),FALSE),ROUND(D368+(E368-D368)*(1+G368)*((5-1)/(MaxLevel-1))^(2^F368),0),D368+(E368-D368)*(1+G368)*((5-1)/(MaxLevel-1))^(2^F368)))</f>
        <v/>
      </c>
      <c r="M368" s="12" t="str">
        <f>IF(OR(D368="",E368=""),"",IF(IFERROR(INDEX(Stats!$D:$D,MATCH($C368,Stats!$A:$A,0)),FALSE),ROUND(D368+(E368-D368)*(1+G368)*((6-1)/(MaxLevel-1))^(2^F368),0),D368+(E368-D368)*(1+G368)*((6-1)/(MaxLevel-1))^(2^F368)))</f>
        <v/>
      </c>
      <c r="N368" s="12" t="str">
        <f>IF(OR(D368="",E368=""),"",IF(IFERROR(INDEX(Stats!$D:$D,MATCH($C368,Stats!$A:$A,0)),FALSE),ROUND(D368+(E368-D368)*(1+G368)*((7-1)/(MaxLevel-1))^(2^F368),0),D368+(E368-D368)*(1+G368)*((7-1)/(MaxLevel-1))^(2^F368)))</f>
        <v/>
      </c>
      <c r="O368" s="12" t="str">
        <f>IF(OR(D368="",E368=""),"",IF(IFERROR(INDEX(Stats!$D:$D,MATCH($C368,Stats!$A:$A,0)),FALSE),ROUND(D368+(E368-D368)*(1+G368)*((8-1)/(MaxLevel-1))^(2^F368),0),D368+(E368-D368)*(1+G368)*((8-1)/(MaxLevel-1))^(2^F368)))</f>
        <v/>
      </c>
      <c r="P368" s="12" t="str">
        <f>IF(OR(D368="",E368=""),"",IF(IFERROR(INDEX(Stats!$D:$D,MATCH($C368,Stats!$A:$A,0)),FALSE),ROUND(D368+(E368-D368)*(1+G368)*((9-1)/(MaxLevel-1))^(2^F368),0),D368+(E368-D368)*(1+G368)*((9-1)/(MaxLevel-1))^(2^F368)))</f>
        <v/>
      </c>
      <c r="Q368" s="12" t="str">
        <f>IF(OR(D368="",E368=""),"",IF(IFERROR(INDEX(Stats!$D:$D,MATCH($C368,Stats!$A:$A,0)),FALSE),ROUND(D368+(E368-D368)*(1+G368)*((10-1)/(MaxLevel-1))^(2^F368),0),D368+(E368-D368)*(1+G368)*((10-1)/(MaxLevel-1))^(2^F368)))</f>
        <v/>
      </c>
    </row>
    <row r="369" spans="1:17" x14ac:dyDescent="0.25">
      <c r="A369" s="4" t="s">
        <v>185</v>
      </c>
      <c r="B369" s="19" t="s">
        <v>234</v>
      </c>
      <c r="C369" s="4" t="s">
        <v>36</v>
      </c>
      <c r="D369" s="5"/>
      <c r="E369" s="5"/>
      <c r="F369" s="5"/>
      <c r="G369" s="5"/>
      <c r="H369" s="12" t="str">
        <f>IF(OR(D369="",E369=""),"",IF(IFERROR(INDEX(Stats!$D:$D,MATCH($C369,Stats!$A:$A,0)),FALSE),ROUND(D369+(E369-D369)*(1+G369)*((1-1)/(MaxLevel-1))^(2^F369),0),D369+(E369-D369)*(1+G369)*((1-1)/(MaxLevel-1))^(2^F369)))</f>
        <v/>
      </c>
      <c r="I369" s="12" t="str">
        <f>IF(OR(D369="",E369=""),"",IF(IFERROR(INDEX(Stats!$D:$D,MATCH($C369,Stats!$A:$A,0)),FALSE),ROUND(D369+(E369-D369)*(1+G369)*((2-1)/(MaxLevel-1))^(2^F369),0),D369+(E369-D369)*(1+G369)*((2-1)/(MaxLevel-1))^(2^F369)))</f>
        <v/>
      </c>
      <c r="J369" s="12" t="str">
        <f>IF(OR(D369="",E369=""),"",IF(IFERROR(INDEX(Stats!$D:$D,MATCH($C369,Stats!$A:$A,0)),FALSE),ROUND(D369+(E369-D369)*(1+G369)*((3-1)/(MaxLevel-1))^(2^F369),0),D369+(E369-D369)*(1+G369)*((3-1)/(MaxLevel-1))^(2^F369)))</f>
        <v/>
      </c>
      <c r="K369" s="12" t="str">
        <f>IF(OR(D369="",E369=""),"",IF(IFERROR(INDEX(Stats!$D:$D,MATCH($C369,Stats!$A:$A,0)),FALSE),ROUND(D369+(E369-D369)*(1+G369)*((4-1)/(MaxLevel-1))^(2^F369),0),D369+(E369-D369)*(1+G369)*((4-1)/(MaxLevel-1))^(2^F369)))</f>
        <v/>
      </c>
      <c r="L369" s="12" t="str">
        <f>IF(OR(D369="",E369=""),"",IF(IFERROR(INDEX(Stats!$D:$D,MATCH($C369,Stats!$A:$A,0)),FALSE),ROUND(D369+(E369-D369)*(1+G369)*((5-1)/(MaxLevel-1))^(2^F369),0),D369+(E369-D369)*(1+G369)*((5-1)/(MaxLevel-1))^(2^F369)))</f>
        <v/>
      </c>
      <c r="M369" s="12" t="str">
        <f>IF(OR(D369="",E369=""),"",IF(IFERROR(INDEX(Stats!$D:$D,MATCH($C369,Stats!$A:$A,0)),FALSE),ROUND(D369+(E369-D369)*(1+G369)*((6-1)/(MaxLevel-1))^(2^F369),0),D369+(E369-D369)*(1+G369)*((6-1)/(MaxLevel-1))^(2^F369)))</f>
        <v/>
      </c>
      <c r="N369" s="12" t="str">
        <f>IF(OR(D369="",E369=""),"",IF(IFERROR(INDEX(Stats!$D:$D,MATCH($C369,Stats!$A:$A,0)),FALSE),ROUND(D369+(E369-D369)*(1+G369)*((7-1)/(MaxLevel-1))^(2^F369),0),D369+(E369-D369)*(1+G369)*((7-1)/(MaxLevel-1))^(2^F369)))</f>
        <v/>
      </c>
      <c r="O369" s="12" t="str">
        <f>IF(OR(D369="",E369=""),"",IF(IFERROR(INDEX(Stats!$D:$D,MATCH($C369,Stats!$A:$A,0)),FALSE),ROUND(D369+(E369-D369)*(1+G369)*((8-1)/(MaxLevel-1))^(2^F369),0),D369+(E369-D369)*(1+G369)*((8-1)/(MaxLevel-1))^(2^F369)))</f>
        <v/>
      </c>
      <c r="P369" s="12" t="str">
        <f>IF(OR(D369="",E369=""),"",IF(IFERROR(INDEX(Stats!$D:$D,MATCH($C369,Stats!$A:$A,0)),FALSE),ROUND(D369+(E369-D369)*(1+G369)*((9-1)/(MaxLevel-1))^(2^F369),0),D369+(E369-D369)*(1+G369)*((9-1)/(MaxLevel-1))^(2^F369)))</f>
        <v/>
      </c>
      <c r="Q369" s="12" t="str">
        <f>IF(OR(D369="",E369=""),"",IF(IFERROR(INDEX(Stats!$D:$D,MATCH($C369,Stats!$A:$A,0)),FALSE),ROUND(D369+(E369-D369)*(1+G369)*((10-1)/(MaxLevel-1))^(2^F369),0),D369+(E369-D369)*(1+G369)*((10-1)/(MaxLevel-1))^(2^F369)))</f>
        <v/>
      </c>
    </row>
    <row r="370" spans="1:17" x14ac:dyDescent="0.25">
      <c r="A370" s="4" t="s">
        <v>185</v>
      </c>
      <c r="B370" s="19" t="s">
        <v>234</v>
      </c>
      <c r="C370" s="4" t="s">
        <v>38</v>
      </c>
      <c r="D370" s="5"/>
      <c r="E370" s="5"/>
      <c r="F370" s="5"/>
      <c r="G370" s="5"/>
      <c r="H370" s="12" t="str">
        <f>IF(OR(D370="",E370=""),"",IF(IFERROR(INDEX(Stats!$D:$D,MATCH($C370,Stats!$A:$A,0)),FALSE),ROUND(D370+(E370-D370)*(1+G370)*((1-1)/(MaxLevel-1))^(2^F370),0),D370+(E370-D370)*(1+G370)*((1-1)/(MaxLevel-1))^(2^F370)))</f>
        <v/>
      </c>
      <c r="I370" s="12" t="str">
        <f>IF(OR(D370="",E370=""),"",IF(IFERROR(INDEX(Stats!$D:$D,MATCH($C370,Stats!$A:$A,0)),FALSE),ROUND(D370+(E370-D370)*(1+G370)*((2-1)/(MaxLevel-1))^(2^F370),0),D370+(E370-D370)*(1+G370)*((2-1)/(MaxLevel-1))^(2^F370)))</f>
        <v/>
      </c>
      <c r="J370" s="12" t="str">
        <f>IF(OR(D370="",E370=""),"",IF(IFERROR(INDEX(Stats!$D:$D,MATCH($C370,Stats!$A:$A,0)),FALSE),ROUND(D370+(E370-D370)*(1+G370)*((3-1)/(MaxLevel-1))^(2^F370),0),D370+(E370-D370)*(1+G370)*((3-1)/(MaxLevel-1))^(2^F370)))</f>
        <v/>
      </c>
      <c r="K370" s="12" t="str">
        <f>IF(OR(D370="",E370=""),"",IF(IFERROR(INDEX(Stats!$D:$D,MATCH($C370,Stats!$A:$A,0)),FALSE),ROUND(D370+(E370-D370)*(1+G370)*((4-1)/(MaxLevel-1))^(2^F370),0),D370+(E370-D370)*(1+G370)*((4-1)/(MaxLevel-1))^(2^F370)))</f>
        <v/>
      </c>
      <c r="L370" s="12" t="str">
        <f>IF(OR(D370="",E370=""),"",IF(IFERROR(INDEX(Stats!$D:$D,MATCH($C370,Stats!$A:$A,0)),FALSE),ROUND(D370+(E370-D370)*(1+G370)*((5-1)/(MaxLevel-1))^(2^F370),0),D370+(E370-D370)*(1+G370)*((5-1)/(MaxLevel-1))^(2^F370)))</f>
        <v/>
      </c>
      <c r="M370" s="12" t="str">
        <f>IF(OR(D370="",E370=""),"",IF(IFERROR(INDEX(Stats!$D:$D,MATCH($C370,Stats!$A:$A,0)),FALSE),ROUND(D370+(E370-D370)*(1+G370)*((6-1)/(MaxLevel-1))^(2^F370),0),D370+(E370-D370)*(1+G370)*((6-1)/(MaxLevel-1))^(2^F370)))</f>
        <v/>
      </c>
      <c r="N370" s="12" t="str">
        <f>IF(OR(D370="",E370=""),"",IF(IFERROR(INDEX(Stats!$D:$D,MATCH($C370,Stats!$A:$A,0)),FALSE),ROUND(D370+(E370-D370)*(1+G370)*((7-1)/(MaxLevel-1))^(2^F370),0),D370+(E370-D370)*(1+G370)*((7-1)/(MaxLevel-1))^(2^F370)))</f>
        <v/>
      </c>
      <c r="O370" s="12" t="str">
        <f>IF(OR(D370="",E370=""),"",IF(IFERROR(INDEX(Stats!$D:$D,MATCH($C370,Stats!$A:$A,0)),FALSE),ROUND(D370+(E370-D370)*(1+G370)*((8-1)/(MaxLevel-1))^(2^F370),0),D370+(E370-D370)*(1+G370)*((8-1)/(MaxLevel-1))^(2^F370)))</f>
        <v/>
      </c>
      <c r="P370" s="12" t="str">
        <f>IF(OR(D370="",E370=""),"",IF(IFERROR(INDEX(Stats!$D:$D,MATCH($C370,Stats!$A:$A,0)),FALSE),ROUND(D370+(E370-D370)*(1+G370)*((9-1)/(MaxLevel-1))^(2^F370),0),D370+(E370-D370)*(1+G370)*((9-1)/(MaxLevel-1))^(2^F370)))</f>
        <v/>
      </c>
      <c r="Q370" s="12" t="str">
        <f>IF(OR(D370="",E370=""),"",IF(IFERROR(INDEX(Stats!$D:$D,MATCH($C370,Stats!$A:$A,0)),FALSE),ROUND(D370+(E370-D370)*(1+G370)*((10-1)/(MaxLevel-1))^(2^F370),0),D370+(E370-D370)*(1+G370)*((10-1)/(MaxLevel-1))^(2^F370)))</f>
        <v/>
      </c>
    </row>
    <row r="371" spans="1:17" x14ac:dyDescent="0.25">
      <c r="A371" s="4" t="s">
        <v>185</v>
      </c>
      <c r="B371" s="19" t="s">
        <v>234</v>
      </c>
      <c r="C371" s="4" t="s">
        <v>40</v>
      </c>
      <c r="D371" s="5"/>
      <c r="E371" s="5"/>
      <c r="F371" s="5"/>
      <c r="G371" s="5"/>
      <c r="H371" s="12" t="str">
        <f>IF(OR(D371="",E371=""),"",IF(IFERROR(INDEX(Stats!$D:$D,MATCH($C371,Stats!$A:$A,0)),FALSE),ROUND(D371+(E371-D371)*(1+G371)*((1-1)/(MaxLevel-1))^(2^F371),0),D371+(E371-D371)*(1+G371)*((1-1)/(MaxLevel-1))^(2^F371)))</f>
        <v/>
      </c>
      <c r="I371" s="12" t="str">
        <f>IF(OR(D371="",E371=""),"",IF(IFERROR(INDEX(Stats!$D:$D,MATCH($C371,Stats!$A:$A,0)),FALSE),ROUND(D371+(E371-D371)*(1+G371)*((2-1)/(MaxLevel-1))^(2^F371),0),D371+(E371-D371)*(1+G371)*((2-1)/(MaxLevel-1))^(2^F371)))</f>
        <v/>
      </c>
      <c r="J371" s="12" t="str">
        <f>IF(OR(D371="",E371=""),"",IF(IFERROR(INDEX(Stats!$D:$D,MATCH($C371,Stats!$A:$A,0)),FALSE),ROUND(D371+(E371-D371)*(1+G371)*((3-1)/(MaxLevel-1))^(2^F371),0),D371+(E371-D371)*(1+G371)*((3-1)/(MaxLevel-1))^(2^F371)))</f>
        <v/>
      </c>
      <c r="K371" s="12" t="str">
        <f>IF(OR(D371="",E371=""),"",IF(IFERROR(INDEX(Stats!$D:$D,MATCH($C371,Stats!$A:$A,0)),FALSE),ROUND(D371+(E371-D371)*(1+G371)*((4-1)/(MaxLevel-1))^(2^F371),0),D371+(E371-D371)*(1+G371)*((4-1)/(MaxLevel-1))^(2^F371)))</f>
        <v/>
      </c>
      <c r="L371" s="12" t="str">
        <f>IF(OR(D371="",E371=""),"",IF(IFERROR(INDEX(Stats!$D:$D,MATCH($C371,Stats!$A:$A,0)),FALSE),ROUND(D371+(E371-D371)*(1+G371)*((5-1)/(MaxLevel-1))^(2^F371),0),D371+(E371-D371)*(1+G371)*((5-1)/(MaxLevel-1))^(2^F371)))</f>
        <v/>
      </c>
      <c r="M371" s="12" t="str">
        <f>IF(OR(D371="",E371=""),"",IF(IFERROR(INDEX(Stats!$D:$D,MATCH($C371,Stats!$A:$A,0)),FALSE),ROUND(D371+(E371-D371)*(1+G371)*((6-1)/(MaxLevel-1))^(2^F371),0),D371+(E371-D371)*(1+G371)*((6-1)/(MaxLevel-1))^(2^F371)))</f>
        <v/>
      </c>
      <c r="N371" s="12" t="str">
        <f>IF(OR(D371="",E371=""),"",IF(IFERROR(INDEX(Stats!$D:$D,MATCH($C371,Stats!$A:$A,0)),FALSE),ROUND(D371+(E371-D371)*(1+G371)*((7-1)/(MaxLevel-1))^(2^F371),0),D371+(E371-D371)*(1+G371)*((7-1)/(MaxLevel-1))^(2^F371)))</f>
        <v/>
      </c>
      <c r="O371" s="12" t="str">
        <f>IF(OR(D371="",E371=""),"",IF(IFERROR(INDEX(Stats!$D:$D,MATCH($C371,Stats!$A:$A,0)),FALSE),ROUND(D371+(E371-D371)*(1+G371)*((8-1)/(MaxLevel-1))^(2^F371),0),D371+(E371-D371)*(1+G371)*((8-1)/(MaxLevel-1))^(2^F371)))</f>
        <v/>
      </c>
      <c r="P371" s="12" t="str">
        <f>IF(OR(D371="",E371=""),"",IF(IFERROR(INDEX(Stats!$D:$D,MATCH($C371,Stats!$A:$A,0)),FALSE),ROUND(D371+(E371-D371)*(1+G371)*((9-1)/(MaxLevel-1))^(2^F371),0),D371+(E371-D371)*(1+G371)*((9-1)/(MaxLevel-1))^(2^F371)))</f>
        <v/>
      </c>
      <c r="Q371" s="12" t="str">
        <f>IF(OR(D371="",E371=""),"",IF(IFERROR(INDEX(Stats!$D:$D,MATCH($C371,Stats!$A:$A,0)),FALSE),ROUND(D371+(E371-D371)*(1+G371)*((10-1)/(MaxLevel-1))^(2^F371),0),D371+(E371-D371)*(1+G371)*((10-1)/(MaxLevel-1))^(2^F371)))</f>
        <v/>
      </c>
    </row>
    <row r="372" spans="1:17" x14ac:dyDescent="0.25">
      <c r="A372" s="4" t="s">
        <v>185</v>
      </c>
      <c r="B372" s="19" t="s">
        <v>234</v>
      </c>
      <c r="C372" s="4" t="s">
        <v>42</v>
      </c>
      <c r="D372" s="5"/>
      <c r="E372" s="5"/>
      <c r="F372" s="5"/>
      <c r="G372" s="5"/>
      <c r="H372" s="12" t="str">
        <f>IF(OR(D372="",E372=""),"",IF(IFERROR(INDEX(Stats!$D:$D,MATCH($C372,Stats!$A:$A,0)),FALSE),ROUND(D372+(E372-D372)*(1+G372)*((1-1)/(MaxLevel-1))^(2^F372),0),D372+(E372-D372)*(1+G372)*((1-1)/(MaxLevel-1))^(2^F372)))</f>
        <v/>
      </c>
      <c r="I372" s="12" t="str">
        <f>IF(OR(D372="",E372=""),"",IF(IFERROR(INDEX(Stats!$D:$D,MATCH($C372,Stats!$A:$A,0)),FALSE),ROUND(D372+(E372-D372)*(1+G372)*((2-1)/(MaxLevel-1))^(2^F372),0),D372+(E372-D372)*(1+G372)*((2-1)/(MaxLevel-1))^(2^F372)))</f>
        <v/>
      </c>
      <c r="J372" s="12" t="str">
        <f>IF(OR(D372="",E372=""),"",IF(IFERROR(INDEX(Stats!$D:$D,MATCH($C372,Stats!$A:$A,0)),FALSE),ROUND(D372+(E372-D372)*(1+G372)*((3-1)/(MaxLevel-1))^(2^F372),0),D372+(E372-D372)*(1+G372)*((3-1)/(MaxLevel-1))^(2^F372)))</f>
        <v/>
      </c>
      <c r="K372" s="12" t="str">
        <f>IF(OR(D372="",E372=""),"",IF(IFERROR(INDEX(Stats!$D:$D,MATCH($C372,Stats!$A:$A,0)),FALSE),ROUND(D372+(E372-D372)*(1+G372)*((4-1)/(MaxLevel-1))^(2^F372),0),D372+(E372-D372)*(1+G372)*((4-1)/(MaxLevel-1))^(2^F372)))</f>
        <v/>
      </c>
      <c r="L372" s="12" t="str">
        <f>IF(OR(D372="",E372=""),"",IF(IFERROR(INDEX(Stats!$D:$D,MATCH($C372,Stats!$A:$A,0)),FALSE),ROUND(D372+(E372-D372)*(1+G372)*((5-1)/(MaxLevel-1))^(2^F372),0),D372+(E372-D372)*(1+G372)*((5-1)/(MaxLevel-1))^(2^F372)))</f>
        <v/>
      </c>
      <c r="M372" s="12" t="str">
        <f>IF(OR(D372="",E372=""),"",IF(IFERROR(INDEX(Stats!$D:$D,MATCH($C372,Stats!$A:$A,0)),FALSE),ROUND(D372+(E372-D372)*(1+G372)*((6-1)/(MaxLevel-1))^(2^F372),0),D372+(E372-D372)*(1+G372)*((6-1)/(MaxLevel-1))^(2^F372)))</f>
        <v/>
      </c>
      <c r="N372" s="12" t="str">
        <f>IF(OR(D372="",E372=""),"",IF(IFERROR(INDEX(Stats!$D:$D,MATCH($C372,Stats!$A:$A,0)),FALSE),ROUND(D372+(E372-D372)*(1+G372)*((7-1)/(MaxLevel-1))^(2^F372),0),D372+(E372-D372)*(1+G372)*((7-1)/(MaxLevel-1))^(2^F372)))</f>
        <v/>
      </c>
      <c r="O372" s="12" t="str">
        <f>IF(OR(D372="",E372=""),"",IF(IFERROR(INDEX(Stats!$D:$D,MATCH($C372,Stats!$A:$A,0)),FALSE),ROUND(D372+(E372-D372)*(1+G372)*((8-1)/(MaxLevel-1))^(2^F372),0),D372+(E372-D372)*(1+G372)*((8-1)/(MaxLevel-1))^(2^F372)))</f>
        <v/>
      </c>
      <c r="P372" s="12" t="str">
        <f>IF(OR(D372="",E372=""),"",IF(IFERROR(INDEX(Stats!$D:$D,MATCH($C372,Stats!$A:$A,0)),FALSE),ROUND(D372+(E372-D372)*(1+G372)*((9-1)/(MaxLevel-1))^(2^F372),0),D372+(E372-D372)*(1+G372)*((9-1)/(MaxLevel-1))^(2^F372)))</f>
        <v/>
      </c>
      <c r="Q372" s="12" t="str">
        <f>IF(OR(D372="",E372=""),"",IF(IFERROR(INDEX(Stats!$D:$D,MATCH($C372,Stats!$A:$A,0)),FALSE),ROUND(D372+(E372-D372)*(1+G372)*((10-1)/(MaxLevel-1))^(2^F372),0),D372+(E372-D372)*(1+G372)*((10-1)/(MaxLevel-1))^(2^F372)))</f>
        <v/>
      </c>
    </row>
    <row r="373" spans="1:17" x14ac:dyDescent="0.25">
      <c r="A373" s="4" t="s">
        <v>185</v>
      </c>
      <c r="B373" s="19" t="s">
        <v>234</v>
      </c>
      <c r="C373" s="4" t="s">
        <v>44</v>
      </c>
      <c r="D373" s="5"/>
      <c r="E373" s="5"/>
      <c r="F373" s="5"/>
      <c r="G373" s="5"/>
      <c r="H373" s="12" t="str">
        <f>IF(OR(D373="",E373=""),"",IF(IFERROR(INDEX(Stats!$D:$D,MATCH($C373,Stats!$A:$A,0)),FALSE),ROUND(D373+(E373-D373)*(1+G373)*((1-1)/(MaxLevel-1))^(2^F373),0),D373+(E373-D373)*(1+G373)*((1-1)/(MaxLevel-1))^(2^F373)))</f>
        <v/>
      </c>
      <c r="I373" s="12" t="str">
        <f>IF(OR(D373="",E373=""),"",IF(IFERROR(INDEX(Stats!$D:$D,MATCH($C373,Stats!$A:$A,0)),FALSE),ROUND(D373+(E373-D373)*(1+G373)*((2-1)/(MaxLevel-1))^(2^F373),0),D373+(E373-D373)*(1+G373)*((2-1)/(MaxLevel-1))^(2^F373)))</f>
        <v/>
      </c>
      <c r="J373" s="12" t="str">
        <f>IF(OR(D373="",E373=""),"",IF(IFERROR(INDEX(Stats!$D:$D,MATCH($C373,Stats!$A:$A,0)),FALSE),ROUND(D373+(E373-D373)*(1+G373)*((3-1)/(MaxLevel-1))^(2^F373),0),D373+(E373-D373)*(1+G373)*((3-1)/(MaxLevel-1))^(2^F373)))</f>
        <v/>
      </c>
      <c r="K373" s="12" t="str">
        <f>IF(OR(D373="",E373=""),"",IF(IFERROR(INDEX(Stats!$D:$D,MATCH($C373,Stats!$A:$A,0)),FALSE),ROUND(D373+(E373-D373)*(1+G373)*((4-1)/(MaxLevel-1))^(2^F373),0),D373+(E373-D373)*(1+G373)*((4-1)/(MaxLevel-1))^(2^F373)))</f>
        <v/>
      </c>
      <c r="L373" s="12" t="str">
        <f>IF(OR(D373="",E373=""),"",IF(IFERROR(INDEX(Stats!$D:$D,MATCH($C373,Stats!$A:$A,0)),FALSE),ROUND(D373+(E373-D373)*(1+G373)*((5-1)/(MaxLevel-1))^(2^F373),0),D373+(E373-D373)*(1+G373)*((5-1)/(MaxLevel-1))^(2^F373)))</f>
        <v/>
      </c>
      <c r="M373" s="12" t="str">
        <f>IF(OR(D373="",E373=""),"",IF(IFERROR(INDEX(Stats!$D:$D,MATCH($C373,Stats!$A:$A,0)),FALSE),ROUND(D373+(E373-D373)*(1+G373)*((6-1)/(MaxLevel-1))^(2^F373),0),D373+(E373-D373)*(1+G373)*((6-1)/(MaxLevel-1))^(2^F373)))</f>
        <v/>
      </c>
      <c r="N373" s="12" t="str">
        <f>IF(OR(D373="",E373=""),"",IF(IFERROR(INDEX(Stats!$D:$D,MATCH($C373,Stats!$A:$A,0)),FALSE),ROUND(D373+(E373-D373)*(1+G373)*((7-1)/(MaxLevel-1))^(2^F373),0),D373+(E373-D373)*(1+G373)*((7-1)/(MaxLevel-1))^(2^F373)))</f>
        <v/>
      </c>
      <c r="O373" s="12" t="str">
        <f>IF(OR(D373="",E373=""),"",IF(IFERROR(INDEX(Stats!$D:$D,MATCH($C373,Stats!$A:$A,0)),FALSE),ROUND(D373+(E373-D373)*(1+G373)*((8-1)/(MaxLevel-1))^(2^F373),0),D373+(E373-D373)*(1+G373)*((8-1)/(MaxLevel-1))^(2^F373)))</f>
        <v/>
      </c>
      <c r="P373" s="12" t="str">
        <f>IF(OR(D373="",E373=""),"",IF(IFERROR(INDEX(Stats!$D:$D,MATCH($C373,Stats!$A:$A,0)),FALSE),ROUND(D373+(E373-D373)*(1+G373)*((9-1)/(MaxLevel-1))^(2^F373),0),D373+(E373-D373)*(1+G373)*((9-1)/(MaxLevel-1))^(2^F373)))</f>
        <v/>
      </c>
      <c r="Q373" s="12" t="str">
        <f>IF(OR(D373="",E373=""),"",IF(IFERROR(INDEX(Stats!$D:$D,MATCH($C373,Stats!$A:$A,0)),FALSE),ROUND(D373+(E373-D373)*(1+G373)*((10-1)/(MaxLevel-1))^(2^F373),0),D373+(E373-D373)*(1+G373)*((10-1)/(MaxLevel-1))^(2^F373)))</f>
        <v/>
      </c>
    </row>
    <row r="374" spans="1:17" x14ac:dyDescent="0.25">
      <c r="A374" s="4" t="s">
        <v>185</v>
      </c>
      <c r="B374" s="19" t="s">
        <v>234</v>
      </c>
      <c r="C374" s="4" t="s">
        <v>46</v>
      </c>
      <c r="D374" s="5">
        <v>300</v>
      </c>
      <c r="E374" s="5">
        <v>320</v>
      </c>
      <c r="F374" s="5">
        <v>0</v>
      </c>
      <c r="G374" s="5">
        <v>0</v>
      </c>
      <c r="H374" s="12">
        <f>IF(OR(D374="",E374=""),"",IF(IFERROR(INDEX(Stats!$D:$D,MATCH($C374,Stats!$A:$A,0)),FALSE),ROUND(D374+(E374-D374)*(1+G374)*((1-1)/(MaxLevel-1))^(2^F374),0),D374+(E374-D374)*(1+G374)*((1-1)/(MaxLevel-1))^(2^F374)))</f>
        <v>300</v>
      </c>
      <c r="I374" s="12">
        <f>IF(OR(D374="",E374=""),"",IF(IFERROR(INDEX(Stats!$D:$D,MATCH($C374,Stats!$A:$A,0)),FALSE),ROUND(D374+(E374-D374)*(1+G374)*((2-1)/(MaxLevel-1))^(2^F374),0),D374+(E374-D374)*(1+G374)*((2-1)/(MaxLevel-1))^(2^F374)))</f>
        <v>302.22222222222223</v>
      </c>
      <c r="J374" s="12">
        <f>IF(OR(D374="",E374=""),"",IF(IFERROR(INDEX(Stats!$D:$D,MATCH($C374,Stats!$A:$A,0)),FALSE),ROUND(D374+(E374-D374)*(1+G374)*((3-1)/(MaxLevel-1))^(2^F374),0),D374+(E374-D374)*(1+G374)*((3-1)/(MaxLevel-1))^(2^F374)))</f>
        <v>304.44444444444446</v>
      </c>
      <c r="K374" s="12">
        <f>IF(OR(D374="",E374=""),"",IF(IFERROR(INDEX(Stats!$D:$D,MATCH($C374,Stats!$A:$A,0)),FALSE),ROUND(D374+(E374-D374)*(1+G374)*((4-1)/(MaxLevel-1))^(2^F374),0),D374+(E374-D374)*(1+G374)*((4-1)/(MaxLevel-1))^(2^F374)))</f>
        <v>306.66666666666669</v>
      </c>
      <c r="L374" s="12">
        <f>IF(OR(D374="",E374=""),"",IF(IFERROR(INDEX(Stats!$D:$D,MATCH($C374,Stats!$A:$A,0)),FALSE),ROUND(D374+(E374-D374)*(1+G374)*((5-1)/(MaxLevel-1))^(2^F374),0),D374+(E374-D374)*(1+G374)*((5-1)/(MaxLevel-1))^(2^F374)))</f>
        <v>308.88888888888891</v>
      </c>
      <c r="M374" s="12">
        <f>IF(OR(D374="",E374=""),"",IF(IFERROR(INDEX(Stats!$D:$D,MATCH($C374,Stats!$A:$A,0)),FALSE),ROUND(D374+(E374-D374)*(1+G374)*((6-1)/(MaxLevel-1))^(2^F374),0),D374+(E374-D374)*(1+G374)*((6-1)/(MaxLevel-1))^(2^F374)))</f>
        <v>311.11111111111109</v>
      </c>
      <c r="N374" s="12">
        <f>IF(OR(D374="",E374=""),"",IF(IFERROR(INDEX(Stats!$D:$D,MATCH($C374,Stats!$A:$A,0)),FALSE),ROUND(D374+(E374-D374)*(1+G374)*((7-1)/(MaxLevel-1))^(2^F374),0),D374+(E374-D374)*(1+G374)*((7-1)/(MaxLevel-1))^(2^F374)))</f>
        <v>313.33333333333331</v>
      </c>
      <c r="O374" s="12">
        <f>IF(OR(D374="",E374=""),"",IF(IFERROR(INDEX(Stats!$D:$D,MATCH($C374,Stats!$A:$A,0)),FALSE),ROUND(D374+(E374-D374)*(1+G374)*((8-1)/(MaxLevel-1))^(2^F374),0),D374+(E374-D374)*(1+G374)*((8-1)/(MaxLevel-1))^(2^F374)))</f>
        <v>315.55555555555554</v>
      </c>
      <c r="P374" s="12">
        <f>IF(OR(D374="",E374=""),"",IF(IFERROR(INDEX(Stats!$D:$D,MATCH($C374,Stats!$A:$A,0)),FALSE),ROUND(D374+(E374-D374)*(1+G374)*((9-1)/(MaxLevel-1))^(2^F374),0),D374+(E374-D374)*(1+G374)*((9-1)/(MaxLevel-1))^(2^F374)))</f>
        <v>317.77777777777777</v>
      </c>
      <c r="Q374" s="12">
        <f>IF(OR(D374="",E374=""),"",IF(IFERROR(INDEX(Stats!$D:$D,MATCH($C374,Stats!$A:$A,0)),FALSE),ROUND(D374+(E374-D374)*(1+G374)*((10-1)/(MaxLevel-1))^(2^F374),0),D374+(E374-D374)*(1+G374)*((10-1)/(MaxLevel-1))^(2^F374)))</f>
        <v>320</v>
      </c>
    </row>
    <row r="375" spans="1:17" x14ac:dyDescent="0.25">
      <c r="A375" s="4" t="s">
        <v>185</v>
      </c>
      <c r="B375" s="19" t="s">
        <v>234</v>
      </c>
      <c r="C375" s="4" t="s">
        <v>48</v>
      </c>
      <c r="D375" s="5"/>
      <c r="E375" s="5"/>
      <c r="F375" s="5"/>
      <c r="G375" s="5"/>
      <c r="H375" s="12" t="str">
        <f>IF(OR(D375="",E375=""),"",IF(IFERROR(INDEX(Stats!$D:$D,MATCH($C375,Stats!$A:$A,0)),FALSE),ROUND(D375+(E375-D375)*(1+G375)*((1-1)/(MaxLevel-1))^(2^F375),0),D375+(E375-D375)*(1+G375)*((1-1)/(MaxLevel-1))^(2^F375)))</f>
        <v/>
      </c>
      <c r="I375" s="12" t="str">
        <f>IF(OR(D375="",E375=""),"",IF(IFERROR(INDEX(Stats!$D:$D,MATCH($C375,Stats!$A:$A,0)),FALSE),ROUND(D375+(E375-D375)*(1+G375)*((2-1)/(MaxLevel-1))^(2^F375),0),D375+(E375-D375)*(1+G375)*((2-1)/(MaxLevel-1))^(2^F375)))</f>
        <v/>
      </c>
      <c r="J375" s="12" t="str">
        <f>IF(OR(D375="",E375=""),"",IF(IFERROR(INDEX(Stats!$D:$D,MATCH($C375,Stats!$A:$A,0)),FALSE),ROUND(D375+(E375-D375)*(1+G375)*((3-1)/(MaxLevel-1))^(2^F375),0),D375+(E375-D375)*(1+G375)*((3-1)/(MaxLevel-1))^(2^F375)))</f>
        <v/>
      </c>
      <c r="K375" s="12" t="str">
        <f>IF(OR(D375="",E375=""),"",IF(IFERROR(INDEX(Stats!$D:$D,MATCH($C375,Stats!$A:$A,0)),FALSE),ROUND(D375+(E375-D375)*(1+G375)*((4-1)/(MaxLevel-1))^(2^F375),0),D375+(E375-D375)*(1+G375)*((4-1)/(MaxLevel-1))^(2^F375)))</f>
        <v/>
      </c>
      <c r="L375" s="12" t="str">
        <f>IF(OR(D375="",E375=""),"",IF(IFERROR(INDEX(Stats!$D:$D,MATCH($C375,Stats!$A:$A,0)),FALSE),ROUND(D375+(E375-D375)*(1+G375)*((5-1)/(MaxLevel-1))^(2^F375),0),D375+(E375-D375)*(1+G375)*((5-1)/(MaxLevel-1))^(2^F375)))</f>
        <v/>
      </c>
      <c r="M375" s="12" t="str">
        <f>IF(OR(D375="",E375=""),"",IF(IFERROR(INDEX(Stats!$D:$D,MATCH($C375,Stats!$A:$A,0)),FALSE),ROUND(D375+(E375-D375)*(1+G375)*((6-1)/(MaxLevel-1))^(2^F375),0),D375+(E375-D375)*(1+G375)*((6-1)/(MaxLevel-1))^(2^F375)))</f>
        <v/>
      </c>
      <c r="N375" s="12" t="str">
        <f>IF(OR(D375="",E375=""),"",IF(IFERROR(INDEX(Stats!$D:$D,MATCH($C375,Stats!$A:$A,0)),FALSE),ROUND(D375+(E375-D375)*(1+G375)*((7-1)/(MaxLevel-1))^(2^F375),0),D375+(E375-D375)*(1+G375)*((7-1)/(MaxLevel-1))^(2^F375)))</f>
        <v/>
      </c>
      <c r="O375" s="12" t="str">
        <f>IF(OR(D375="",E375=""),"",IF(IFERROR(INDEX(Stats!$D:$D,MATCH($C375,Stats!$A:$A,0)),FALSE),ROUND(D375+(E375-D375)*(1+G375)*((8-1)/(MaxLevel-1))^(2^F375),0),D375+(E375-D375)*(1+G375)*((8-1)/(MaxLevel-1))^(2^F375)))</f>
        <v/>
      </c>
      <c r="P375" s="12" t="str">
        <f>IF(OR(D375="",E375=""),"",IF(IFERROR(INDEX(Stats!$D:$D,MATCH($C375,Stats!$A:$A,0)),FALSE),ROUND(D375+(E375-D375)*(1+G375)*((9-1)/(MaxLevel-1))^(2^F375),0),D375+(E375-D375)*(1+G375)*((9-1)/(MaxLevel-1))^(2^F375)))</f>
        <v/>
      </c>
      <c r="Q375" s="12" t="str">
        <f>IF(OR(D375="",E375=""),"",IF(IFERROR(INDEX(Stats!$D:$D,MATCH($C375,Stats!$A:$A,0)),FALSE),ROUND(D375+(E375-D375)*(1+G375)*((10-1)/(MaxLevel-1))^(2^F375),0),D375+(E375-D375)*(1+G375)*((10-1)/(MaxLevel-1))^(2^F375)))</f>
        <v/>
      </c>
    </row>
    <row r="376" spans="1:17" x14ac:dyDescent="0.25">
      <c r="A376" s="4" t="s">
        <v>185</v>
      </c>
      <c r="B376" s="19" t="s">
        <v>234</v>
      </c>
      <c r="C376" s="4" t="s">
        <v>50</v>
      </c>
      <c r="D376" s="5"/>
      <c r="E376" s="5"/>
      <c r="F376" s="5"/>
      <c r="G376" s="5"/>
      <c r="H376" s="12" t="str">
        <f>IF(OR(D376="",E376=""),"",IF(IFERROR(INDEX(Stats!$D:$D,MATCH($C376,Stats!$A:$A,0)),FALSE),ROUND(D376+(E376-D376)*(1+G376)*((1-1)/(MaxLevel-1))^(2^F376),0),D376+(E376-D376)*(1+G376)*((1-1)/(MaxLevel-1))^(2^F376)))</f>
        <v/>
      </c>
      <c r="I376" s="12" t="str">
        <f>IF(OR(D376="",E376=""),"",IF(IFERROR(INDEX(Stats!$D:$D,MATCH($C376,Stats!$A:$A,0)),FALSE),ROUND(D376+(E376-D376)*(1+G376)*((2-1)/(MaxLevel-1))^(2^F376),0),D376+(E376-D376)*(1+G376)*((2-1)/(MaxLevel-1))^(2^F376)))</f>
        <v/>
      </c>
      <c r="J376" s="12" t="str">
        <f>IF(OR(D376="",E376=""),"",IF(IFERROR(INDEX(Stats!$D:$D,MATCH($C376,Stats!$A:$A,0)),FALSE),ROUND(D376+(E376-D376)*(1+G376)*((3-1)/(MaxLevel-1))^(2^F376),0),D376+(E376-D376)*(1+G376)*((3-1)/(MaxLevel-1))^(2^F376)))</f>
        <v/>
      </c>
      <c r="K376" s="12" t="str">
        <f>IF(OR(D376="",E376=""),"",IF(IFERROR(INDEX(Stats!$D:$D,MATCH($C376,Stats!$A:$A,0)),FALSE),ROUND(D376+(E376-D376)*(1+G376)*((4-1)/(MaxLevel-1))^(2^F376),0),D376+(E376-D376)*(1+G376)*((4-1)/(MaxLevel-1))^(2^F376)))</f>
        <v/>
      </c>
      <c r="L376" s="12" t="str">
        <f>IF(OR(D376="",E376=""),"",IF(IFERROR(INDEX(Stats!$D:$D,MATCH($C376,Stats!$A:$A,0)),FALSE),ROUND(D376+(E376-D376)*(1+G376)*((5-1)/(MaxLevel-1))^(2^F376),0),D376+(E376-D376)*(1+G376)*((5-1)/(MaxLevel-1))^(2^F376)))</f>
        <v/>
      </c>
      <c r="M376" s="12" t="str">
        <f>IF(OR(D376="",E376=""),"",IF(IFERROR(INDEX(Stats!$D:$D,MATCH($C376,Stats!$A:$A,0)),FALSE),ROUND(D376+(E376-D376)*(1+G376)*((6-1)/(MaxLevel-1))^(2^F376),0),D376+(E376-D376)*(1+G376)*((6-1)/(MaxLevel-1))^(2^F376)))</f>
        <v/>
      </c>
      <c r="N376" s="12" t="str">
        <f>IF(OR(D376="",E376=""),"",IF(IFERROR(INDEX(Stats!$D:$D,MATCH($C376,Stats!$A:$A,0)),FALSE),ROUND(D376+(E376-D376)*(1+G376)*((7-1)/(MaxLevel-1))^(2^F376),0),D376+(E376-D376)*(1+G376)*((7-1)/(MaxLevel-1))^(2^F376)))</f>
        <v/>
      </c>
      <c r="O376" s="12" t="str">
        <f>IF(OR(D376="",E376=""),"",IF(IFERROR(INDEX(Stats!$D:$D,MATCH($C376,Stats!$A:$A,0)),FALSE),ROUND(D376+(E376-D376)*(1+G376)*((8-1)/(MaxLevel-1))^(2^F376),0),D376+(E376-D376)*(1+G376)*((8-1)/(MaxLevel-1))^(2^F376)))</f>
        <v/>
      </c>
      <c r="P376" s="12" t="str">
        <f>IF(OR(D376="",E376=""),"",IF(IFERROR(INDEX(Stats!$D:$D,MATCH($C376,Stats!$A:$A,0)),FALSE),ROUND(D376+(E376-D376)*(1+G376)*((9-1)/(MaxLevel-1))^(2^F376),0),D376+(E376-D376)*(1+G376)*((9-1)/(MaxLevel-1))^(2^F376)))</f>
        <v/>
      </c>
      <c r="Q376" s="12" t="str">
        <f>IF(OR(D376="",E376=""),"",IF(IFERROR(INDEX(Stats!$D:$D,MATCH($C376,Stats!$A:$A,0)),FALSE),ROUND(D376+(E376-D376)*(1+G376)*((10-1)/(MaxLevel-1))^(2^F376),0),D376+(E376-D376)*(1+G376)*((10-1)/(MaxLevel-1))^(2^F376)))</f>
        <v/>
      </c>
    </row>
    <row r="377" spans="1:17" x14ac:dyDescent="0.25">
      <c r="A377" s="4" t="s">
        <v>185</v>
      </c>
      <c r="B377" s="19" t="s">
        <v>234</v>
      </c>
      <c r="C377" s="4" t="s">
        <v>52</v>
      </c>
      <c r="D377" s="5"/>
      <c r="E377" s="5"/>
      <c r="F377" s="5"/>
      <c r="G377" s="5"/>
      <c r="H377" s="12" t="str">
        <f>IF(OR(D377="",E377=""),"",IF(IFERROR(INDEX(Stats!$D:$D,MATCH($C377,Stats!$A:$A,0)),FALSE),ROUND(D377+(E377-D377)*(1+G377)*((1-1)/(MaxLevel-1))^(2^F377),0),D377+(E377-D377)*(1+G377)*((1-1)/(MaxLevel-1))^(2^F377)))</f>
        <v/>
      </c>
      <c r="I377" s="12" t="str">
        <f>IF(OR(D377="",E377=""),"",IF(IFERROR(INDEX(Stats!$D:$D,MATCH($C377,Stats!$A:$A,0)),FALSE),ROUND(D377+(E377-D377)*(1+G377)*((2-1)/(MaxLevel-1))^(2^F377),0),D377+(E377-D377)*(1+G377)*((2-1)/(MaxLevel-1))^(2^F377)))</f>
        <v/>
      </c>
      <c r="J377" s="12" t="str">
        <f>IF(OR(D377="",E377=""),"",IF(IFERROR(INDEX(Stats!$D:$D,MATCH($C377,Stats!$A:$A,0)),FALSE),ROUND(D377+(E377-D377)*(1+G377)*((3-1)/(MaxLevel-1))^(2^F377),0),D377+(E377-D377)*(1+G377)*((3-1)/(MaxLevel-1))^(2^F377)))</f>
        <v/>
      </c>
      <c r="K377" s="12" t="str">
        <f>IF(OR(D377="",E377=""),"",IF(IFERROR(INDEX(Stats!$D:$D,MATCH($C377,Stats!$A:$A,0)),FALSE),ROUND(D377+(E377-D377)*(1+G377)*((4-1)/(MaxLevel-1))^(2^F377),0),D377+(E377-D377)*(1+G377)*((4-1)/(MaxLevel-1))^(2^F377)))</f>
        <v/>
      </c>
      <c r="L377" s="12" t="str">
        <f>IF(OR(D377="",E377=""),"",IF(IFERROR(INDEX(Stats!$D:$D,MATCH($C377,Stats!$A:$A,0)),FALSE),ROUND(D377+(E377-D377)*(1+G377)*((5-1)/(MaxLevel-1))^(2^F377),0),D377+(E377-D377)*(1+G377)*((5-1)/(MaxLevel-1))^(2^F377)))</f>
        <v/>
      </c>
      <c r="M377" s="12" t="str">
        <f>IF(OR(D377="",E377=""),"",IF(IFERROR(INDEX(Stats!$D:$D,MATCH($C377,Stats!$A:$A,0)),FALSE),ROUND(D377+(E377-D377)*(1+G377)*((6-1)/(MaxLevel-1))^(2^F377),0),D377+(E377-D377)*(1+G377)*((6-1)/(MaxLevel-1))^(2^F377)))</f>
        <v/>
      </c>
      <c r="N377" s="12" t="str">
        <f>IF(OR(D377="",E377=""),"",IF(IFERROR(INDEX(Stats!$D:$D,MATCH($C377,Stats!$A:$A,0)),FALSE),ROUND(D377+(E377-D377)*(1+G377)*((7-1)/(MaxLevel-1))^(2^F377),0),D377+(E377-D377)*(1+G377)*((7-1)/(MaxLevel-1))^(2^F377)))</f>
        <v/>
      </c>
      <c r="O377" s="12" t="str">
        <f>IF(OR(D377="",E377=""),"",IF(IFERROR(INDEX(Stats!$D:$D,MATCH($C377,Stats!$A:$A,0)),FALSE),ROUND(D377+(E377-D377)*(1+G377)*((8-1)/(MaxLevel-1))^(2^F377),0),D377+(E377-D377)*(1+G377)*((8-1)/(MaxLevel-1))^(2^F377)))</f>
        <v/>
      </c>
      <c r="P377" s="12" t="str">
        <f>IF(OR(D377="",E377=""),"",IF(IFERROR(INDEX(Stats!$D:$D,MATCH($C377,Stats!$A:$A,0)),FALSE),ROUND(D377+(E377-D377)*(1+G377)*((9-1)/(MaxLevel-1))^(2^F377),0),D377+(E377-D377)*(1+G377)*((9-1)/(MaxLevel-1))^(2^F377)))</f>
        <v/>
      </c>
      <c r="Q377" s="12" t="str">
        <f>IF(OR(D377="",E377=""),"",IF(IFERROR(INDEX(Stats!$D:$D,MATCH($C377,Stats!$A:$A,0)),FALSE),ROUND(D377+(E377-D377)*(1+G377)*((10-1)/(MaxLevel-1))^(2^F377),0),D377+(E377-D377)*(1+G377)*((10-1)/(MaxLevel-1))^(2^F377)))</f>
        <v/>
      </c>
    </row>
    <row r="378" spans="1:17" x14ac:dyDescent="0.25">
      <c r="A378" s="4" t="s">
        <v>185</v>
      </c>
      <c r="B378" s="19" t="s">
        <v>234</v>
      </c>
      <c r="C378" s="4" t="s">
        <v>54</v>
      </c>
      <c r="D378" s="5"/>
      <c r="E378" s="5"/>
      <c r="F378" s="5"/>
      <c r="G378" s="5"/>
      <c r="H378" s="12" t="str">
        <f>IF(OR(D378="",E378=""),"",IF(IFERROR(INDEX(Stats!$D:$D,MATCH($C378,Stats!$A:$A,0)),FALSE),ROUND(D378+(E378-D378)*(1+G378)*((1-1)/(MaxLevel-1))^(2^F378),0),D378+(E378-D378)*(1+G378)*((1-1)/(MaxLevel-1))^(2^F378)))</f>
        <v/>
      </c>
      <c r="I378" s="12" t="str">
        <f>IF(OR(D378="",E378=""),"",IF(IFERROR(INDEX(Stats!$D:$D,MATCH($C378,Stats!$A:$A,0)),FALSE),ROUND(D378+(E378-D378)*(1+G378)*((2-1)/(MaxLevel-1))^(2^F378),0),D378+(E378-D378)*(1+G378)*((2-1)/(MaxLevel-1))^(2^F378)))</f>
        <v/>
      </c>
      <c r="J378" s="12" t="str">
        <f>IF(OR(D378="",E378=""),"",IF(IFERROR(INDEX(Stats!$D:$D,MATCH($C378,Stats!$A:$A,0)),FALSE),ROUND(D378+(E378-D378)*(1+G378)*((3-1)/(MaxLevel-1))^(2^F378),0),D378+(E378-D378)*(1+G378)*((3-1)/(MaxLevel-1))^(2^F378)))</f>
        <v/>
      </c>
      <c r="K378" s="12" t="str">
        <f>IF(OR(D378="",E378=""),"",IF(IFERROR(INDEX(Stats!$D:$D,MATCH($C378,Stats!$A:$A,0)),FALSE),ROUND(D378+(E378-D378)*(1+G378)*((4-1)/(MaxLevel-1))^(2^F378),0),D378+(E378-D378)*(1+G378)*((4-1)/(MaxLevel-1))^(2^F378)))</f>
        <v/>
      </c>
      <c r="L378" s="12" t="str">
        <f>IF(OR(D378="",E378=""),"",IF(IFERROR(INDEX(Stats!$D:$D,MATCH($C378,Stats!$A:$A,0)),FALSE),ROUND(D378+(E378-D378)*(1+G378)*((5-1)/(MaxLevel-1))^(2^F378),0),D378+(E378-D378)*(1+G378)*((5-1)/(MaxLevel-1))^(2^F378)))</f>
        <v/>
      </c>
      <c r="M378" s="12" t="str">
        <f>IF(OR(D378="",E378=""),"",IF(IFERROR(INDEX(Stats!$D:$D,MATCH($C378,Stats!$A:$A,0)),FALSE),ROUND(D378+(E378-D378)*(1+G378)*((6-1)/(MaxLevel-1))^(2^F378),0),D378+(E378-D378)*(1+G378)*((6-1)/(MaxLevel-1))^(2^F378)))</f>
        <v/>
      </c>
      <c r="N378" s="12" t="str">
        <f>IF(OR(D378="",E378=""),"",IF(IFERROR(INDEX(Stats!$D:$D,MATCH($C378,Stats!$A:$A,0)),FALSE),ROUND(D378+(E378-D378)*(1+G378)*((7-1)/(MaxLevel-1))^(2^F378),0),D378+(E378-D378)*(1+G378)*((7-1)/(MaxLevel-1))^(2^F378)))</f>
        <v/>
      </c>
      <c r="O378" s="12" t="str">
        <f>IF(OR(D378="",E378=""),"",IF(IFERROR(INDEX(Stats!$D:$D,MATCH($C378,Stats!$A:$A,0)),FALSE),ROUND(D378+(E378-D378)*(1+G378)*((8-1)/(MaxLevel-1))^(2^F378),0),D378+(E378-D378)*(1+G378)*((8-1)/(MaxLevel-1))^(2^F378)))</f>
        <v/>
      </c>
      <c r="P378" s="12" t="str">
        <f>IF(OR(D378="",E378=""),"",IF(IFERROR(INDEX(Stats!$D:$D,MATCH($C378,Stats!$A:$A,0)),FALSE),ROUND(D378+(E378-D378)*(1+G378)*((9-1)/(MaxLevel-1))^(2^F378),0),D378+(E378-D378)*(1+G378)*((9-1)/(MaxLevel-1))^(2^F378)))</f>
        <v/>
      </c>
      <c r="Q378" s="12" t="str">
        <f>IF(OR(D378="",E378=""),"",IF(IFERROR(INDEX(Stats!$D:$D,MATCH($C378,Stats!$A:$A,0)),FALSE),ROUND(D378+(E378-D378)*(1+G378)*((10-1)/(MaxLevel-1))^(2^F378),0),D378+(E378-D378)*(1+G378)*((10-1)/(MaxLevel-1))^(2^F378)))</f>
        <v/>
      </c>
    </row>
    <row r="379" spans="1:17" x14ac:dyDescent="0.25">
      <c r="A379" s="4" t="s">
        <v>185</v>
      </c>
      <c r="B379" s="19" t="s">
        <v>234</v>
      </c>
      <c r="C379" s="4" t="s">
        <v>56</v>
      </c>
      <c r="D379" s="5"/>
      <c r="E379" s="5"/>
      <c r="F379" s="5"/>
      <c r="G379" s="5"/>
      <c r="H379" s="12" t="str">
        <f>IF(OR(D379="",E379=""),"",IF(IFERROR(INDEX(Stats!$D:$D,MATCH($C379,Stats!$A:$A,0)),FALSE),ROUND(D379+(E379-D379)*(1+G379)*((1-1)/(MaxLevel-1))^(2^F379),0),D379+(E379-D379)*(1+G379)*((1-1)/(MaxLevel-1))^(2^F379)))</f>
        <v/>
      </c>
      <c r="I379" s="12" t="str">
        <f>IF(OR(D379="",E379=""),"",IF(IFERROR(INDEX(Stats!$D:$D,MATCH($C379,Stats!$A:$A,0)),FALSE),ROUND(D379+(E379-D379)*(1+G379)*((2-1)/(MaxLevel-1))^(2^F379),0),D379+(E379-D379)*(1+G379)*((2-1)/(MaxLevel-1))^(2^F379)))</f>
        <v/>
      </c>
      <c r="J379" s="12" t="str">
        <f>IF(OR(D379="",E379=""),"",IF(IFERROR(INDEX(Stats!$D:$D,MATCH($C379,Stats!$A:$A,0)),FALSE),ROUND(D379+(E379-D379)*(1+G379)*((3-1)/(MaxLevel-1))^(2^F379),0),D379+(E379-D379)*(1+G379)*((3-1)/(MaxLevel-1))^(2^F379)))</f>
        <v/>
      </c>
      <c r="K379" s="12" t="str">
        <f>IF(OR(D379="",E379=""),"",IF(IFERROR(INDEX(Stats!$D:$D,MATCH($C379,Stats!$A:$A,0)),FALSE),ROUND(D379+(E379-D379)*(1+G379)*((4-1)/(MaxLevel-1))^(2^F379),0),D379+(E379-D379)*(1+G379)*((4-1)/(MaxLevel-1))^(2^F379)))</f>
        <v/>
      </c>
      <c r="L379" s="12" t="str">
        <f>IF(OR(D379="",E379=""),"",IF(IFERROR(INDEX(Stats!$D:$D,MATCH($C379,Stats!$A:$A,0)),FALSE),ROUND(D379+(E379-D379)*(1+G379)*((5-1)/(MaxLevel-1))^(2^F379),0),D379+(E379-D379)*(1+G379)*((5-1)/(MaxLevel-1))^(2^F379)))</f>
        <v/>
      </c>
      <c r="M379" s="12" t="str">
        <f>IF(OR(D379="",E379=""),"",IF(IFERROR(INDEX(Stats!$D:$D,MATCH($C379,Stats!$A:$A,0)),FALSE),ROUND(D379+(E379-D379)*(1+G379)*((6-1)/(MaxLevel-1))^(2^F379),0),D379+(E379-D379)*(1+G379)*((6-1)/(MaxLevel-1))^(2^F379)))</f>
        <v/>
      </c>
      <c r="N379" s="12" t="str">
        <f>IF(OR(D379="",E379=""),"",IF(IFERROR(INDEX(Stats!$D:$D,MATCH($C379,Stats!$A:$A,0)),FALSE),ROUND(D379+(E379-D379)*(1+G379)*((7-1)/(MaxLevel-1))^(2^F379),0),D379+(E379-D379)*(1+G379)*((7-1)/(MaxLevel-1))^(2^F379)))</f>
        <v/>
      </c>
      <c r="O379" s="12" t="str">
        <f>IF(OR(D379="",E379=""),"",IF(IFERROR(INDEX(Stats!$D:$D,MATCH($C379,Stats!$A:$A,0)),FALSE),ROUND(D379+(E379-D379)*(1+G379)*((8-1)/(MaxLevel-1))^(2^F379),0),D379+(E379-D379)*(1+G379)*((8-1)/(MaxLevel-1))^(2^F379)))</f>
        <v/>
      </c>
      <c r="P379" s="12" t="str">
        <f>IF(OR(D379="",E379=""),"",IF(IFERROR(INDEX(Stats!$D:$D,MATCH($C379,Stats!$A:$A,0)),FALSE),ROUND(D379+(E379-D379)*(1+G379)*((9-1)/(MaxLevel-1))^(2^F379),0),D379+(E379-D379)*(1+G379)*((9-1)/(MaxLevel-1))^(2^F379)))</f>
        <v/>
      </c>
      <c r="Q379" s="12" t="str">
        <f>IF(OR(D379="",E379=""),"",IF(IFERROR(INDEX(Stats!$D:$D,MATCH($C379,Stats!$A:$A,0)),FALSE),ROUND(D379+(E379-D379)*(1+G379)*((10-1)/(MaxLevel-1))^(2^F379),0),D379+(E379-D379)*(1+G379)*((10-1)/(MaxLevel-1))^(2^F379)))</f>
        <v/>
      </c>
    </row>
    <row r="380" spans="1:17" x14ac:dyDescent="0.25">
      <c r="A380" s="4" t="s">
        <v>185</v>
      </c>
      <c r="B380" s="19" t="s">
        <v>234</v>
      </c>
      <c r="C380" s="4" t="s">
        <v>58</v>
      </c>
      <c r="D380" s="5"/>
      <c r="E380" s="5"/>
      <c r="F380" s="5"/>
      <c r="G380" s="5"/>
      <c r="H380" s="12" t="str">
        <f>IF(OR(D380="",E380=""),"",IF(IFERROR(INDEX(Stats!$D:$D,MATCH($C380,Stats!$A:$A,0)),FALSE),ROUND(D380+(E380-D380)*(1+G380)*((1-1)/(MaxLevel-1))^(2^F380),0),D380+(E380-D380)*(1+G380)*((1-1)/(MaxLevel-1))^(2^F380)))</f>
        <v/>
      </c>
      <c r="I380" s="12" t="str">
        <f>IF(OR(D380="",E380=""),"",IF(IFERROR(INDEX(Stats!$D:$D,MATCH($C380,Stats!$A:$A,0)),FALSE),ROUND(D380+(E380-D380)*(1+G380)*((2-1)/(MaxLevel-1))^(2^F380),0),D380+(E380-D380)*(1+G380)*((2-1)/(MaxLevel-1))^(2^F380)))</f>
        <v/>
      </c>
      <c r="J380" s="12" t="str">
        <f>IF(OR(D380="",E380=""),"",IF(IFERROR(INDEX(Stats!$D:$D,MATCH($C380,Stats!$A:$A,0)),FALSE),ROUND(D380+(E380-D380)*(1+G380)*((3-1)/(MaxLevel-1))^(2^F380),0),D380+(E380-D380)*(1+G380)*((3-1)/(MaxLevel-1))^(2^F380)))</f>
        <v/>
      </c>
      <c r="K380" s="12" t="str">
        <f>IF(OR(D380="",E380=""),"",IF(IFERROR(INDEX(Stats!$D:$D,MATCH($C380,Stats!$A:$A,0)),FALSE),ROUND(D380+(E380-D380)*(1+G380)*((4-1)/(MaxLevel-1))^(2^F380),0),D380+(E380-D380)*(1+G380)*((4-1)/(MaxLevel-1))^(2^F380)))</f>
        <v/>
      </c>
      <c r="L380" s="12" t="str">
        <f>IF(OR(D380="",E380=""),"",IF(IFERROR(INDEX(Stats!$D:$D,MATCH($C380,Stats!$A:$A,0)),FALSE),ROUND(D380+(E380-D380)*(1+G380)*((5-1)/(MaxLevel-1))^(2^F380),0),D380+(E380-D380)*(1+G380)*((5-1)/(MaxLevel-1))^(2^F380)))</f>
        <v/>
      </c>
      <c r="M380" s="12" t="str">
        <f>IF(OR(D380="",E380=""),"",IF(IFERROR(INDEX(Stats!$D:$D,MATCH($C380,Stats!$A:$A,0)),FALSE),ROUND(D380+(E380-D380)*(1+G380)*((6-1)/(MaxLevel-1))^(2^F380),0),D380+(E380-D380)*(1+G380)*((6-1)/(MaxLevel-1))^(2^F380)))</f>
        <v/>
      </c>
      <c r="N380" s="12" t="str">
        <f>IF(OR(D380="",E380=""),"",IF(IFERROR(INDEX(Stats!$D:$D,MATCH($C380,Stats!$A:$A,0)),FALSE),ROUND(D380+(E380-D380)*(1+G380)*((7-1)/(MaxLevel-1))^(2^F380),0),D380+(E380-D380)*(1+G380)*((7-1)/(MaxLevel-1))^(2^F380)))</f>
        <v/>
      </c>
      <c r="O380" s="12" t="str">
        <f>IF(OR(D380="",E380=""),"",IF(IFERROR(INDEX(Stats!$D:$D,MATCH($C380,Stats!$A:$A,0)),FALSE),ROUND(D380+(E380-D380)*(1+G380)*((8-1)/(MaxLevel-1))^(2^F380),0),D380+(E380-D380)*(1+G380)*((8-1)/(MaxLevel-1))^(2^F380)))</f>
        <v/>
      </c>
      <c r="P380" s="12" t="str">
        <f>IF(OR(D380="",E380=""),"",IF(IFERROR(INDEX(Stats!$D:$D,MATCH($C380,Stats!$A:$A,0)),FALSE),ROUND(D380+(E380-D380)*(1+G380)*((9-1)/(MaxLevel-1))^(2^F380),0),D380+(E380-D380)*(1+G380)*((9-1)/(MaxLevel-1))^(2^F380)))</f>
        <v/>
      </c>
      <c r="Q380" s="12" t="str">
        <f>IF(OR(D380="",E380=""),"",IF(IFERROR(INDEX(Stats!$D:$D,MATCH($C380,Stats!$A:$A,0)),FALSE),ROUND(D380+(E380-D380)*(1+G380)*((10-1)/(MaxLevel-1))^(2^F380),0),D380+(E380-D380)*(1+G380)*((10-1)/(MaxLevel-1))^(2^F380)))</f>
        <v/>
      </c>
    </row>
    <row r="381" spans="1:17" x14ac:dyDescent="0.25">
      <c r="A381" s="4" t="s">
        <v>185</v>
      </c>
      <c r="B381" s="19" t="s">
        <v>234</v>
      </c>
      <c r="C381" s="4" t="s">
        <v>60</v>
      </c>
      <c r="D381" s="5"/>
      <c r="E381" s="5"/>
      <c r="F381" s="5"/>
      <c r="G381" s="5"/>
      <c r="H381" s="12" t="str">
        <f>IF(OR(D381="",E381=""),"",IF(IFERROR(INDEX(Stats!$D:$D,MATCH($C381,Stats!$A:$A,0)),FALSE),ROUND(D381+(E381-D381)*(1+G381)*((1-1)/(MaxLevel-1))^(2^F381),0),D381+(E381-D381)*(1+G381)*((1-1)/(MaxLevel-1))^(2^F381)))</f>
        <v/>
      </c>
      <c r="I381" s="12" t="str">
        <f>IF(OR(D381="",E381=""),"",IF(IFERROR(INDEX(Stats!$D:$D,MATCH($C381,Stats!$A:$A,0)),FALSE),ROUND(D381+(E381-D381)*(1+G381)*((2-1)/(MaxLevel-1))^(2^F381),0),D381+(E381-D381)*(1+G381)*((2-1)/(MaxLevel-1))^(2^F381)))</f>
        <v/>
      </c>
      <c r="J381" s="12" t="str">
        <f>IF(OR(D381="",E381=""),"",IF(IFERROR(INDEX(Stats!$D:$D,MATCH($C381,Stats!$A:$A,0)),FALSE),ROUND(D381+(E381-D381)*(1+G381)*((3-1)/(MaxLevel-1))^(2^F381),0),D381+(E381-D381)*(1+G381)*((3-1)/(MaxLevel-1))^(2^F381)))</f>
        <v/>
      </c>
      <c r="K381" s="12" t="str">
        <f>IF(OR(D381="",E381=""),"",IF(IFERROR(INDEX(Stats!$D:$D,MATCH($C381,Stats!$A:$A,0)),FALSE),ROUND(D381+(E381-D381)*(1+G381)*((4-1)/(MaxLevel-1))^(2^F381),0),D381+(E381-D381)*(1+G381)*((4-1)/(MaxLevel-1))^(2^F381)))</f>
        <v/>
      </c>
      <c r="L381" s="12" t="str">
        <f>IF(OR(D381="",E381=""),"",IF(IFERROR(INDEX(Stats!$D:$D,MATCH($C381,Stats!$A:$A,0)),FALSE),ROUND(D381+(E381-D381)*(1+G381)*((5-1)/(MaxLevel-1))^(2^F381),0),D381+(E381-D381)*(1+G381)*((5-1)/(MaxLevel-1))^(2^F381)))</f>
        <v/>
      </c>
      <c r="M381" s="12" t="str">
        <f>IF(OR(D381="",E381=""),"",IF(IFERROR(INDEX(Stats!$D:$D,MATCH($C381,Stats!$A:$A,0)),FALSE),ROUND(D381+(E381-D381)*(1+G381)*((6-1)/(MaxLevel-1))^(2^F381),0),D381+(E381-D381)*(1+G381)*((6-1)/(MaxLevel-1))^(2^F381)))</f>
        <v/>
      </c>
      <c r="N381" s="12" t="str">
        <f>IF(OR(D381="",E381=""),"",IF(IFERROR(INDEX(Stats!$D:$D,MATCH($C381,Stats!$A:$A,0)),FALSE),ROUND(D381+(E381-D381)*(1+G381)*((7-1)/(MaxLevel-1))^(2^F381),0),D381+(E381-D381)*(1+G381)*((7-1)/(MaxLevel-1))^(2^F381)))</f>
        <v/>
      </c>
      <c r="O381" s="12" t="str">
        <f>IF(OR(D381="",E381=""),"",IF(IFERROR(INDEX(Stats!$D:$D,MATCH($C381,Stats!$A:$A,0)),FALSE),ROUND(D381+(E381-D381)*(1+G381)*((8-1)/(MaxLevel-1))^(2^F381),0),D381+(E381-D381)*(1+G381)*((8-1)/(MaxLevel-1))^(2^F381)))</f>
        <v/>
      </c>
      <c r="P381" s="12" t="str">
        <f>IF(OR(D381="",E381=""),"",IF(IFERROR(INDEX(Stats!$D:$D,MATCH($C381,Stats!$A:$A,0)),FALSE),ROUND(D381+(E381-D381)*(1+G381)*((9-1)/(MaxLevel-1))^(2^F381),0),D381+(E381-D381)*(1+G381)*((9-1)/(MaxLevel-1))^(2^F381)))</f>
        <v/>
      </c>
      <c r="Q381" s="12" t="str">
        <f>IF(OR(D381="",E381=""),"",IF(IFERROR(INDEX(Stats!$D:$D,MATCH($C381,Stats!$A:$A,0)),FALSE),ROUND(D381+(E381-D381)*(1+G381)*((10-1)/(MaxLevel-1))^(2^F381),0),D381+(E381-D381)*(1+G381)*((10-1)/(MaxLevel-1))^(2^F381)))</f>
        <v/>
      </c>
    </row>
    <row r="382" spans="1:17" x14ac:dyDescent="0.25">
      <c r="A382" s="4" t="s">
        <v>185</v>
      </c>
      <c r="B382" s="19" t="s">
        <v>235</v>
      </c>
      <c r="C382" s="4" t="s">
        <v>24</v>
      </c>
      <c r="D382" s="5">
        <v>0</v>
      </c>
      <c r="E382" s="5">
        <v>5000</v>
      </c>
      <c r="F382" s="5">
        <v>1</v>
      </c>
      <c r="G382" s="5">
        <v>0</v>
      </c>
      <c r="H382" s="12">
        <f>IF(OR(D382="",E382=""),"",IF(IFERROR(INDEX(Stats!$D:$D,MATCH($C382,Stats!$A:$A,0)),FALSE),ROUND(D382+(E382-D382)*(1+G382)*((1-1)/(MaxLevel-1))^(2^F382),0),D382+(E382-D382)*(1+G382)*((1-1)/(MaxLevel-1))^(2^F382)))</f>
        <v>0</v>
      </c>
      <c r="I382" s="12">
        <f>IF(OR(D382="",E382=""),"",IF(IFERROR(INDEX(Stats!$D:$D,MATCH($C382,Stats!$A:$A,0)),FALSE),ROUND(D382+(E382-D382)*(1+G382)*((2-1)/(MaxLevel-1))^(2^F382),0),D382+(E382-D382)*(1+G382)*((2-1)/(MaxLevel-1))^(2^F382)))</f>
        <v>62</v>
      </c>
      <c r="J382" s="12">
        <f>IF(OR(D382="",E382=""),"",IF(IFERROR(INDEX(Stats!$D:$D,MATCH($C382,Stats!$A:$A,0)),FALSE),ROUND(D382+(E382-D382)*(1+G382)*((3-1)/(MaxLevel-1))^(2^F382),0),D382+(E382-D382)*(1+G382)*((3-1)/(MaxLevel-1))^(2^F382)))</f>
        <v>247</v>
      </c>
      <c r="K382" s="12">
        <f>IF(OR(D382="",E382=""),"",IF(IFERROR(INDEX(Stats!$D:$D,MATCH($C382,Stats!$A:$A,0)),FALSE),ROUND(D382+(E382-D382)*(1+G382)*((4-1)/(MaxLevel-1))^(2^F382),0),D382+(E382-D382)*(1+G382)*((4-1)/(MaxLevel-1))^(2^F382)))</f>
        <v>556</v>
      </c>
      <c r="L382" s="12">
        <f>IF(OR(D382="",E382=""),"",IF(IFERROR(INDEX(Stats!$D:$D,MATCH($C382,Stats!$A:$A,0)),FALSE),ROUND(D382+(E382-D382)*(1+G382)*((5-1)/(MaxLevel-1))^(2^F382),0),D382+(E382-D382)*(1+G382)*((5-1)/(MaxLevel-1))^(2^F382)))</f>
        <v>988</v>
      </c>
      <c r="M382" s="12">
        <f>IF(OR(D382="",E382=""),"",IF(IFERROR(INDEX(Stats!$D:$D,MATCH($C382,Stats!$A:$A,0)),FALSE),ROUND(D382+(E382-D382)*(1+G382)*((6-1)/(MaxLevel-1))^(2^F382),0),D382+(E382-D382)*(1+G382)*((6-1)/(MaxLevel-1))^(2^F382)))</f>
        <v>1543</v>
      </c>
      <c r="N382" s="12">
        <f>IF(OR(D382="",E382=""),"",IF(IFERROR(INDEX(Stats!$D:$D,MATCH($C382,Stats!$A:$A,0)),FALSE),ROUND(D382+(E382-D382)*(1+G382)*((7-1)/(MaxLevel-1))^(2^F382),0),D382+(E382-D382)*(1+G382)*((7-1)/(MaxLevel-1))^(2^F382)))</f>
        <v>2222</v>
      </c>
      <c r="O382" s="12">
        <f>IF(OR(D382="",E382=""),"",IF(IFERROR(INDEX(Stats!$D:$D,MATCH($C382,Stats!$A:$A,0)),FALSE),ROUND(D382+(E382-D382)*(1+G382)*((8-1)/(MaxLevel-1))^(2^F382),0),D382+(E382-D382)*(1+G382)*((8-1)/(MaxLevel-1))^(2^F382)))</f>
        <v>3025</v>
      </c>
      <c r="P382" s="12">
        <f>IF(OR(D382="",E382=""),"",IF(IFERROR(INDEX(Stats!$D:$D,MATCH($C382,Stats!$A:$A,0)),FALSE),ROUND(D382+(E382-D382)*(1+G382)*((9-1)/(MaxLevel-1))^(2^F382),0),D382+(E382-D382)*(1+G382)*((9-1)/(MaxLevel-1))^(2^F382)))</f>
        <v>3951</v>
      </c>
      <c r="Q382" s="12">
        <f>IF(OR(D382="",E382=""),"",IF(IFERROR(INDEX(Stats!$D:$D,MATCH($C382,Stats!$A:$A,0)),FALSE),ROUND(D382+(E382-D382)*(1+G382)*((10-1)/(MaxLevel-1))^(2^F382),0),D382+(E382-D382)*(1+G382)*((10-1)/(MaxLevel-1))^(2^F382)))</f>
        <v>5000</v>
      </c>
    </row>
    <row r="383" spans="1:17" x14ac:dyDescent="0.25">
      <c r="A383" s="4" t="s">
        <v>185</v>
      </c>
      <c r="B383" s="19" t="s">
        <v>235</v>
      </c>
      <c r="C383" s="4" t="s">
        <v>26</v>
      </c>
      <c r="D383" s="5">
        <v>10</v>
      </c>
      <c r="E383" s="5">
        <v>80</v>
      </c>
      <c r="F383" s="5">
        <v>0</v>
      </c>
      <c r="G383" s="5">
        <v>0</v>
      </c>
      <c r="H383" s="12">
        <f>IF(OR(D383="",E383=""),"",IF(IFERROR(INDEX(Stats!$D:$D,MATCH($C383,Stats!$A:$A,0)),FALSE),ROUND(D383+(E383-D383)*(1+G383)*((1-1)/(MaxLevel-1))^(2^F383),0),D383+(E383-D383)*(1+G383)*((1-1)/(MaxLevel-1))^(2^F383)))</f>
        <v>10</v>
      </c>
      <c r="I383" s="12">
        <f>IF(OR(D383="",E383=""),"",IF(IFERROR(INDEX(Stats!$D:$D,MATCH($C383,Stats!$A:$A,0)),FALSE),ROUND(D383+(E383-D383)*(1+G383)*((2-1)/(MaxLevel-1))^(2^F383),0),D383+(E383-D383)*(1+G383)*((2-1)/(MaxLevel-1))^(2^F383)))</f>
        <v>18</v>
      </c>
      <c r="J383" s="12">
        <f>IF(OR(D383="",E383=""),"",IF(IFERROR(INDEX(Stats!$D:$D,MATCH($C383,Stats!$A:$A,0)),FALSE),ROUND(D383+(E383-D383)*(1+G383)*((3-1)/(MaxLevel-1))^(2^F383),0),D383+(E383-D383)*(1+G383)*((3-1)/(MaxLevel-1))^(2^F383)))</f>
        <v>26</v>
      </c>
      <c r="K383" s="12">
        <f>IF(OR(D383="",E383=""),"",IF(IFERROR(INDEX(Stats!$D:$D,MATCH($C383,Stats!$A:$A,0)),FALSE),ROUND(D383+(E383-D383)*(1+G383)*((4-1)/(MaxLevel-1))^(2^F383),0),D383+(E383-D383)*(1+G383)*((4-1)/(MaxLevel-1))^(2^F383)))</f>
        <v>33</v>
      </c>
      <c r="L383" s="12">
        <f>IF(OR(D383="",E383=""),"",IF(IFERROR(INDEX(Stats!$D:$D,MATCH($C383,Stats!$A:$A,0)),FALSE),ROUND(D383+(E383-D383)*(1+G383)*((5-1)/(MaxLevel-1))^(2^F383),0),D383+(E383-D383)*(1+G383)*((5-1)/(MaxLevel-1))^(2^F383)))</f>
        <v>41</v>
      </c>
      <c r="M383" s="12">
        <f>IF(OR(D383="",E383=""),"",IF(IFERROR(INDEX(Stats!$D:$D,MATCH($C383,Stats!$A:$A,0)),FALSE),ROUND(D383+(E383-D383)*(1+G383)*((6-1)/(MaxLevel-1))^(2^F383),0),D383+(E383-D383)*(1+G383)*((6-1)/(MaxLevel-1))^(2^F383)))</f>
        <v>49</v>
      </c>
      <c r="N383" s="12">
        <f>IF(OR(D383="",E383=""),"",IF(IFERROR(INDEX(Stats!$D:$D,MATCH($C383,Stats!$A:$A,0)),FALSE),ROUND(D383+(E383-D383)*(1+G383)*((7-1)/(MaxLevel-1))^(2^F383),0),D383+(E383-D383)*(1+G383)*((7-1)/(MaxLevel-1))^(2^F383)))</f>
        <v>57</v>
      </c>
      <c r="O383" s="12">
        <f>IF(OR(D383="",E383=""),"",IF(IFERROR(INDEX(Stats!$D:$D,MATCH($C383,Stats!$A:$A,0)),FALSE),ROUND(D383+(E383-D383)*(1+G383)*((8-1)/(MaxLevel-1))^(2^F383),0),D383+(E383-D383)*(1+G383)*((8-1)/(MaxLevel-1))^(2^F383)))</f>
        <v>64</v>
      </c>
      <c r="P383" s="12">
        <f>IF(OR(D383="",E383=""),"",IF(IFERROR(INDEX(Stats!$D:$D,MATCH($C383,Stats!$A:$A,0)),FALSE),ROUND(D383+(E383-D383)*(1+G383)*((9-1)/(MaxLevel-1))^(2^F383),0),D383+(E383-D383)*(1+G383)*((9-1)/(MaxLevel-1))^(2^F383)))</f>
        <v>72</v>
      </c>
      <c r="Q383" s="12">
        <f>IF(OR(D383="",E383=""),"",IF(IFERROR(INDEX(Stats!$D:$D,MATCH($C383,Stats!$A:$A,0)),FALSE),ROUND(D383+(E383-D383)*(1+G383)*((10-1)/(MaxLevel-1))^(2^F383),0),D383+(E383-D383)*(1+G383)*((10-1)/(MaxLevel-1))^(2^F383)))</f>
        <v>80</v>
      </c>
    </row>
    <row r="384" spans="1:17" x14ac:dyDescent="0.25">
      <c r="A384" s="4" t="s">
        <v>185</v>
      </c>
      <c r="B384" s="19" t="s">
        <v>235</v>
      </c>
      <c r="C384" s="4" t="s">
        <v>28</v>
      </c>
      <c r="D384" s="5">
        <v>80</v>
      </c>
      <c r="E384" s="5">
        <v>400</v>
      </c>
      <c r="F384" s="5">
        <v>-0.5</v>
      </c>
      <c r="G384" s="5">
        <v>0</v>
      </c>
      <c r="H384" s="12">
        <f>IF(OR(D384="",E384=""),"",IF(IFERROR(INDEX(Stats!$D:$D,MATCH($C384,Stats!$A:$A,0)),FALSE),ROUND(D384+(E384-D384)*(1+G384)*((1-1)/(MaxLevel-1))^(2^F384),0),D384+(E384-D384)*(1+G384)*((1-1)/(MaxLevel-1))^(2^F384)))</f>
        <v>80</v>
      </c>
      <c r="I384" s="12">
        <f>IF(OR(D384="",E384=""),"",IF(IFERROR(INDEX(Stats!$D:$D,MATCH($C384,Stats!$A:$A,0)),FALSE),ROUND(D384+(E384-D384)*(1+G384)*((2-1)/(MaxLevel-1))^(2^F384),0),D384+(E384-D384)*(1+G384)*((2-1)/(MaxLevel-1))^(2^F384)))</f>
        <v>148</v>
      </c>
      <c r="J384" s="12">
        <f>IF(OR(D384="",E384=""),"",IF(IFERROR(INDEX(Stats!$D:$D,MATCH($C384,Stats!$A:$A,0)),FALSE),ROUND(D384+(E384-D384)*(1+G384)*((3-1)/(MaxLevel-1))^(2^F384),0),D384+(E384-D384)*(1+G384)*((3-1)/(MaxLevel-1))^(2^F384)))</f>
        <v>190</v>
      </c>
      <c r="K384" s="12">
        <f>IF(OR(D384="",E384=""),"",IF(IFERROR(INDEX(Stats!$D:$D,MATCH($C384,Stats!$A:$A,0)),FALSE),ROUND(D384+(E384-D384)*(1+G384)*((4-1)/(MaxLevel-1))^(2^F384),0),D384+(E384-D384)*(1+G384)*((4-1)/(MaxLevel-1))^(2^F384)))</f>
        <v>227</v>
      </c>
      <c r="L384" s="12">
        <f>IF(OR(D384="",E384=""),"",IF(IFERROR(INDEX(Stats!$D:$D,MATCH($C384,Stats!$A:$A,0)),FALSE),ROUND(D384+(E384-D384)*(1+G384)*((5-1)/(MaxLevel-1))^(2^F384),0),D384+(E384-D384)*(1+G384)*((5-1)/(MaxLevel-1))^(2^F384)))</f>
        <v>260</v>
      </c>
      <c r="M384" s="12">
        <f>IF(OR(D384="",E384=""),"",IF(IFERROR(INDEX(Stats!$D:$D,MATCH($C384,Stats!$A:$A,0)),FALSE),ROUND(D384+(E384-D384)*(1+G384)*((6-1)/(MaxLevel-1))^(2^F384),0),D384+(E384-D384)*(1+G384)*((6-1)/(MaxLevel-1))^(2^F384)))</f>
        <v>291</v>
      </c>
      <c r="N384" s="12">
        <f>IF(OR(D384="",E384=""),"",IF(IFERROR(INDEX(Stats!$D:$D,MATCH($C384,Stats!$A:$A,0)),FALSE),ROUND(D384+(E384-D384)*(1+G384)*((7-1)/(MaxLevel-1))^(2^F384),0),D384+(E384-D384)*(1+G384)*((7-1)/(MaxLevel-1))^(2^F384)))</f>
        <v>320</v>
      </c>
      <c r="O384" s="12">
        <f>IF(OR(D384="",E384=""),"",IF(IFERROR(INDEX(Stats!$D:$D,MATCH($C384,Stats!$A:$A,0)),FALSE),ROUND(D384+(E384-D384)*(1+G384)*((8-1)/(MaxLevel-1))^(2^F384),0),D384+(E384-D384)*(1+G384)*((8-1)/(MaxLevel-1))^(2^F384)))</f>
        <v>348</v>
      </c>
      <c r="P384" s="12">
        <f>IF(OR(D384="",E384=""),"",IF(IFERROR(INDEX(Stats!$D:$D,MATCH($C384,Stats!$A:$A,0)),FALSE),ROUND(D384+(E384-D384)*(1+G384)*((9-1)/(MaxLevel-1))^(2^F384),0),D384+(E384-D384)*(1+G384)*((9-1)/(MaxLevel-1))^(2^F384)))</f>
        <v>374</v>
      </c>
      <c r="Q384" s="12">
        <f>IF(OR(D384="",E384=""),"",IF(IFERROR(INDEX(Stats!$D:$D,MATCH($C384,Stats!$A:$A,0)),FALSE),ROUND(D384+(E384-D384)*(1+G384)*((10-1)/(MaxLevel-1))^(2^F384),0),D384+(E384-D384)*(1+G384)*((10-1)/(MaxLevel-1))^(2^F384)))</f>
        <v>400</v>
      </c>
    </row>
    <row r="385" spans="1:17" x14ac:dyDescent="0.25">
      <c r="A385" s="4" t="s">
        <v>185</v>
      </c>
      <c r="B385" s="19" t="s">
        <v>235</v>
      </c>
      <c r="C385" s="4" t="s">
        <v>30</v>
      </c>
      <c r="D385" s="5"/>
      <c r="E385" s="5"/>
      <c r="F385" s="5"/>
      <c r="G385" s="5"/>
      <c r="H385" s="12" t="str">
        <f>IF(OR(D385="",E385=""),"",IF(IFERROR(INDEX(Stats!$D:$D,MATCH($C385,Stats!$A:$A,0)),FALSE),ROUND(D385+(E385-D385)*(1+G385)*((1-1)/(MaxLevel-1))^(2^F385),0),D385+(E385-D385)*(1+G385)*((1-1)/(MaxLevel-1))^(2^F385)))</f>
        <v/>
      </c>
      <c r="I385" s="12" t="str">
        <f>IF(OR(D385="",E385=""),"",IF(IFERROR(INDEX(Stats!$D:$D,MATCH($C385,Stats!$A:$A,0)),FALSE),ROUND(D385+(E385-D385)*(1+G385)*((2-1)/(MaxLevel-1))^(2^F385),0),D385+(E385-D385)*(1+G385)*((2-1)/(MaxLevel-1))^(2^F385)))</f>
        <v/>
      </c>
      <c r="J385" s="12" t="str">
        <f>IF(OR(D385="",E385=""),"",IF(IFERROR(INDEX(Stats!$D:$D,MATCH($C385,Stats!$A:$A,0)),FALSE),ROUND(D385+(E385-D385)*(1+G385)*((3-1)/(MaxLevel-1))^(2^F385),0),D385+(E385-D385)*(1+G385)*((3-1)/(MaxLevel-1))^(2^F385)))</f>
        <v/>
      </c>
      <c r="K385" s="12" t="str">
        <f>IF(OR(D385="",E385=""),"",IF(IFERROR(INDEX(Stats!$D:$D,MATCH($C385,Stats!$A:$A,0)),FALSE),ROUND(D385+(E385-D385)*(1+G385)*((4-1)/(MaxLevel-1))^(2^F385),0),D385+(E385-D385)*(1+G385)*((4-1)/(MaxLevel-1))^(2^F385)))</f>
        <v/>
      </c>
      <c r="L385" s="12" t="str">
        <f>IF(OR(D385="",E385=""),"",IF(IFERROR(INDEX(Stats!$D:$D,MATCH($C385,Stats!$A:$A,0)),FALSE),ROUND(D385+(E385-D385)*(1+G385)*((5-1)/(MaxLevel-1))^(2^F385),0),D385+(E385-D385)*(1+G385)*((5-1)/(MaxLevel-1))^(2^F385)))</f>
        <v/>
      </c>
      <c r="M385" s="12" t="str">
        <f>IF(OR(D385="",E385=""),"",IF(IFERROR(INDEX(Stats!$D:$D,MATCH($C385,Stats!$A:$A,0)),FALSE),ROUND(D385+(E385-D385)*(1+G385)*((6-1)/(MaxLevel-1))^(2^F385),0),D385+(E385-D385)*(1+G385)*((6-1)/(MaxLevel-1))^(2^F385)))</f>
        <v/>
      </c>
      <c r="N385" s="12" t="str">
        <f>IF(OR(D385="",E385=""),"",IF(IFERROR(INDEX(Stats!$D:$D,MATCH($C385,Stats!$A:$A,0)),FALSE),ROUND(D385+(E385-D385)*(1+G385)*((7-1)/(MaxLevel-1))^(2^F385),0),D385+(E385-D385)*(1+G385)*((7-1)/(MaxLevel-1))^(2^F385)))</f>
        <v/>
      </c>
      <c r="O385" s="12" t="str">
        <f>IF(OR(D385="",E385=""),"",IF(IFERROR(INDEX(Stats!$D:$D,MATCH($C385,Stats!$A:$A,0)),FALSE),ROUND(D385+(E385-D385)*(1+G385)*((8-1)/(MaxLevel-1))^(2^F385),0),D385+(E385-D385)*(1+G385)*((8-1)/(MaxLevel-1))^(2^F385)))</f>
        <v/>
      </c>
      <c r="P385" s="12" t="str">
        <f>IF(OR(D385="",E385=""),"",IF(IFERROR(INDEX(Stats!$D:$D,MATCH($C385,Stats!$A:$A,0)),FALSE),ROUND(D385+(E385-D385)*(1+G385)*((9-1)/(MaxLevel-1))^(2^F385),0),D385+(E385-D385)*(1+G385)*((9-1)/(MaxLevel-1))^(2^F385)))</f>
        <v/>
      </c>
      <c r="Q385" s="12" t="str">
        <f>IF(OR(D385="",E385=""),"",IF(IFERROR(INDEX(Stats!$D:$D,MATCH($C385,Stats!$A:$A,0)),FALSE),ROUND(D385+(E385-D385)*(1+G385)*((10-1)/(MaxLevel-1))^(2^F385),0),D385+(E385-D385)*(1+G385)*((10-1)/(MaxLevel-1))^(2^F385)))</f>
        <v/>
      </c>
    </row>
    <row r="386" spans="1:17" x14ac:dyDescent="0.25">
      <c r="A386" s="4" t="s">
        <v>185</v>
      </c>
      <c r="B386" s="19" t="s">
        <v>235</v>
      </c>
      <c r="C386" s="4" t="s">
        <v>32</v>
      </c>
      <c r="D386" s="5"/>
      <c r="E386" s="5"/>
      <c r="F386" s="5"/>
      <c r="G386" s="5"/>
      <c r="H386" s="12" t="str">
        <f>IF(OR(D386="",E386=""),"",IF(IFERROR(INDEX(Stats!$D:$D,MATCH($C386,Stats!$A:$A,0)),FALSE),ROUND(D386+(E386-D386)*(1+G386)*((1-1)/(MaxLevel-1))^(2^F386),0),D386+(E386-D386)*(1+G386)*((1-1)/(MaxLevel-1))^(2^F386)))</f>
        <v/>
      </c>
      <c r="I386" s="12" t="str">
        <f>IF(OR(D386="",E386=""),"",IF(IFERROR(INDEX(Stats!$D:$D,MATCH($C386,Stats!$A:$A,0)),FALSE),ROUND(D386+(E386-D386)*(1+G386)*((2-1)/(MaxLevel-1))^(2^F386),0),D386+(E386-D386)*(1+G386)*((2-1)/(MaxLevel-1))^(2^F386)))</f>
        <v/>
      </c>
      <c r="J386" s="12" t="str">
        <f>IF(OR(D386="",E386=""),"",IF(IFERROR(INDEX(Stats!$D:$D,MATCH($C386,Stats!$A:$A,0)),FALSE),ROUND(D386+(E386-D386)*(1+G386)*((3-1)/(MaxLevel-1))^(2^F386),0),D386+(E386-D386)*(1+G386)*((3-1)/(MaxLevel-1))^(2^F386)))</f>
        <v/>
      </c>
      <c r="K386" s="12" t="str">
        <f>IF(OR(D386="",E386=""),"",IF(IFERROR(INDEX(Stats!$D:$D,MATCH($C386,Stats!$A:$A,0)),FALSE),ROUND(D386+(E386-D386)*(1+G386)*((4-1)/(MaxLevel-1))^(2^F386),0),D386+(E386-D386)*(1+G386)*((4-1)/(MaxLevel-1))^(2^F386)))</f>
        <v/>
      </c>
      <c r="L386" s="12" t="str">
        <f>IF(OR(D386="",E386=""),"",IF(IFERROR(INDEX(Stats!$D:$D,MATCH($C386,Stats!$A:$A,0)),FALSE),ROUND(D386+(E386-D386)*(1+G386)*((5-1)/(MaxLevel-1))^(2^F386),0),D386+(E386-D386)*(1+G386)*((5-1)/(MaxLevel-1))^(2^F386)))</f>
        <v/>
      </c>
      <c r="M386" s="12" t="str">
        <f>IF(OR(D386="",E386=""),"",IF(IFERROR(INDEX(Stats!$D:$D,MATCH($C386,Stats!$A:$A,0)),FALSE),ROUND(D386+(E386-D386)*(1+G386)*((6-1)/(MaxLevel-1))^(2^F386),0),D386+(E386-D386)*(1+G386)*((6-1)/(MaxLevel-1))^(2^F386)))</f>
        <v/>
      </c>
      <c r="N386" s="12" t="str">
        <f>IF(OR(D386="",E386=""),"",IF(IFERROR(INDEX(Stats!$D:$D,MATCH($C386,Stats!$A:$A,0)),FALSE),ROUND(D386+(E386-D386)*(1+G386)*((7-1)/(MaxLevel-1))^(2^F386),0),D386+(E386-D386)*(1+G386)*((7-1)/(MaxLevel-1))^(2^F386)))</f>
        <v/>
      </c>
      <c r="O386" s="12" t="str">
        <f>IF(OR(D386="",E386=""),"",IF(IFERROR(INDEX(Stats!$D:$D,MATCH($C386,Stats!$A:$A,0)),FALSE),ROUND(D386+(E386-D386)*(1+G386)*((8-1)/(MaxLevel-1))^(2^F386),0),D386+(E386-D386)*(1+G386)*((8-1)/(MaxLevel-1))^(2^F386)))</f>
        <v/>
      </c>
      <c r="P386" s="12" t="str">
        <f>IF(OR(D386="",E386=""),"",IF(IFERROR(INDEX(Stats!$D:$D,MATCH($C386,Stats!$A:$A,0)),FALSE),ROUND(D386+(E386-D386)*(1+G386)*((9-1)/(MaxLevel-1))^(2^F386),0),D386+(E386-D386)*(1+G386)*((9-1)/(MaxLevel-1))^(2^F386)))</f>
        <v/>
      </c>
      <c r="Q386" s="12" t="str">
        <f>IF(OR(D386="",E386=""),"",IF(IFERROR(INDEX(Stats!$D:$D,MATCH($C386,Stats!$A:$A,0)),FALSE),ROUND(D386+(E386-D386)*(1+G386)*((10-1)/(MaxLevel-1))^(2^F386),0),D386+(E386-D386)*(1+G386)*((10-1)/(MaxLevel-1))^(2^F386)))</f>
        <v/>
      </c>
    </row>
    <row r="387" spans="1:17" x14ac:dyDescent="0.25">
      <c r="A387" s="4" t="s">
        <v>185</v>
      </c>
      <c r="B387" s="19" t="s">
        <v>235</v>
      </c>
      <c r="C387" s="4" t="s">
        <v>34</v>
      </c>
      <c r="D387" s="5"/>
      <c r="E387" s="5"/>
      <c r="F387" s="5"/>
      <c r="G387" s="5"/>
      <c r="H387" s="12" t="str">
        <f>IF(OR(D387="",E387=""),"",IF(IFERROR(INDEX(Stats!$D:$D,MATCH($C387,Stats!$A:$A,0)),FALSE),ROUND(D387+(E387-D387)*(1+G387)*((1-1)/(MaxLevel-1))^(2^F387),0),D387+(E387-D387)*(1+G387)*((1-1)/(MaxLevel-1))^(2^F387)))</f>
        <v/>
      </c>
      <c r="I387" s="12" t="str">
        <f>IF(OR(D387="",E387=""),"",IF(IFERROR(INDEX(Stats!$D:$D,MATCH($C387,Stats!$A:$A,0)),FALSE),ROUND(D387+(E387-D387)*(1+G387)*((2-1)/(MaxLevel-1))^(2^F387),0),D387+(E387-D387)*(1+G387)*((2-1)/(MaxLevel-1))^(2^F387)))</f>
        <v/>
      </c>
      <c r="J387" s="12" t="str">
        <f>IF(OR(D387="",E387=""),"",IF(IFERROR(INDEX(Stats!$D:$D,MATCH($C387,Stats!$A:$A,0)),FALSE),ROUND(D387+(E387-D387)*(1+G387)*((3-1)/(MaxLevel-1))^(2^F387),0),D387+(E387-D387)*(1+G387)*((3-1)/(MaxLevel-1))^(2^F387)))</f>
        <v/>
      </c>
      <c r="K387" s="12" t="str">
        <f>IF(OR(D387="",E387=""),"",IF(IFERROR(INDEX(Stats!$D:$D,MATCH($C387,Stats!$A:$A,0)),FALSE),ROUND(D387+(E387-D387)*(1+G387)*((4-1)/(MaxLevel-1))^(2^F387),0),D387+(E387-D387)*(1+G387)*((4-1)/(MaxLevel-1))^(2^F387)))</f>
        <v/>
      </c>
      <c r="L387" s="12" t="str">
        <f>IF(OR(D387="",E387=""),"",IF(IFERROR(INDEX(Stats!$D:$D,MATCH($C387,Stats!$A:$A,0)),FALSE),ROUND(D387+(E387-D387)*(1+G387)*((5-1)/(MaxLevel-1))^(2^F387),0),D387+(E387-D387)*(1+G387)*((5-1)/(MaxLevel-1))^(2^F387)))</f>
        <v/>
      </c>
      <c r="M387" s="12" t="str">
        <f>IF(OR(D387="",E387=""),"",IF(IFERROR(INDEX(Stats!$D:$D,MATCH($C387,Stats!$A:$A,0)),FALSE),ROUND(D387+(E387-D387)*(1+G387)*((6-1)/(MaxLevel-1))^(2^F387),0),D387+(E387-D387)*(1+G387)*((6-1)/(MaxLevel-1))^(2^F387)))</f>
        <v/>
      </c>
      <c r="N387" s="12" t="str">
        <f>IF(OR(D387="",E387=""),"",IF(IFERROR(INDEX(Stats!$D:$D,MATCH($C387,Stats!$A:$A,0)),FALSE),ROUND(D387+(E387-D387)*(1+G387)*((7-1)/(MaxLevel-1))^(2^F387),0),D387+(E387-D387)*(1+G387)*((7-1)/(MaxLevel-1))^(2^F387)))</f>
        <v/>
      </c>
      <c r="O387" s="12" t="str">
        <f>IF(OR(D387="",E387=""),"",IF(IFERROR(INDEX(Stats!$D:$D,MATCH($C387,Stats!$A:$A,0)),FALSE),ROUND(D387+(E387-D387)*(1+G387)*((8-1)/(MaxLevel-1))^(2^F387),0),D387+(E387-D387)*(1+G387)*((8-1)/(MaxLevel-1))^(2^F387)))</f>
        <v/>
      </c>
      <c r="P387" s="12" t="str">
        <f>IF(OR(D387="",E387=""),"",IF(IFERROR(INDEX(Stats!$D:$D,MATCH($C387,Stats!$A:$A,0)),FALSE),ROUND(D387+(E387-D387)*(1+G387)*((9-1)/(MaxLevel-1))^(2^F387),0),D387+(E387-D387)*(1+G387)*((9-1)/(MaxLevel-1))^(2^F387)))</f>
        <v/>
      </c>
      <c r="Q387" s="12" t="str">
        <f>IF(OR(D387="",E387=""),"",IF(IFERROR(INDEX(Stats!$D:$D,MATCH($C387,Stats!$A:$A,0)),FALSE),ROUND(D387+(E387-D387)*(1+G387)*((10-1)/(MaxLevel-1))^(2^F387),0),D387+(E387-D387)*(1+G387)*((10-1)/(MaxLevel-1))^(2^F387)))</f>
        <v/>
      </c>
    </row>
    <row r="388" spans="1:17" x14ac:dyDescent="0.25">
      <c r="A388" s="4" t="s">
        <v>185</v>
      </c>
      <c r="B388" s="19" t="s">
        <v>235</v>
      </c>
      <c r="C388" s="4" t="s">
        <v>36</v>
      </c>
      <c r="D388" s="5"/>
      <c r="E388" s="5"/>
      <c r="F388" s="5"/>
      <c r="G388" s="5"/>
      <c r="H388" s="12" t="str">
        <f>IF(OR(D388="",E388=""),"",IF(IFERROR(INDEX(Stats!$D:$D,MATCH($C388,Stats!$A:$A,0)),FALSE),ROUND(D388+(E388-D388)*(1+G388)*((1-1)/(MaxLevel-1))^(2^F388),0),D388+(E388-D388)*(1+G388)*((1-1)/(MaxLevel-1))^(2^F388)))</f>
        <v/>
      </c>
      <c r="I388" s="12" t="str">
        <f>IF(OR(D388="",E388=""),"",IF(IFERROR(INDEX(Stats!$D:$D,MATCH($C388,Stats!$A:$A,0)),FALSE),ROUND(D388+(E388-D388)*(1+G388)*((2-1)/(MaxLevel-1))^(2^F388),0),D388+(E388-D388)*(1+G388)*((2-1)/(MaxLevel-1))^(2^F388)))</f>
        <v/>
      </c>
      <c r="J388" s="12" t="str">
        <f>IF(OR(D388="",E388=""),"",IF(IFERROR(INDEX(Stats!$D:$D,MATCH($C388,Stats!$A:$A,0)),FALSE),ROUND(D388+(E388-D388)*(1+G388)*((3-1)/(MaxLevel-1))^(2^F388),0),D388+(E388-D388)*(1+G388)*((3-1)/(MaxLevel-1))^(2^F388)))</f>
        <v/>
      </c>
      <c r="K388" s="12" t="str">
        <f>IF(OR(D388="",E388=""),"",IF(IFERROR(INDEX(Stats!$D:$D,MATCH($C388,Stats!$A:$A,0)),FALSE),ROUND(D388+(E388-D388)*(1+G388)*((4-1)/(MaxLevel-1))^(2^F388),0),D388+(E388-D388)*(1+G388)*((4-1)/(MaxLevel-1))^(2^F388)))</f>
        <v/>
      </c>
      <c r="L388" s="12" t="str">
        <f>IF(OR(D388="",E388=""),"",IF(IFERROR(INDEX(Stats!$D:$D,MATCH($C388,Stats!$A:$A,0)),FALSE),ROUND(D388+(E388-D388)*(1+G388)*((5-1)/(MaxLevel-1))^(2^F388),0),D388+(E388-D388)*(1+G388)*((5-1)/(MaxLevel-1))^(2^F388)))</f>
        <v/>
      </c>
      <c r="M388" s="12" t="str">
        <f>IF(OR(D388="",E388=""),"",IF(IFERROR(INDEX(Stats!$D:$D,MATCH($C388,Stats!$A:$A,0)),FALSE),ROUND(D388+(E388-D388)*(1+G388)*((6-1)/(MaxLevel-1))^(2^F388),0),D388+(E388-D388)*(1+G388)*((6-1)/(MaxLevel-1))^(2^F388)))</f>
        <v/>
      </c>
      <c r="N388" s="12" t="str">
        <f>IF(OR(D388="",E388=""),"",IF(IFERROR(INDEX(Stats!$D:$D,MATCH($C388,Stats!$A:$A,0)),FALSE),ROUND(D388+(E388-D388)*(1+G388)*((7-1)/(MaxLevel-1))^(2^F388),0),D388+(E388-D388)*(1+G388)*((7-1)/(MaxLevel-1))^(2^F388)))</f>
        <v/>
      </c>
      <c r="O388" s="12" t="str">
        <f>IF(OR(D388="",E388=""),"",IF(IFERROR(INDEX(Stats!$D:$D,MATCH($C388,Stats!$A:$A,0)),FALSE),ROUND(D388+(E388-D388)*(1+G388)*((8-1)/(MaxLevel-1))^(2^F388),0),D388+(E388-D388)*(1+G388)*((8-1)/(MaxLevel-1))^(2^F388)))</f>
        <v/>
      </c>
      <c r="P388" s="12" t="str">
        <f>IF(OR(D388="",E388=""),"",IF(IFERROR(INDEX(Stats!$D:$D,MATCH($C388,Stats!$A:$A,0)),FALSE),ROUND(D388+(E388-D388)*(1+G388)*((9-1)/(MaxLevel-1))^(2^F388),0),D388+(E388-D388)*(1+G388)*((9-1)/(MaxLevel-1))^(2^F388)))</f>
        <v/>
      </c>
      <c r="Q388" s="12" t="str">
        <f>IF(OR(D388="",E388=""),"",IF(IFERROR(INDEX(Stats!$D:$D,MATCH($C388,Stats!$A:$A,0)),FALSE),ROUND(D388+(E388-D388)*(1+G388)*((10-1)/(MaxLevel-1))^(2^F388),0),D388+(E388-D388)*(1+G388)*((10-1)/(MaxLevel-1))^(2^F388)))</f>
        <v/>
      </c>
    </row>
    <row r="389" spans="1:17" x14ac:dyDescent="0.25">
      <c r="A389" s="4" t="s">
        <v>185</v>
      </c>
      <c r="B389" s="19" t="s">
        <v>235</v>
      </c>
      <c r="C389" s="4" t="s">
        <v>38</v>
      </c>
      <c r="D389" s="5">
        <v>1.5</v>
      </c>
      <c r="E389" s="5">
        <v>2</v>
      </c>
      <c r="F389" s="5">
        <v>-1</v>
      </c>
      <c r="G389" s="5">
        <v>0</v>
      </c>
      <c r="H389" s="12">
        <f>IF(OR(D389="",E389=""),"",IF(IFERROR(INDEX(Stats!$D:$D,MATCH($C389,Stats!$A:$A,0)),FALSE),ROUND(D389+(E389-D389)*(1+G389)*((1-1)/(MaxLevel-1))^(2^F389),0),D389+(E389-D389)*(1+G389)*((1-1)/(MaxLevel-1))^(2^F389)))</f>
        <v>1.5</v>
      </c>
      <c r="I389" s="12">
        <f>IF(OR(D389="",E389=""),"",IF(IFERROR(INDEX(Stats!$D:$D,MATCH($C389,Stats!$A:$A,0)),FALSE),ROUND(D389+(E389-D389)*(1+G389)*((2-1)/(MaxLevel-1))^(2^F389),0),D389+(E389-D389)*(1+G389)*((2-1)/(MaxLevel-1))^(2^F389)))</f>
        <v>1.6666666666666667</v>
      </c>
      <c r="J389" s="12">
        <f>IF(OR(D389="",E389=""),"",IF(IFERROR(INDEX(Stats!$D:$D,MATCH($C389,Stats!$A:$A,0)),FALSE),ROUND(D389+(E389-D389)*(1+G389)*((3-1)/(MaxLevel-1))^(2^F389),0),D389+(E389-D389)*(1+G389)*((3-1)/(MaxLevel-1))^(2^F389)))</f>
        <v>1.7357022603955159</v>
      </c>
      <c r="K389" s="12">
        <f>IF(OR(D389="",E389=""),"",IF(IFERROR(INDEX(Stats!$D:$D,MATCH($C389,Stats!$A:$A,0)),FALSE),ROUND(D389+(E389-D389)*(1+G389)*((4-1)/(MaxLevel-1))^(2^F389),0),D389+(E389-D389)*(1+G389)*((4-1)/(MaxLevel-1))^(2^F389)))</f>
        <v>1.7886751345948129</v>
      </c>
      <c r="L389" s="12">
        <f>IF(OR(D389="",E389=""),"",IF(IFERROR(INDEX(Stats!$D:$D,MATCH($C389,Stats!$A:$A,0)),FALSE),ROUND(D389+(E389-D389)*(1+G389)*((5-1)/(MaxLevel-1))^(2^F389),0),D389+(E389-D389)*(1+G389)*((5-1)/(MaxLevel-1))^(2^F389)))</f>
        <v>1.8333333333333333</v>
      </c>
      <c r="M389" s="12">
        <f>IF(OR(D389="",E389=""),"",IF(IFERROR(INDEX(Stats!$D:$D,MATCH($C389,Stats!$A:$A,0)),FALSE),ROUND(D389+(E389-D389)*(1+G389)*((6-1)/(MaxLevel-1))^(2^F389),0),D389+(E389-D389)*(1+G389)*((6-1)/(MaxLevel-1))^(2^F389)))</f>
        <v>1.8726779962499649</v>
      </c>
      <c r="N389" s="12">
        <f>IF(OR(D389="",E389=""),"",IF(IFERROR(INDEX(Stats!$D:$D,MATCH($C389,Stats!$A:$A,0)),FALSE),ROUND(D389+(E389-D389)*(1+G389)*((7-1)/(MaxLevel-1))^(2^F389),0),D389+(E389-D389)*(1+G389)*((7-1)/(MaxLevel-1))^(2^F389)))</f>
        <v>1.9082482904638631</v>
      </c>
      <c r="O389" s="12">
        <f>IF(OR(D389="",E389=""),"",IF(IFERROR(INDEX(Stats!$D:$D,MATCH($C389,Stats!$A:$A,0)),FALSE),ROUND(D389+(E389-D389)*(1+G389)*((8-1)/(MaxLevel-1))^(2^F389),0),D389+(E389-D389)*(1+G389)*((8-1)/(MaxLevel-1))^(2^F389)))</f>
        <v>1.9409585518440984</v>
      </c>
      <c r="P389" s="12">
        <f>IF(OR(D389="",E389=""),"",IF(IFERROR(INDEX(Stats!$D:$D,MATCH($C389,Stats!$A:$A,0)),FALSE),ROUND(D389+(E389-D389)*(1+G389)*((9-1)/(MaxLevel-1))^(2^F389),0),D389+(E389-D389)*(1+G389)*((9-1)/(MaxLevel-1))^(2^F389)))</f>
        <v>1.9714045207910318</v>
      </c>
      <c r="Q389" s="12">
        <f>IF(OR(D389="",E389=""),"",IF(IFERROR(INDEX(Stats!$D:$D,MATCH($C389,Stats!$A:$A,0)),FALSE),ROUND(D389+(E389-D389)*(1+G389)*((10-1)/(MaxLevel-1))^(2^F389),0),D389+(E389-D389)*(1+G389)*((10-1)/(MaxLevel-1))^(2^F389)))</f>
        <v>2</v>
      </c>
    </row>
    <row r="390" spans="1:17" x14ac:dyDescent="0.25">
      <c r="A390" s="4" t="s">
        <v>185</v>
      </c>
      <c r="B390" s="19" t="s">
        <v>235</v>
      </c>
      <c r="C390" s="4" t="s">
        <v>40</v>
      </c>
      <c r="D390" s="5">
        <v>20</v>
      </c>
      <c r="E390" s="5">
        <v>100</v>
      </c>
      <c r="F390" s="5">
        <v>1</v>
      </c>
      <c r="G390" s="5">
        <v>0.1</v>
      </c>
      <c r="H390" s="12">
        <f>IF(OR(D390="",E390=""),"",IF(IFERROR(INDEX(Stats!$D:$D,MATCH($C390,Stats!$A:$A,0)),FALSE),ROUND(D390+(E390-D390)*(1+G390)*((1-1)/(MaxLevel-1))^(2^F390),0),D390+(E390-D390)*(1+G390)*((1-1)/(MaxLevel-1))^(2^F390)))</f>
        <v>20</v>
      </c>
      <c r="I390" s="12">
        <f>IF(OR(D390="",E390=""),"",IF(IFERROR(INDEX(Stats!$D:$D,MATCH($C390,Stats!$A:$A,0)),FALSE),ROUND(D390+(E390-D390)*(1+G390)*((2-1)/(MaxLevel-1))^(2^F390),0),D390+(E390-D390)*(1+G390)*((2-1)/(MaxLevel-1))^(2^F390)))</f>
        <v>21</v>
      </c>
      <c r="J390" s="12">
        <f>IF(OR(D390="",E390=""),"",IF(IFERROR(INDEX(Stats!$D:$D,MATCH($C390,Stats!$A:$A,0)),FALSE),ROUND(D390+(E390-D390)*(1+G390)*((3-1)/(MaxLevel-1))^(2^F390),0),D390+(E390-D390)*(1+G390)*((3-1)/(MaxLevel-1))^(2^F390)))</f>
        <v>24</v>
      </c>
      <c r="K390" s="12">
        <f>IF(OR(D390="",E390=""),"",IF(IFERROR(INDEX(Stats!$D:$D,MATCH($C390,Stats!$A:$A,0)),FALSE),ROUND(D390+(E390-D390)*(1+G390)*((4-1)/(MaxLevel-1))^(2^F390),0),D390+(E390-D390)*(1+G390)*((4-1)/(MaxLevel-1))^(2^F390)))</f>
        <v>30</v>
      </c>
      <c r="L390" s="12">
        <f>IF(OR(D390="",E390=""),"",IF(IFERROR(INDEX(Stats!$D:$D,MATCH($C390,Stats!$A:$A,0)),FALSE),ROUND(D390+(E390-D390)*(1+G390)*((5-1)/(MaxLevel-1))^(2^F390),0),D390+(E390-D390)*(1+G390)*((5-1)/(MaxLevel-1))^(2^F390)))</f>
        <v>37</v>
      </c>
      <c r="M390" s="12">
        <f>IF(OR(D390="",E390=""),"",IF(IFERROR(INDEX(Stats!$D:$D,MATCH($C390,Stats!$A:$A,0)),FALSE),ROUND(D390+(E390-D390)*(1+G390)*((6-1)/(MaxLevel-1))^(2^F390),0),D390+(E390-D390)*(1+G390)*((6-1)/(MaxLevel-1))^(2^F390)))</f>
        <v>47</v>
      </c>
      <c r="N390" s="12">
        <f>IF(OR(D390="",E390=""),"",IF(IFERROR(INDEX(Stats!$D:$D,MATCH($C390,Stats!$A:$A,0)),FALSE),ROUND(D390+(E390-D390)*(1+G390)*((7-1)/(MaxLevel-1))^(2^F390),0),D390+(E390-D390)*(1+G390)*((7-1)/(MaxLevel-1))^(2^F390)))</f>
        <v>59</v>
      </c>
      <c r="O390" s="12">
        <f>IF(OR(D390="",E390=""),"",IF(IFERROR(INDEX(Stats!$D:$D,MATCH($C390,Stats!$A:$A,0)),FALSE),ROUND(D390+(E390-D390)*(1+G390)*((8-1)/(MaxLevel-1))^(2^F390),0),D390+(E390-D390)*(1+G390)*((8-1)/(MaxLevel-1))^(2^F390)))</f>
        <v>73</v>
      </c>
      <c r="P390" s="12">
        <f>IF(OR(D390="",E390=""),"",IF(IFERROR(INDEX(Stats!$D:$D,MATCH($C390,Stats!$A:$A,0)),FALSE),ROUND(D390+(E390-D390)*(1+G390)*((9-1)/(MaxLevel-1))^(2^F390),0),D390+(E390-D390)*(1+G390)*((9-1)/(MaxLevel-1))^(2^F390)))</f>
        <v>90</v>
      </c>
      <c r="Q390" s="12">
        <f>IF(OR(D390="",E390=""),"",IF(IFERROR(INDEX(Stats!$D:$D,MATCH($C390,Stats!$A:$A,0)),FALSE),ROUND(D390+(E390-D390)*(1+G390)*((10-1)/(MaxLevel-1))^(2^F390),0),D390+(E390-D390)*(1+G390)*((10-1)/(MaxLevel-1))^(2^F390)))</f>
        <v>108</v>
      </c>
    </row>
    <row r="391" spans="1:17" x14ac:dyDescent="0.25">
      <c r="A391" s="4" t="s">
        <v>185</v>
      </c>
      <c r="B391" s="19" t="s">
        <v>235</v>
      </c>
      <c r="C391" s="4" t="s">
        <v>42</v>
      </c>
      <c r="D391" s="5"/>
      <c r="E391" s="5"/>
      <c r="F391" s="5"/>
      <c r="G391" s="5"/>
      <c r="H391" s="12" t="str">
        <f>IF(OR(D391="",E391=""),"",IF(IFERROR(INDEX(Stats!$D:$D,MATCH($C391,Stats!$A:$A,0)),FALSE),ROUND(D391+(E391-D391)*(1+G391)*((1-1)/(MaxLevel-1))^(2^F391),0),D391+(E391-D391)*(1+G391)*((1-1)/(MaxLevel-1))^(2^F391)))</f>
        <v/>
      </c>
      <c r="I391" s="12" t="str">
        <f>IF(OR(D391="",E391=""),"",IF(IFERROR(INDEX(Stats!$D:$D,MATCH($C391,Stats!$A:$A,0)),FALSE),ROUND(D391+(E391-D391)*(1+G391)*((2-1)/(MaxLevel-1))^(2^F391),0),D391+(E391-D391)*(1+G391)*((2-1)/(MaxLevel-1))^(2^F391)))</f>
        <v/>
      </c>
      <c r="J391" s="12" t="str">
        <f>IF(OR(D391="",E391=""),"",IF(IFERROR(INDEX(Stats!$D:$D,MATCH($C391,Stats!$A:$A,0)),FALSE),ROUND(D391+(E391-D391)*(1+G391)*((3-1)/(MaxLevel-1))^(2^F391),0),D391+(E391-D391)*(1+G391)*((3-1)/(MaxLevel-1))^(2^F391)))</f>
        <v/>
      </c>
      <c r="K391" s="12" t="str">
        <f>IF(OR(D391="",E391=""),"",IF(IFERROR(INDEX(Stats!$D:$D,MATCH($C391,Stats!$A:$A,0)),FALSE),ROUND(D391+(E391-D391)*(1+G391)*((4-1)/(MaxLevel-1))^(2^F391),0),D391+(E391-D391)*(1+G391)*((4-1)/(MaxLevel-1))^(2^F391)))</f>
        <v/>
      </c>
      <c r="L391" s="12" t="str">
        <f>IF(OR(D391="",E391=""),"",IF(IFERROR(INDEX(Stats!$D:$D,MATCH($C391,Stats!$A:$A,0)),FALSE),ROUND(D391+(E391-D391)*(1+G391)*((5-1)/(MaxLevel-1))^(2^F391),0),D391+(E391-D391)*(1+G391)*((5-1)/(MaxLevel-1))^(2^F391)))</f>
        <v/>
      </c>
      <c r="M391" s="12" t="str">
        <f>IF(OR(D391="",E391=""),"",IF(IFERROR(INDEX(Stats!$D:$D,MATCH($C391,Stats!$A:$A,0)),FALSE),ROUND(D391+(E391-D391)*(1+G391)*((6-1)/(MaxLevel-1))^(2^F391),0),D391+(E391-D391)*(1+G391)*((6-1)/(MaxLevel-1))^(2^F391)))</f>
        <v/>
      </c>
      <c r="N391" s="12" t="str">
        <f>IF(OR(D391="",E391=""),"",IF(IFERROR(INDEX(Stats!$D:$D,MATCH($C391,Stats!$A:$A,0)),FALSE),ROUND(D391+(E391-D391)*(1+G391)*((7-1)/(MaxLevel-1))^(2^F391),0),D391+(E391-D391)*(1+G391)*((7-1)/(MaxLevel-1))^(2^F391)))</f>
        <v/>
      </c>
      <c r="O391" s="12" t="str">
        <f>IF(OR(D391="",E391=""),"",IF(IFERROR(INDEX(Stats!$D:$D,MATCH($C391,Stats!$A:$A,0)),FALSE),ROUND(D391+(E391-D391)*(1+G391)*((8-1)/(MaxLevel-1))^(2^F391),0),D391+(E391-D391)*(1+G391)*((8-1)/(MaxLevel-1))^(2^F391)))</f>
        <v/>
      </c>
      <c r="P391" s="12" t="str">
        <f>IF(OR(D391="",E391=""),"",IF(IFERROR(INDEX(Stats!$D:$D,MATCH($C391,Stats!$A:$A,0)),FALSE),ROUND(D391+(E391-D391)*(1+G391)*((9-1)/(MaxLevel-1))^(2^F391),0),D391+(E391-D391)*(1+G391)*((9-1)/(MaxLevel-1))^(2^F391)))</f>
        <v/>
      </c>
      <c r="Q391" s="12" t="str">
        <f>IF(OR(D391="",E391=""),"",IF(IFERROR(INDEX(Stats!$D:$D,MATCH($C391,Stats!$A:$A,0)),FALSE),ROUND(D391+(E391-D391)*(1+G391)*((10-1)/(MaxLevel-1))^(2^F391),0),D391+(E391-D391)*(1+G391)*((10-1)/(MaxLevel-1))^(2^F391)))</f>
        <v/>
      </c>
    </row>
    <row r="392" spans="1:17" x14ac:dyDescent="0.25">
      <c r="A392" s="4" t="s">
        <v>185</v>
      </c>
      <c r="B392" s="19" t="s">
        <v>235</v>
      </c>
      <c r="C392" s="4" t="s">
        <v>44</v>
      </c>
      <c r="D392" s="5"/>
      <c r="E392" s="5"/>
      <c r="F392" s="5"/>
      <c r="G392" s="5"/>
      <c r="H392" s="12" t="str">
        <f>IF(OR(D392="",E392=""),"",IF(IFERROR(INDEX(Stats!$D:$D,MATCH($C392,Stats!$A:$A,0)),FALSE),ROUND(D392+(E392-D392)*(1+G392)*((1-1)/(MaxLevel-1))^(2^F392),0),D392+(E392-D392)*(1+G392)*((1-1)/(MaxLevel-1))^(2^F392)))</f>
        <v/>
      </c>
      <c r="I392" s="12" t="str">
        <f>IF(OR(D392="",E392=""),"",IF(IFERROR(INDEX(Stats!$D:$D,MATCH($C392,Stats!$A:$A,0)),FALSE),ROUND(D392+(E392-D392)*(1+G392)*((2-1)/(MaxLevel-1))^(2^F392),0),D392+(E392-D392)*(1+G392)*((2-1)/(MaxLevel-1))^(2^F392)))</f>
        <v/>
      </c>
      <c r="J392" s="12" t="str">
        <f>IF(OR(D392="",E392=""),"",IF(IFERROR(INDEX(Stats!$D:$D,MATCH($C392,Stats!$A:$A,0)),FALSE),ROUND(D392+(E392-D392)*(1+G392)*((3-1)/(MaxLevel-1))^(2^F392),0),D392+(E392-D392)*(1+G392)*((3-1)/(MaxLevel-1))^(2^F392)))</f>
        <v/>
      </c>
      <c r="K392" s="12" t="str">
        <f>IF(OR(D392="",E392=""),"",IF(IFERROR(INDEX(Stats!$D:$D,MATCH($C392,Stats!$A:$A,0)),FALSE),ROUND(D392+(E392-D392)*(1+G392)*((4-1)/(MaxLevel-1))^(2^F392),0),D392+(E392-D392)*(1+G392)*((4-1)/(MaxLevel-1))^(2^F392)))</f>
        <v/>
      </c>
      <c r="L392" s="12" t="str">
        <f>IF(OR(D392="",E392=""),"",IF(IFERROR(INDEX(Stats!$D:$D,MATCH($C392,Stats!$A:$A,0)),FALSE),ROUND(D392+(E392-D392)*(1+G392)*((5-1)/(MaxLevel-1))^(2^F392),0),D392+(E392-D392)*(1+G392)*((5-1)/(MaxLevel-1))^(2^F392)))</f>
        <v/>
      </c>
      <c r="M392" s="12" t="str">
        <f>IF(OR(D392="",E392=""),"",IF(IFERROR(INDEX(Stats!$D:$D,MATCH($C392,Stats!$A:$A,0)),FALSE),ROUND(D392+(E392-D392)*(1+G392)*((6-1)/(MaxLevel-1))^(2^F392),0),D392+(E392-D392)*(1+G392)*((6-1)/(MaxLevel-1))^(2^F392)))</f>
        <v/>
      </c>
      <c r="N392" s="12" t="str">
        <f>IF(OR(D392="",E392=""),"",IF(IFERROR(INDEX(Stats!$D:$D,MATCH($C392,Stats!$A:$A,0)),FALSE),ROUND(D392+(E392-D392)*(1+G392)*((7-1)/(MaxLevel-1))^(2^F392),0),D392+(E392-D392)*(1+G392)*((7-1)/(MaxLevel-1))^(2^F392)))</f>
        <v/>
      </c>
      <c r="O392" s="12" t="str">
        <f>IF(OR(D392="",E392=""),"",IF(IFERROR(INDEX(Stats!$D:$D,MATCH($C392,Stats!$A:$A,0)),FALSE),ROUND(D392+(E392-D392)*(1+G392)*((8-1)/(MaxLevel-1))^(2^F392),0),D392+(E392-D392)*(1+G392)*((8-1)/(MaxLevel-1))^(2^F392)))</f>
        <v/>
      </c>
      <c r="P392" s="12" t="str">
        <f>IF(OR(D392="",E392=""),"",IF(IFERROR(INDEX(Stats!$D:$D,MATCH($C392,Stats!$A:$A,0)),FALSE),ROUND(D392+(E392-D392)*(1+G392)*((9-1)/(MaxLevel-1))^(2^F392),0),D392+(E392-D392)*(1+G392)*((9-1)/(MaxLevel-1))^(2^F392)))</f>
        <v/>
      </c>
      <c r="Q392" s="12" t="str">
        <f>IF(OR(D392="",E392=""),"",IF(IFERROR(INDEX(Stats!$D:$D,MATCH($C392,Stats!$A:$A,0)),FALSE),ROUND(D392+(E392-D392)*(1+G392)*((10-1)/(MaxLevel-1))^(2^F392),0),D392+(E392-D392)*(1+G392)*((10-1)/(MaxLevel-1))^(2^F392)))</f>
        <v/>
      </c>
    </row>
    <row r="393" spans="1:17" x14ac:dyDescent="0.25">
      <c r="A393" s="4" t="s">
        <v>185</v>
      </c>
      <c r="B393" s="19" t="s">
        <v>235</v>
      </c>
      <c r="C393" s="4" t="s">
        <v>46</v>
      </c>
      <c r="D393" s="5"/>
      <c r="E393" s="5"/>
      <c r="F393" s="5"/>
      <c r="G393" s="5"/>
      <c r="H393" s="12" t="str">
        <f>IF(OR(D393="",E393=""),"",IF(IFERROR(INDEX(Stats!$D:$D,MATCH($C393,Stats!$A:$A,0)),FALSE),ROUND(D393+(E393-D393)*(1+G393)*((1-1)/(MaxLevel-1))^(2^F393),0),D393+(E393-D393)*(1+G393)*((1-1)/(MaxLevel-1))^(2^F393)))</f>
        <v/>
      </c>
      <c r="I393" s="12" t="str">
        <f>IF(OR(D393="",E393=""),"",IF(IFERROR(INDEX(Stats!$D:$D,MATCH($C393,Stats!$A:$A,0)),FALSE),ROUND(D393+(E393-D393)*(1+G393)*((2-1)/(MaxLevel-1))^(2^F393),0),D393+(E393-D393)*(1+G393)*((2-1)/(MaxLevel-1))^(2^F393)))</f>
        <v/>
      </c>
      <c r="J393" s="12" t="str">
        <f>IF(OR(D393="",E393=""),"",IF(IFERROR(INDEX(Stats!$D:$D,MATCH($C393,Stats!$A:$A,0)),FALSE),ROUND(D393+(E393-D393)*(1+G393)*((3-1)/(MaxLevel-1))^(2^F393),0),D393+(E393-D393)*(1+G393)*((3-1)/(MaxLevel-1))^(2^F393)))</f>
        <v/>
      </c>
      <c r="K393" s="12" t="str">
        <f>IF(OR(D393="",E393=""),"",IF(IFERROR(INDEX(Stats!$D:$D,MATCH($C393,Stats!$A:$A,0)),FALSE),ROUND(D393+(E393-D393)*(1+G393)*((4-1)/(MaxLevel-1))^(2^F393),0),D393+(E393-D393)*(1+G393)*((4-1)/(MaxLevel-1))^(2^F393)))</f>
        <v/>
      </c>
      <c r="L393" s="12" t="str">
        <f>IF(OR(D393="",E393=""),"",IF(IFERROR(INDEX(Stats!$D:$D,MATCH($C393,Stats!$A:$A,0)),FALSE),ROUND(D393+(E393-D393)*(1+G393)*((5-1)/(MaxLevel-1))^(2^F393),0),D393+(E393-D393)*(1+G393)*((5-1)/(MaxLevel-1))^(2^F393)))</f>
        <v/>
      </c>
      <c r="M393" s="12" t="str">
        <f>IF(OR(D393="",E393=""),"",IF(IFERROR(INDEX(Stats!$D:$D,MATCH($C393,Stats!$A:$A,0)),FALSE),ROUND(D393+(E393-D393)*(1+G393)*((6-1)/(MaxLevel-1))^(2^F393),0),D393+(E393-D393)*(1+G393)*((6-1)/(MaxLevel-1))^(2^F393)))</f>
        <v/>
      </c>
      <c r="N393" s="12" t="str">
        <f>IF(OR(D393="",E393=""),"",IF(IFERROR(INDEX(Stats!$D:$D,MATCH($C393,Stats!$A:$A,0)),FALSE),ROUND(D393+(E393-D393)*(1+G393)*((7-1)/(MaxLevel-1))^(2^F393),0),D393+(E393-D393)*(1+G393)*((7-1)/(MaxLevel-1))^(2^F393)))</f>
        <v/>
      </c>
      <c r="O393" s="12" t="str">
        <f>IF(OR(D393="",E393=""),"",IF(IFERROR(INDEX(Stats!$D:$D,MATCH($C393,Stats!$A:$A,0)),FALSE),ROUND(D393+(E393-D393)*(1+G393)*((8-1)/(MaxLevel-1))^(2^F393),0),D393+(E393-D393)*(1+G393)*((8-1)/(MaxLevel-1))^(2^F393)))</f>
        <v/>
      </c>
      <c r="P393" s="12" t="str">
        <f>IF(OR(D393="",E393=""),"",IF(IFERROR(INDEX(Stats!$D:$D,MATCH($C393,Stats!$A:$A,0)),FALSE),ROUND(D393+(E393-D393)*(1+G393)*((9-1)/(MaxLevel-1))^(2^F393),0),D393+(E393-D393)*(1+G393)*((9-1)/(MaxLevel-1))^(2^F393)))</f>
        <v/>
      </c>
      <c r="Q393" s="12" t="str">
        <f>IF(OR(D393="",E393=""),"",IF(IFERROR(INDEX(Stats!$D:$D,MATCH($C393,Stats!$A:$A,0)),FALSE),ROUND(D393+(E393-D393)*(1+G393)*((10-1)/(MaxLevel-1))^(2^F393),0),D393+(E393-D393)*(1+G393)*((10-1)/(MaxLevel-1))^(2^F393)))</f>
        <v/>
      </c>
    </row>
    <row r="394" spans="1:17" x14ac:dyDescent="0.25">
      <c r="A394" s="4" t="s">
        <v>185</v>
      </c>
      <c r="B394" s="19" t="s">
        <v>235</v>
      </c>
      <c r="C394" s="4" t="s">
        <v>48</v>
      </c>
      <c r="D394" s="5"/>
      <c r="E394" s="5"/>
      <c r="F394" s="5"/>
      <c r="G394" s="5"/>
      <c r="H394" s="12" t="str">
        <f>IF(OR(D394="",E394=""),"",IF(IFERROR(INDEX(Stats!$D:$D,MATCH($C394,Stats!$A:$A,0)),FALSE),ROUND(D394+(E394-D394)*(1+G394)*((1-1)/(MaxLevel-1))^(2^F394),0),D394+(E394-D394)*(1+G394)*((1-1)/(MaxLevel-1))^(2^F394)))</f>
        <v/>
      </c>
      <c r="I394" s="12" t="str">
        <f>IF(OR(D394="",E394=""),"",IF(IFERROR(INDEX(Stats!$D:$D,MATCH($C394,Stats!$A:$A,0)),FALSE),ROUND(D394+(E394-D394)*(1+G394)*((2-1)/(MaxLevel-1))^(2^F394),0),D394+(E394-D394)*(1+G394)*((2-1)/(MaxLevel-1))^(2^F394)))</f>
        <v/>
      </c>
      <c r="J394" s="12" t="str">
        <f>IF(OR(D394="",E394=""),"",IF(IFERROR(INDEX(Stats!$D:$D,MATCH($C394,Stats!$A:$A,0)),FALSE),ROUND(D394+(E394-D394)*(1+G394)*((3-1)/(MaxLevel-1))^(2^F394),0),D394+(E394-D394)*(1+G394)*((3-1)/(MaxLevel-1))^(2^F394)))</f>
        <v/>
      </c>
      <c r="K394" s="12" t="str">
        <f>IF(OR(D394="",E394=""),"",IF(IFERROR(INDEX(Stats!$D:$D,MATCH($C394,Stats!$A:$A,0)),FALSE),ROUND(D394+(E394-D394)*(1+G394)*((4-1)/(MaxLevel-1))^(2^F394),0),D394+(E394-D394)*(1+G394)*((4-1)/(MaxLevel-1))^(2^F394)))</f>
        <v/>
      </c>
      <c r="L394" s="12" t="str">
        <f>IF(OR(D394="",E394=""),"",IF(IFERROR(INDEX(Stats!$D:$D,MATCH($C394,Stats!$A:$A,0)),FALSE),ROUND(D394+(E394-D394)*(1+G394)*((5-1)/(MaxLevel-1))^(2^F394),0),D394+(E394-D394)*(1+G394)*((5-1)/(MaxLevel-1))^(2^F394)))</f>
        <v/>
      </c>
      <c r="M394" s="12" t="str">
        <f>IF(OR(D394="",E394=""),"",IF(IFERROR(INDEX(Stats!$D:$D,MATCH($C394,Stats!$A:$A,0)),FALSE),ROUND(D394+(E394-D394)*(1+G394)*((6-1)/(MaxLevel-1))^(2^F394),0),D394+(E394-D394)*(1+G394)*((6-1)/(MaxLevel-1))^(2^F394)))</f>
        <v/>
      </c>
      <c r="N394" s="12" t="str">
        <f>IF(OR(D394="",E394=""),"",IF(IFERROR(INDEX(Stats!$D:$D,MATCH($C394,Stats!$A:$A,0)),FALSE),ROUND(D394+(E394-D394)*(1+G394)*((7-1)/(MaxLevel-1))^(2^F394),0),D394+(E394-D394)*(1+G394)*((7-1)/(MaxLevel-1))^(2^F394)))</f>
        <v/>
      </c>
      <c r="O394" s="12" t="str">
        <f>IF(OR(D394="",E394=""),"",IF(IFERROR(INDEX(Stats!$D:$D,MATCH($C394,Stats!$A:$A,0)),FALSE),ROUND(D394+(E394-D394)*(1+G394)*((8-1)/(MaxLevel-1))^(2^F394),0),D394+(E394-D394)*(1+G394)*((8-1)/(MaxLevel-1))^(2^F394)))</f>
        <v/>
      </c>
      <c r="P394" s="12" t="str">
        <f>IF(OR(D394="",E394=""),"",IF(IFERROR(INDEX(Stats!$D:$D,MATCH($C394,Stats!$A:$A,0)),FALSE),ROUND(D394+(E394-D394)*(1+G394)*((9-1)/(MaxLevel-1))^(2^F394),0),D394+(E394-D394)*(1+G394)*((9-1)/(MaxLevel-1))^(2^F394)))</f>
        <v/>
      </c>
      <c r="Q394" s="12" t="str">
        <f>IF(OR(D394="",E394=""),"",IF(IFERROR(INDEX(Stats!$D:$D,MATCH($C394,Stats!$A:$A,0)),FALSE),ROUND(D394+(E394-D394)*(1+G394)*((10-1)/(MaxLevel-1))^(2^F394),0),D394+(E394-D394)*(1+G394)*((10-1)/(MaxLevel-1))^(2^F394)))</f>
        <v/>
      </c>
    </row>
    <row r="395" spans="1:17" x14ac:dyDescent="0.25">
      <c r="A395" s="4" t="s">
        <v>185</v>
      </c>
      <c r="B395" s="19" t="s">
        <v>235</v>
      </c>
      <c r="C395" s="4" t="s">
        <v>50</v>
      </c>
      <c r="D395" s="5"/>
      <c r="E395" s="5"/>
      <c r="F395" s="5"/>
      <c r="G395" s="5"/>
      <c r="H395" s="12" t="str">
        <f>IF(OR(D395="",E395=""),"",IF(IFERROR(INDEX(Stats!$D:$D,MATCH($C395,Stats!$A:$A,0)),FALSE),ROUND(D395+(E395-D395)*(1+G395)*((1-1)/(MaxLevel-1))^(2^F395),0),D395+(E395-D395)*(1+G395)*((1-1)/(MaxLevel-1))^(2^F395)))</f>
        <v/>
      </c>
      <c r="I395" s="12" t="str">
        <f>IF(OR(D395="",E395=""),"",IF(IFERROR(INDEX(Stats!$D:$D,MATCH($C395,Stats!$A:$A,0)),FALSE),ROUND(D395+(E395-D395)*(1+G395)*((2-1)/(MaxLevel-1))^(2^F395),0),D395+(E395-D395)*(1+G395)*((2-1)/(MaxLevel-1))^(2^F395)))</f>
        <v/>
      </c>
      <c r="J395" s="12" t="str">
        <f>IF(OR(D395="",E395=""),"",IF(IFERROR(INDEX(Stats!$D:$D,MATCH($C395,Stats!$A:$A,0)),FALSE),ROUND(D395+(E395-D395)*(1+G395)*((3-1)/(MaxLevel-1))^(2^F395),0),D395+(E395-D395)*(1+G395)*((3-1)/(MaxLevel-1))^(2^F395)))</f>
        <v/>
      </c>
      <c r="K395" s="12" t="str">
        <f>IF(OR(D395="",E395=""),"",IF(IFERROR(INDEX(Stats!$D:$D,MATCH($C395,Stats!$A:$A,0)),FALSE),ROUND(D395+(E395-D395)*(1+G395)*((4-1)/(MaxLevel-1))^(2^F395),0),D395+(E395-D395)*(1+G395)*((4-1)/(MaxLevel-1))^(2^F395)))</f>
        <v/>
      </c>
      <c r="L395" s="12" t="str">
        <f>IF(OR(D395="",E395=""),"",IF(IFERROR(INDEX(Stats!$D:$D,MATCH($C395,Stats!$A:$A,0)),FALSE),ROUND(D395+(E395-D395)*(1+G395)*((5-1)/(MaxLevel-1))^(2^F395),0),D395+(E395-D395)*(1+G395)*((5-1)/(MaxLevel-1))^(2^F395)))</f>
        <v/>
      </c>
      <c r="M395" s="12" t="str">
        <f>IF(OR(D395="",E395=""),"",IF(IFERROR(INDEX(Stats!$D:$D,MATCH($C395,Stats!$A:$A,0)),FALSE),ROUND(D395+(E395-D395)*(1+G395)*((6-1)/(MaxLevel-1))^(2^F395),0),D395+(E395-D395)*(1+G395)*((6-1)/(MaxLevel-1))^(2^F395)))</f>
        <v/>
      </c>
      <c r="N395" s="12" t="str">
        <f>IF(OR(D395="",E395=""),"",IF(IFERROR(INDEX(Stats!$D:$D,MATCH($C395,Stats!$A:$A,0)),FALSE),ROUND(D395+(E395-D395)*(1+G395)*((7-1)/(MaxLevel-1))^(2^F395),0),D395+(E395-D395)*(1+G395)*((7-1)/(MaxLevel-1))^(2^F395)))</f>
        <v/>
      </c>
      <c r="O395" s="12" t="str">
        <f>IF(OR(D395="",E395=""),"",IF(IFERROR(INDEX(Stats!$D:$D,MATCH($C395,Stats!$A:$A,0)),FALSE),ROUND(D395+(E395-D395)*(1+G395)*((8-1)/(MaxLevel-1))^(2^F395),0),D395+(E395-D395)*(1+G395)*((8-1)/(MaxLevel-1))^(2^F395)))</f>
        <v/>
      </c>
      <c r="P395" s="12" t="str">
        <f>IF(OR(D395="",E395=""),"",IF(IFERROR(INDEX(Stats!$D:$D,MATCH($C395,Stats!$A:$A,0)),FALSE),ROUND(D395+(E395-D395)*(1+G395)*((9-1)/(MaxLevel-1))^(2^F395),0),D395+(E395-D395)*(1+G395)*((9-1)/(MaxLevel-1))^(2^F395)))</f>
        <v/>
      </c>
      <c r="Q395" s="12" t="str">
        <f>IF(OR(D395="",E395=""),"",IF(IFERROR(INDEX(Stats!$D:$D,MATCH($C395,Stats!$A:$A,0)),FALSE),ROUND(D395+(E395-D395)*(1+G395)*((10-1)/(MaxLevel-1))^(2^F395),0),D395+(E395-D395)*(1+G395)*((10-1)/(MaxLevel-1))^(2^F395)))</f>
        <v/>
      </c>
    </row>
    <row r="396" spans="1:17" x14ac:dyDescent="0.25">
      <c r="A396" s="4" t="s">
        <v>185</v>
      </c>
      <c r="B396" s="19" t="s">
        <v>235</v>
      </c>
      <c r="C396" s="4" t="s">
        <v>52</v>
      </c>
      <c r="D396" s="5"/>
      <c r="E396" s="5"/>
      <c r="F396" s="5"/>
      <c r="G396" s="5"/>
      <c r="H396" s="12" t="str">
        <f>IF(OR(D396="",E396=""),"",IF(IFERROR(INDEX(Stats!$D:$D,MATCH($C396,Stats!$A:$A,0)),FALSE),ROUND(D396+(E396-D396)*(1+G396)*((1-1)/(MaxLevel-1))^(2^F396),0),D396+(E396-D396)*(1+G396)*((1-1)/(MaxLevel-1))^(2^F396)))</f>
        <v/>
      </c>
      <c r="I396" s="12" t="str">
        <f>IF(OR(D396="",E396=""),"",IF(IFERROR(INDEX(Stats!$D:$D,MATCH($C396,Stats!$A:$A,0)),FALSE),ROUND(D396+(E396-D396)*(1+G396)*((2-1)/(MaxLevel-1))^(2^F396),0),D396+(E396-D396)*(1+G396)*((2-1)/(MaxLevel-1))^(2^F396)))</f>
        <v/>
      </c>
      <c r="J396" s="12" t="str">
        <f>IF(OR(D396="",E396=""),"",IF(IFERROR(INDEX(Stats!$D:$D,MATCH($C396,Stats!$A:$A,0)),FALSE),ROUND(D396+(E396-D396)*(1+G396)*((3-1)/(MaxLevel-1))^(2^F396),0),D396+(E396-D396)*(1+G396)*((3-1)/(MaxLevel-1))^(2^F396)))</f>
        <v/>
      </c>
      <c r="K396" s="12" t="str">
        <f>IF(OR(D396="",E396=""),"",IF(IFERROR(INDEX(Stats!$D:$D,MATCH($C396,Stats!$A:$A,0)),FALSE),ROUND(D396+(E396-D396)*(1+G396)*((4-1)/(MaxLevel-1))^(2^F396),0),D396+(E396-D396)*(1+G396)*((4-1)/(MaxLevel-1))^(2^F396)))</f>
        <v/>
      </c>
      <c r="L396" s="12" t="str">
        <f>IF(OR(D396="",E396=""),"",IF(IFERROR(INDEX(Stats!$D:$D,MATCH($C396,Stats!$A:$A,0)),FALSE),ROUND(D396+(E396-D396)*(1+G396)*((5-1)/(MaxLevel-1))^(2^F396),0),D396+(E396-D396)*(1+G396)*((5-1)/(MaxLevel-1))^(2^F396)))</f>
        <v/>
      </c>
      <c r="M396" s="12" t="str">
        <f>IF(OR(D396="",E396=""),"",IF(IFERROR(INDEX(Stats!$D:$D,MATCH($C396,Stats!$A:$A,0)),FALSE),ROUND(D396+(E396-D396)*(1+G396)*((6-1)/(MaxLevel-1))^(2^F396),0),D396+(E396-D396)*(1+G396)*((6-1)/(MaxLevel-1))^(2^F396)))</f>
        <v/>
      </c>
      <c r="N396" s="12" t="str">
        <f>IF(OR(D396="",E396=""),"",IF(IFERROR(INDEX(Stats!$D:$D,MATCH($C396,Stats!$A:$A,0)),FALSE),ROUND(D396+(E396-D396)*(1+G396)*((7-1)/(MaxLevel-1))^(2^F396),0),D396+(E396-D396)*(1+G396)*((7-1)/(MaxLevel-1))^(2^F396)))</f>
        <v/>
      </c>
      <c r="O396" s="12" t="str">
        <f>IF(OR(D396="",E396=""),"",IF(IFERROR(INDEX(Stats!$D:$D,MATCH($C396,Stats!$A:$A,0)),FALSE),ROUND(D396+(E396-D396)*(1+G396)*((8-1)/(MaxLevel-1))^(2^F396),0),D396+(E396-D396)*(1+G396)*((8-1)/(MaxLevel-1))^(2^F396)))</f>
        <v/>
      </c>
      <c r="P396" s="12" t="str">
        <f>IF(OR(D396="",E396=""),"",IF(IFERROR(INDEX(Stats!$D:$D,MATCH($C396,Stats!$A:$A,0)),FALSE),ROUND(D396+(E396-D396)*(1+G396)*((9-1)/(MaxLevel-1))^(2^F396),0),D396+(E396-D396)*(1+G396)*((9-1)/(MaxLevel-1))^(2^F396)))</f>
        <v/>
      </c>
      <c r="Q396" s="12" t="str">
        <f>IF(OR(D396="",E396=""),"",IF(IFERROR(INDEX(Stats!$D:$D,MATCH($C396,Stats!$A:$A,0)),FALSE),ROUND(D396+(E396-D396)*(1+G396)*((10-1)/(MaxLevel-1))^(2^F396),0),D396+(E396-D396)*(1+G396)*((10-1)/(MaxLevel-1))^(2^F396)))</f>
        <v/>
      </c>
    </row>
    <row r="397" spans="1:17" x14ac:dyDescent="0.25">
      <c r="A397" s="4" t="s">
        <v>185</v>
      </c>
      <c r="B397" s="19" t="s">
        <v>235</v>
      </c>
      <c r="C397" s="4" t="s">
        <v>54</v>
      </c>
      <c r="D397" s="5"/>
      <c r="E397" s="5"/>
      <c r="F397" s="5"/>
      <c r="G397" s="5"/>
      <c r="H397" s="12" t="str">
        <f>IF(OR(D397="",E397=""),"",IF(IFERROR(INDEX(Stats!$D:$D,MATCH($C397,Stats!$A:$A,0)),FALSE),ROUND(D397+(E397-D397)*(1+G397)*((1-1)/(MaxLevel-1))^(2^F397),0),D397+(E397-D397)*(1+G397)*((1-1)/(MaxLevel-1))^(2^F397)))</f>
        <v/>
      </c>
      <c r="I397" s="12" t="str">
        <f>IF(OR(D397="",E397=""),"",IF(IFERROR(INDEX(Stats!$D:$D,MATCH($C397,Stats!$A:$A,0)),FALSE),ROUND(D397+(E397-D397)*(1+G397)*((2-1)/(MaxLevel-1))^(2^F397),0),D397+(E397-D397)*(1+G397)*((2-1)/(MaxLevel-1))^(2^F397)))</f>
        <v/>
      </c>
      <c r="J397" s="12" t="str">
        <f>IF(OR(D397="",E397=""),"",IF(IFERROR(INDEX(Stats!$D:$D,MATCH($C397,Stats!$A:$A,0)),FALSE),ROUND(D397+(E397-D397)*(1+G397)*((3-1)/(MaxLevel-1))^(2^F397),0),D397+(E397-D397)*(1+G397)*((3-1)/(MaxLevel-1))^(2^F397)))</f>
        <v/>
      </c>
      <c r="K397" s="12" t="str">
        <f>IF(OR(D397="",E397=""),"",IF(IFERROR(INDEX(Stats!$D:$D,MATCH($C397,Stats!$A:$A,0)),FALSE),ROUND(D397+(E397-D397)*(1+G397)*((4-1)/(MaxLevel-1))^(2^F397),0),D397+(E397-D397)*(1+G397)*((4-1)/(MaxLevel-1))^(2^F397)))</f>
        <v/>
      </c>
      <c r="L397" s="12" t="str">
        <f>IF(OR(D397="",E397=""),"",IF(IFERROR(INDEX(Stats!$D:$D,MATCH($C397,Stats!$A:$A,0)),FALSE),ROUND(D397+(E397-D397)*(1+G397)*((5-1)/(MaxLevel-1))^(2^F397),0),D397+(E397-D397)*(1+G397)*((5-1)/(MaxLevel-1))^(2^F397)))</f>
        <v/>
      </c>
      <c r="M397" s="12" t="str">
        <f>IF(OR(D397="",E397=""),"",IF(IFERROR(INDEX(Stats!$D:$D,MATCH($C397,Stats!$A:$A,0)),FALSE),ROUND(D397+(E397-D397)*(1+G397)*((6-1)/(MaxLevel-1))^(2^F397),0),D397+(E397-D397)*(1+G397)*((6-1)/(MaxLevel-1))^(2^F397)))</f>
        <v/>
      </c>
      <c r="N397" s="12" t="str">
        <f>IF(OR(D397="",E397=""),"",IF(IFERROR(INDEX(Stats!$D:$D,MATCH($C397,Stats!$A:$A,0)),FALSE),ROUND(D397+(E397-D397)*(1+G397)*((7-1)/(MaxLevel-1))^(2^F397),0),D397+(E397-D397)*(1+G397)*((7-1)/(MaxLevel-1))^(2^F397)))</f>
        <v/>
      </c>
      <c r="O397" s="12" t="str">
        <f>IF(OR(D397="",E397=""),"",IF(IFERROR(INDEX(Stats!$D:$D,MATCH($C397,Stats!$A:$A,0)),FALSE),ROUND(D397+(E397-D397)*(1+G397)*((8-1)/(MaxLevel-1))^(2^F397),0),D397+(E397-D397)*(1+G397)*((8-1)/(MaxLevel-1))^(2^F397)))</f>
        <v/>
      </c>
      <c r="P397" s="12" t="str">
        <f>IF(OR(D397="",E397=""),"",IF(IFERROR(INDEX(Stats!$D:$D,MATCH($C397,Stats!$A:$A,0)),FALSE),ROUND(D397+(E397-D397)*(1+G397)*((9-1)/(MaxLevel-1))^(2^F397),0),D397+(E397-D397)*(1+G397)*((9-1)/(MaxLevel-1))^(2^F397)))</f>
        <v/>
      </c>
      <c r="Q397" s="12" t="str">
        <f>IF(OR(D397="",E397=""),"",IF(IFERROR(INDEX(Stats!$D:$D,MATCH($C397,Stats!$A:$A,0)),FALSE),ROUND(D397+(E397-D397)*(1+G397)*((10-1)/(MaxLevel-1))^(2^F397),0),D397+(E397-D397)*(1+G397)*((10-1)/(MaxLevel-1))^(2^F397)))</f>
        <v/>
      </c>
    </row>
    <row r="398" spans="1:17" x14ac:dyDescent="0.25">
      <c r="A398" s="4" t="s">
        <v>185</v>
      </c>
      <c r="B398" s="19" t="s">
        <v>235</v>
      </c>
      <c r="C398" s="4" t="s">
        <v>56</v>
      </c>
      <c r="D398" s="5"/>
      <c r="E398" s="5"/>
      <c r="F398" s="5"/>
      <c r="G398" s="5"/>
      <c r="H398" s="12" t="str">
        <f>IF(OR(D398="",E398=""),"",IF(IFERROR(INDEX(Stats!$D:$D,MATCH($C398,Stats!$A:$A,0)),FALSE),ROUND(D398+(E398-D398)*(1+G398)*((1-1)/(MaxLevel-1))^(2^F398),0),D398+(E398-D398)*(1+G398)*((1-1)/(MaxLevel-1))^(2^F398)))</f>
        <v/>
      </c>
      <c r="I398" s="12" t="str">
        <f>IF(OR(D398="",E398=""),"",IF(IFERROR(INDEX(Stats!$D:$D,MATCH($C398,Stats!$A:$A,0)),FALSE),ROUND(D398+(E398-D398)*(1+G398)*((2-1)/(MaxLevel-1))^(2^F398),0),D398+(E398-D398)*(1+G398)*((2-1)/(MaxLevel-1))^(2^F398)))</f>
        <v/>
      </c>
      <c r="J398" s="12" t="str">
        <f>IF(OR(D398="",E398=""),"",IF(IFERROR(INDEX(Stats!$D:$D,MATCH($C398,Stats!$A:$A,0)),FALSE),ROUND(D398+(E398-D398)*(1+G398)*((3-1)/(MaxLevel-1))^(2^F398),0),D398+(E398-D398)*(1+G398)*((3-1)/(MaxLevel-1))^(2^F398)))</f>
        <v/>
      </c>
      <c r="K398" s="12" t="str">
        <f>IF(OR(D398="",E398=""),"",IF(IFERROR(INDEX(Stats!$D:$D,MATCH($C398,Stats!$A:$A,0)),FALSE),ROUND(D398+(E398-D398)*(1+G398)*((4-1)/(MaxLevel-1))^(2^F398),0),D398+(E398-D398)*(1+G398)*((4-1)/(MaxLevel-1))^(2^F398)))</f>
        <v/>
      </c>
      <c r="L398" s="12" t="str">
        <f>IF(OR(D398="",E398=""),"",IF(IFERROR(INDEX(Stats!$D:$D,MATCH($C398,Stats!$A:$A,0)),FALSE),ROUND(D398+(E398-D398)*(1+G398)*((5-1)/(MaxLevel-1))^(2^F398),0),D398+(E398-D398)*(1+G398)*((5-1)/(MaxLevel-1))^(2^F398)))</f>
        <v/>
      </c>
      <c r="M398" s="12" t="str">
        <f>IF(OR(D398="",E398=""),"",IF(IFERROR(INDEX(Stats!$D:$D,MATCH($C398,Stats!$A:$A,0)),FALSE),ROUND(D398+(E398-D398)*(1+G398)*((6-1)/(MaxLevel-1))^(2^F398),0),D398+(E398-D398)*(1+G398)*((6-1)/(MaxLevel-1))^(2^F398)))</f>
        <v/>
      </c>
      <c r="N398" s="12" t="str">
        <f>IF(OR(D398="",E398=""),"",IF(IFERROR(INDEX(Stats!$D:$D,MATCH($C398,Stats!$A:$A,0)),FALSE),ROUND(D398+(E398-D398)*(1+G398)*((7-1)/(MaxLevel-1))^(2^F398),0),D398+(E398-D398)*(1+G398)*((7-1)/(MaxLevel-1))^(2^F398)))</f>
        <v/>
      </c>
      <c r="O398" s="12" t="str">
        <f>IF(OR(D398="",E398=""),"",IF(IFERROR(INDEX(Stats!$D:$D,MATCH($C398,Stats!$A:$A,0)),FALSE),ROUND(D398+(E398-D398)*(1+G398)*((8-1)/(MaxLevel-1))^(2^F398),0),D398+(E398-D398)*(1+G398)*((8-1)/(MaxLevel-1))^(2^F398)))</f>
        <v/>
      </c>
      <c r="P398" s="12" t="str">
        <f>IF(OR(D398="",E398=""),"",IF(IFERROR(INDEX(Stats!$D:$D,MATCH($C398,Stats!$A:$A,0)),FALSE),ROUND(D398+(E398-D398)*(1+G398)*((9-1)/(MaxLevel-1))^(2^F398),0),D398+(E398-D398)*(1+G398)*((9-1)/(MaxLevel-1))^(2^F398)))</f>
        <v/>
      </c>
      <c r="Q398" s="12" t="str">
        <f>IF(OR(D398="",E398=""),"",IF(IFERROR(INDEX(Stats!$D:$D,MATCH($C398,Stats!$A:$A,0)),FALSE),ROUND(D398+(E398-D398)*(1+G398)*((10-1)/(MaxLevel-1))^(2^F398),0),D398+(E398-D398)*(1+G398)*((10-1)/(MaxLevel-1))^(2^F398)))</f>
        <v/>
      </c>
    </row>
    <row r="399" spans="1:17" x14ac:dyDescent="0.25">
      <c r="A399" s="4" t="s">
        <v>185</v>
      </c>
      <c r="B399" s="19" t="s">
        <v>235</v>
      </c>
      <c r="C399" s="4" t="s">
        <v>58</v>
      </c>
      <c r="D399" s="5"/>
      <c r="E399" s="5"/>
      <c r="F399" s="5"/>
      <c r="G399" s="5"/>
      <c r="H399" s="12" t="str">
        <f>IF(OR(D399="",E399=""),"",IF(IFERROR(INDEX(Stats!$D:$D,MATCH($C399,Stats!$A:$A,0)),FALSE),ROUND(D399+(E399-D399)*(1+G399)*((1-1)/(MaxLevel-1))^(2^F399),0),D399+(E399-D399)*(1+G399)*((1-1)/(MaxLevel-1))^(2^F399)))</f>
        <v/>
      </c>
      <c r="I399" s="12" t="str">
        <f>IF(OR(D399="",E399=""),"",IF(IFERROR(INDEX(Stats!$D:$D,MATCH($C399,Stats!$A:$A,0)),FALSE),ROUND(D399+(E399-D399)*(1+G399)*((2-1)/(MaxLevel-1))^(2^F399),0),D399+(E399-D399)*(1+G399)*((2-1)/(MaxLevel-1))^(2^F399)))</f>
        <v/>
      </c>
      <c r="J399" s="12" t="str">
        <f>IF(OR(D399="",E399=""),"",IF(IFERROR(INDEX(Stats!$D:$D,MATCH($C399,Stats!$A:$A,0)),FALSE),ROUND(D399+(E399-D399)*(1+G399)*((3-1)/(MaxLevel-1))^(2^F399),0),D399+(E399-D399)*(1+G399)*((3-1)/(MaxLevel-1))^(2^F399)))</f>
        <v/>
      </c>
      <c r="K399" s="12" t="str">
        <f>IF(OR(D399="",E399=""),"",IF(IFERROR(INDEX(Stats!$D:$D,MATCH($C399,Stats!$A:$A,0)),FALSE),ROUND(D399+(E399-D399)*(1+G399)*((4-1)/(MaxLevel-1))^(2^F399),0),D399+(E399-D399)*(1+G399)*((4-1)/(MaxLevel-1))^(2^F399)))</f>
        <v/>
      </c>
      <c r="L399" s="12" t="str">
        <f>IF(OR(D399="",E399=""),"",IF(IFERROR(INDEX(Stats!$D:$D,MATCH($C399,Stats!$A:$A,0)),FALSE),ROUND(D399+(E399-D399)*(1+G399)*((5-1)/(MaxLevel-1))^(2^F399),0),D399+(E399-D399)*(1+G399)*((5-1)/(MaxLevel-1))^(2^F399)))</f>
        <v/>
      </c>
      <c r="M399" s="12" t="str">
        <f>IF(OR(D399="",E399=""),"",IF(IFERROR(INDEX(Stats!$D:$D,MATCH($C399,Stats!$A:$A,0)),FALSE),ROUND(D399+(E399-D399)*(1+G399)*((6-1)/(MaxLevel-1))^(2^F399),0),D399+(E399-D399)*(1+G399)*((6-1)/(MaxLevel-1))^(2^F399)))</f>
        <v/>
      </c>
      <c r="N399" s="12" t="str">
        <f>IF(OR(D399="",E399=""),"",IF(IFERROR(INDEX(Stats!$D:$D,MATCH($C399,Stats!$A:$A,0)),FALSE),ROUND(D399+(E399-D399)*(1+G399)*((7-1)/(MaxLevel-1))^(2^F399),0),D399+(E399-D399)*(1+G399)*((7-1)/(MaxLevel-1))^(2^F399)))</f>
        <v/>
      </c>
      <c r="O399" s="12" t="str">
        <f>IF(OR(D399="",E399=""),"",IF(IFERROR(INDEX(Stats!$D:$D,MATCH($C399,Stats!$A:$A,0)),FALSE),ROUND(D399+(E399-D399)*(1+G399)*((8-1)/(MaxLevel-1))^(2^F399),0),D399+(E399-D399)*(1+G399)*((8-1)/(MaxLevel-1))^(2^F399)))</f>
        <v/>
      </c>
      <c r="P399" s="12" t="str">
        <f>IF(OR(D399="",E399=""),"",IF(IFERROR(INDEX(Stats!$D:$D,MATCH($C399,Stats!$A:$A,0)),FALSE),ROUND(D399+(E399-D399)*(1+G399)*((9-1)/(MaxLevel-1))^(2^F399),0),D399+(E399-D399)*(1+G399)*((9-1)/(MaxLevel-1))^(2^F399)))</f>
        <v/>
      </c>
      <c r="Q399" s="12" t="str">
        <f>IF(OR(D399="",E399=""),"",IF(IFERROR(INDEX(Stats!$D:$D,MATCH($C399,Stats!$A:$A,0)),FALSE),ROUND(D399+(E399-D399)*(1+G399)*((10-1)/(MaxLevel-1))^(2^F399),0),D399+(E399-D399)*(1+G399)*((10-1)/(MaxLevel-1))^(2^F399)))</f>
        <v/>
      </c>
    </row>
    <row r="400" spans="1:17" x14ac:dyDescent="0.25">
      <c r="A400" s="4" t="s">
        <v>185</v>
      </c>
      <c r="B400" s="19" t="s">
        <v>235</v>
      </c>
      <c r="C400" s="4" t="s">
        <v>60</v>
      </c>
      <c r="D400" s="5"/>
      <c r="E400" s="5"/>
      <c r="F400" s="5"/>
      <c r="G400" s="5"/>
      <c r="H400" s="12" t="str">
        <f>IF(OR(D400="",E400=""),"",IF(IFERROR(INDEX(Stats!$D:$D,MATCH($C400,Stats!$A:$A,0)),FALSE),ROUND(D400+(E400-D400)*(1+G400)*((1-1)/(MaxLevel-1))^(2^F400),0),D400+(E400-D400)*(1+G400)*((1-1)/(MaxLevel-1))^(2^F400)))</f>
        <v/>
      </c>
      <c r="I400" s="12" t="str">
        <f>IF(OR(D400="",E400=""),"",IF(IFERROR(INDEX(Stats!$D:$D,MATCH($C400,Stats!$A:$A,0)),FALSE),ROUND(D400+(E400-D400)*(1+G400)*((2-1)/(MaxLevel-1))^(2^F400),0),D400+(E400-D400)*(1+G400)*((2-1)/(MaxLevel-1))^(2^F400)))</f>
        <v/>
      </c>
      <c r="J400" s="12" t="str">
        <f>IF(OR(D400="",E400=""),"",IF(IFERROR(INDEX(Stats!$D:$D,MATCH($C400,Stats!$A:$A,0)),FALSE),ROUND(D400+(E400-D400)*(1+G400)*((3-1)/(MaxLevel-1))^(2^F400),0),D400+(E400-D400)*(1+G400)*((3-1)/(MaxLevel-1))^(2^F400)))</f>
        <v/>
      </c>
      <c r="K400" s="12" t="str">
        <f>IF(OR(D400="",E400=""),"",IF(IFERROR(INDEX(Stats!$D:$D,MATCH($C400,Stats!$A:$A,0)),FALSE),ROUND(D400+(E400-D400)*(1+G400)*((4-1)/(MaxLevel-1))^(2^F400),0),D400+(E400-D400)*(1+G400)*((4-1)/(MaxLevel-1))^(2^F400)))</f>
        <v/>
      </c>
      <c r="L400" s="12" t="str">
        <f>IF(OR(D400="",E400=""),"",IF(IFERROR(INDEX(Stats!$D:$D,MATCH($C400,Stats!$A:$A,0)),FALSE),ROUND(D400+(E400-D400)*(1+G400)*((5-1)/(MaxLevel-1))^(2^F400),0),D400+(E400-D400)*(1+G400)*((5-1)/(MaxLevel-1))^(2^F400)))</f>
        <v/>
      </c>
      <c r="M400" s="12" t="str">
        <f>IF(OR(D400="",E400=""),"",IF(IFERROR(INDEX(Stats!$D:$D,MATCH($C400,Stats!$A:$A,0)),FALSE),ROUND(D400+(E400-D400)*(1+G400)*((6-1)/(MaxLevel-1))^(2^F400),0),D400+(E400-D400)*(1+G400)*((6-1)/(MaxLevel-1))^(2^F400)))</f>
        <v/>
      </c>
      <c r="N400" s="12" t="str">
        <f>IF(OR(D400="",E400=""),"",IF(IFERROR(INDEX(Stats!$D:$D,MATCH($C400,Stats!$A:$A,0)),FALSE),ROUND(D400+(E400-D400)*(1+G400)*((7-1)/(MaxLevel-1))^(2^F400),0),D400+(E400-D400)*(1+G400)*((7-1)/(MaxLevel-1))^(2^F400)))</f>
        <v/>
      </c>
      <c r="O400" s="12" t="str">
        <f>IF(OR(D400="",E400=""),"",IF(IFERROR(INDEX(Stats!$D:$D,MATCH($C400,Stats!$A:$A,0)),FALSE),ROUND(D400+(E400-D400)*(1+G400)*((8-1)/(MaxLevel-1))^(2^F400),0),D400+(E400-D400)*(1+G400)*((8-1)/(MaxLevel-1))^(2^F400)))</f>
        <v/>
      </c>
      <c r="P400" s="12" t="str">
        <f>IF(OR(D400="",E400=""),"",IF(IFERROR(INDEX(Stats!$D:$D,MATCH($C400,Stats!$A:$A,0)),FALSE),ROUND(D400+(E400-D400)*(1+G400)*((9-1)/(MaxLevel-1))^(2^F400),0),D400+(E400-D400)*(1+G400)*((9-1)/(MaxLevel-1))^(2^F400)))</f>
        <v/>
      </c>
      <c r="Q400" s="12" t="str">
        <f>IF(OR(D400="",E400=""),"",IF(IFERROR(INDEX(Stats!$D:$D,MATCH($C400,Stats!$A:$A,0)),FALSE),ROUND(D400+(E400-D400)*(1+G400)*((10-1)/(MaxLevel-1))^(2^F400),0),D400+(E400-D400)*(1+G400)*((10-1)/(MaxLevel-1))^(2^F400)))</f>
        <v/>
      </c>
    </row>
    <row r="401" spans="1:17" x14ac:dyDescent="0.25">
      <c r="A401" s="4" t="s">
        <v>185</v>
      </c>
      <c r="B401" s="19" t="s">
        <v>236</v>
      </c>
      <c r="C401" s="4" t="s">
        <v>24</v>
      </c>
      <c r="D401" s="5">
        <v>0</v>
      </c>
      <c r="E401" s="5">
        <v>5000</v>
      </c>
      <c r="F401" s="5">
        <v>1</v>
      </c>
      <c r="G401" s="5">
        <v>0</v>
      </c>
      <c r="H401" s="12">
        <f>IF(OR(D401="",E401=""),"",IF(IFERROR(INDEX(Stats!$D:$D,MATCH($C401,Stats!$A:$A,0)),FALSE),ROUND(D401+(E401-D401)*(1+G401)*((1-1)/(MaxLevel-1))^(2^F401),0),D401+(E401-D401)*(1+G401)*((1-1)/(MaxLevel-1))^(2^F401)))</f>
        <v>0</v>
      </c>
      <c r="I401" s="12">
        <f>IF(OR(D401="",E401=""),"",IF(IFERROR(INDEX(Stats!$D:$D,MATCH($C401,Stats!$A:$A,0)),FALSE),ROUND(D401+(E401-D401)*(1+G401)*((2-1)/(MaxLevel-1))^(2^F401),0),D401+(E401-D401)*(1+G401)*((2-1)/(MaxLevel-1))^(2^F401)))</f>
        <v>62</v>
      </c>
      <c r="J401" s="12">
        <f>IF(OR(D401="",E401=""),"",IF(IFERROR(INDEX(Stats!$D:$D,MATCH($C401,Stats!$A:$A,0)),FALSE),ROUND(D401+(E401-D401)*(1+G401)*((3-1)/(MaxLevel-1))^(2^F401),0),D401+(E401-D401)*(1+G401)*((3-1)/(MaxLevel-1))^(2^F401)))</f>
        <v>247</v>
      </c>
      <c r="K401" s="12">
        <f>IF(OR(D401="",E401=""),"",IF(IFERROR(INDEX(Stats!$D:$D,MATCH($C401,Stats!$A:$A,0)),FALSE),ROUND(D401+(E401-D401)*(1+G401)*((4-1)/(MaxLevel-1))^(2^F401),0),D401+(E401-D401)*(1+G401)*((4-1)/(MaxLevel-1))^(2^F401)))</f>
        <v>556</v>
      </c>
      <c r="L401" s="12">
        <f>IF(OR(D401="",E401=""),"",IF(IFERROR(INDEX(Stats!$D:$D,MATCH($C401,Stats!$A:$A,0)),FALSE),ROUND(D401+(E401-D401)*(1+G401)*((5-1)/(MaxLevel-1))^(2^F401),0),D401+(E401-D401)*(1+G401)*((5-1)/(MaxLevel-1))^(2^F401)))</f>
        <v>988</v>
      </c>
      <c r="M401" s="12">
        <f>IF(OR(D401="",E401=""),"",IF(IFERROR(INDEX(Stats!$D:$D,MATCH($C401,Stats!$A:$A,0)),FALSE),ROUND(D401+(E401-D401)*(1+G401)*((6-1)/(MaxLevel-1))^(2^F401),0),D401+(E401-D401)*(1+G401)*((6-1)/(MaxLevel-1))^(2^F401)))</f>
        <v>1543</v>
      </c>
      <c r="N401" s="12">
        <f>IF(OR(D401="",E401=""),"",IF(IFERROR(INDEX(Stats!$D:$D,MATCH($C401,Stats!$A:$A,0)),FALSE),ROUND(D401+(E401-D401)*(1+G401)*((7-1)/(MaxLevel-1))^(2^F401),0),D401+(E401-D401)*(1+G401)*((7-1)/(MaxLevel-1))^(2^F401)))</f>
        <v>2222</v>
      </c>
      <c r="O401" s="12">
        <f>IF(OR(D401="",E401=""),"",IF(IFERROR(INDEX(Stats!$D:$D,MATCH($C401,Stats!$A:$A,0)),FALSE),ROUND(D401+(E401-D401)*(1+G401)*((8-1)/(MaxLevel-1))^(2^F401),0),D401+(E401-D401)*(1+G401)*((8-1)/(MaxLevel-1))^(2^F401)))</f>
        <v>3025</v>
      </c>
      <c r="P401" s="12">
        <f>IF(OR(D401="",E401=""),"",IF(IFERROR(INDEX(Stats!$D:$D,MATCH($C401,Stats!$A:$A,0)),FALSE),ROUND(D401+(E401-D401)*(1+G401)*((9-1)/(MaxLevel-1))^(2^F401),0),D401+(E401-D401)*(1+G401)*((9-1)/(MaxLevel-1))^(2^F401)))</f>
        <v>3951</v>
      </c>
      <c r="Q401" s="12">
        <f>IF(OR(D401="",E401=""),"",IF(IFERROR(INDEX(Stats!$D:$D,MATCH($C401,Stats!$A:$A,0)),FALSE),ROUND(D401+(E401-D401)*(1+G401)*((10-1)/(MaxLevel-1))^(2^F401),0),D401+(E401-D401)*(1+G401)*((10-1)/(MaxLevel-1))^(2^F401)))</f>
        <v>5000</v>
      </c>
    </row>
    <row r="402" spans="1:17" x14ac:dyDescent="0.25">
      <c r="A402" s="4" t="s">
        <v>185</v>
      </c>
      <c r="B402" s="19" t="s">
        <v>236</v>
      </c>
      <c r="C402" s="4" t="s">
        <v>26</v>
      </c>
      <c r="D402" s="5">
        <v>10</v>
      </c>
      <c r="E402" s="5">
        <v>80</v>
      </c>
      <c r="F402" s="5">
        <v>0</v>
      </c>
      <c r="G402" s="5">
        <v>0</v>
      </c>
      <c r="H402" s="12">
        <f>IF(OR(D402="",E402=""),"",IF(IFERROR(INDEX(Stats!$D:$D,MATCH($C402,Stats!$A:$A,0)),FALSE),ROUND(D402+(E402-D402)*(1+G402)*((1-1)/(MaxLevel-1))^(2^F402),0),D402+(E402-D402)*(1+G402)*((1-1)/(MaxLevel-1))^(2^F402)))</f>
        <v>10</v>
      </c>
      <c r="I402" s="12">
        <f>IF(OR(D402="",E402=""),"",IF(IFERROR(INDEX(Stats!$D:$D,MATCH($C402,Stats!$A:$A,0)),FALSE),ROUND(D402+(E402-D402)*(1+G402)*((2-1)/(MaxLevel-1))^(2^F402),0),D402+(E402-D402)*(1+G402)*((2-1)/(MaxLevel-1))^(2^F402)))</f>
        <v>18</v>
      </c>
      <c r="J402" s="12">
        <f>IF(OR(D402="",E402=""),"",IF(IFERROR(INDEX(Stats!$D:$D,MATCH($C402,Stats!$A:$A,0)),FALSE),ROUND(D402+(E402-D402)*(1+G402)*((3-1)/(MaxLevel-1))^(2^F402),0),D402+(E402-D402)*(1+G402)*((3-1)/(MaxLevel-1))^(2^F402)))</f>
        <v>26</v>
      </c>
      <c r="K402" s="12">
        <f>IF(OR(D402="",E402=""),"",IF(IFERROR(INDEX(Stats!$D:$D,MATCH($C402,Stats!$A:$A,0)),FALSE),ROUND(D402+(E402-D402)*(1+G402)*((4-1)/(MaxLevel-1))^(2^F402),0),D402+(E402-D402)*(1+G402)*((4-1)/(MaxLevel-1))^(2^F402)))</f>
        <v>33</v>
      </c>
      <c r="L402" s="12">
        <f>IF(OR(D402="",E402=""),"",IF(IFERROR(INDEX(Stats!$D:$D,MATCH($C402,Stats!$A:$A,0)),FALSE),ROUND(D402+(E402-D402)*(1+G402)*((5-1)/(MaxLevel-1))^(2^F402),0),D402+(E402-D402)*(1+G402)*((5-1)/(MaxLevel-1))^(2^F402)))</f>
        <v>41</v>
      </c>
      <c r="M402" s="12">
        <f>IF(OR(D402="",E402=""),"",IF(IFERROR(INDEX(Stats!$D:$D,MATCH($C402,Stats!$A:$A,0)),FALSE),ROUND(D402+(E402-D402)*(1+G402)*((6-1)/(MaxLevel-1))^(2^F402),0),D402+(E402-D402)*(1+G402)*((6-1)/(MaxLevel-1))^(2^F402)))</f>
        <v>49</v>
      </c>
      <c r="N402" s="12">
        <f>IF(OR(D402="",E402=""),"",IF(IFERROR(INDEX(Stats!$D:$D,MATCH($C402,Stats!$A:$A,0)),FALSE),ROUND(D402+(E402-D402)*(1+G402)*((7-1)/(MaxLevel-1))^(2^F402),0),D402+(E402-D402)*(1+G402)*((7-1)/(MaxLevel-1))^(2^F402)))</f>
        <v>57</v>
      </c>
      <c r="O402" s="12">
        <f>IF(OR(D402="",E402=""),"",IF(IFERROR(INDEX(Stats!$D:$D,MATCH($C402,Stats!$A:$A,0)),FALSE),ROUND(D402+(E402-D402)*(1+G402)*((8-1)/(MaxLevel-1))^(2^F402),0),D402+(E402-D402)*(1+G402)*((8-1)/(MaxLevel-1))^(2^F402)))</f>
        <v>64</v>
      </c>
      <c r="P402" s="12">
        <f>IF(OR(D402="",E402=""),"",IF(IFERROR(INDEX(Stats!$D:$D,MATCH($C402,Stats!$A:$A,0)),FALSE),ROUND(D402+(E402-D402)*(1+G402)*((9-1)/(MaxLevel-1))^(2^F402),0),D402+(E402-D402)*(1+G402)*((9-1)/(MaxLevel-1))^(2^F402)))</f>
        <v>72</v>
      </c>
      <c r="Q402" s="12">
        <f>IF(OR(D402="",E402=""),"",IF(IFERROR(INDEX(Stats!$D:$D,MATCH($C402,Stats!$A:$A,0)),FALSE),ROUND(D402+(E402-D402)*(1+G402)*((10-1)/(MaxLevel-1))^(2^F402),0),D402+(E402-D402)*(1+G402)*((10-1)/(MaxLevel-1))^(2^F402)))</f>
        <v>80</v>
      </c>
    </row>
    <row r="403" spans="1:17" x14ac:dyDescent="0.25">
      <c r="A403" s="4" t="s">
        <v>185</v>
      </c>
      <c r="B403" s="19" t="s">
        <v>236</v>
      </c>
      <c r="C403" s="4" t="s">
        <v>28</v>
      </c>
      <c r="D403" s="5">
        <v>80</v>
      </c>
      <c r="E403" s="5">
        <v>400</v>
      </c>
      <c r="F403" s="5">
        <v>-0.5</v>
      </c>
      <c r="G403" s="5">
        <v>0</v>
      </c>
      <c r="H403" s="12">
        <f>IF(OR(D403="",E403=""),"",IF(IFERROR(INDEX(Stats!$D:$D,MATCH($C403,Stats!$A:$A,0)),FALSE),ROUND(D403+(E403-D403)*(1+G403)*((1-1)/(MaxLevel-1))^(2^F403),0),D403+(E403-D403)*(1+G403)*((1-1)/(MaxLevel-1))^(2^F403)))</f>
        <v>80</v>
      </c>
      <c r="I403" s="12">
        <f>IF(OR(D403="",E403=""),"",IF(IFERROR(INDEX(Stats!$D:$D,MATCH($C403,Stats!$A:$A,0)),FALSE),ROUND(D403+(E403-D403)*(1+G403)*((2-1)/(MaxLevel-1))^(2^F403),0),D403+(E403-D403)*(1+G403)*((2-1)/(MaxLevel-1))^(2^F403)))</f>
        <v>148</v>
      </c>
      <c r="J403" s="12">
        <f>IF(OR(D403="",E403=""),"",IF(IFERROR(INDEX(Stats!$D:$D,MATCH($C403,Stats!$A:$A,0)),FALSE),ROUND(D403+(E403-D403)*(1+G403)*((3-1)/(MaxLevel-1))^(2^F403),0),D403+(E403-D403)*(1+G403)*((3-1)/(MaxLevel-1))^(2^F403)))</f>
        <v>190</v>
      </c>
      <c r="K403" s="12">
        <f>IF(OR(D403="",E403=""),"",IF(IFERROR(INDEX(Stats!$D:$D,MATCH($C403,Stats!$A:$A,0)),FALSE),ROUND(D403+(E403-D403)*(1+G403)*((4-1)/(MaxLevel-1))^(2^F403),0),D403+(E403-D403)*(1+G403)*((4-1)/(MaxLevel-1))^(2^F403)))</f>
        <v>227</v>
      </c>
      <c r="L403" s="12">
        <f>IF(OR(D403="",E403=""),"",IF(IFERROR(INDEX(Stats!$D:$D,MATCH($C403,Stats!$A:$A,0)),FALSE),ROUND(D403+(E403-D403)*(1+G403)*((5-1)/(MaxLevel-1))^(2^F403),0),D403+(E403-D403)*(1+G403)*((5-1)/(MaxLevel-1))^(2^F403)))</f>
        <v>260</v>
      </c>
      <c r="M403" s="12">
        <f>IF(OR(D403="",E403=""),"",IF(IFERROR(INDEX(Stats!$D:$D,MATCH($C403,Stats!$A:$A,0)),FALSE),ROUND(D403+(E403-D403)*(1+G403)*((6-1)/(MaxLevel-1))^(2^F403),0),D403+(E403-D403)*(1+G403)*((6-1)/(MaxLevel-1))^(2^F403)))</f>
        <v>291</v>
      </c>
      <c r="N403" s="12">
        <f>IF(OR(D403="",E403=""),"",IF(IFERROR(INDEX(Stats!$D:$D,MATCH($C403,Stats!$A:$A,0)),FALSE),ROUND(D403+(E403-D403)*(1+G403)*((7-1)/(MaxLevel-1))^(2^F403),0),D403+(E403-D403)*(1+G403)*((7-1)/(MaxLevel-1))^(2^F403)))</f>
        <v>320</v>
      </c>
      <c r="O403" s="12">
        <f>IF(OR(D403="",E403=""),"",IF(IFERROR(INDEX(Stats!$D:$D,MATCH($C403,Stats!$A:$A,0)),FALSE),ROUND(D403+(E403-D403)*(1+G403)*((8-1)/(MaxLevel-1))^(2^F403),0),D403+(E403-D403)*(1+G403)*((8-1)/(MaxLevel-1))^(2^F403)))</f>
        <v>348</v>
      </c>
      <c r="P403" s="12">
        <f>IF(OR(D403="",E403=""),"",IF(IFERROR(INDEX(Stats!$D:$D,MATCH($C403,Stats!$A:$A,0)),FALSE),ROUND(D403+(E403-D403)*(1+G403)*((9-1)/(MaxLevel-1))^(2^F403),0),D403+(E403-D403)*(1+G403)*((9-1)/(MaxLevel-1))^(2^F403)))</f>
        <v>374</v>
      </c>
      <c r="Q403" s="12">
        <f>IF(OR(D403="",E403=""),"",IF(IFERROR(INDEX(Stats!$D:$D,MATCH($C403,Stats!$A:$A,0)),FALSE),ROUND(D403+(E403-D403)*(1+G403)*((10-1)/(MaxLevel-1))^(2^F403),0),D403+(E403-D403)*(1+G403)*((10-1)/(MaxLevel-1))^(2^F403)))</f>
        <v>400</v>
      </c>
    </row>
    <row r="404" spans="1:17" x14ac:dyDescent="0.25">
      <c r="A404" s="4" t="s">
        <v>185</v>
      </c>
      <c r="B404" s="19" t="s">
        <v>236</v>
      </c>
      <c r="C404" s="4" t="s">
        <v>30</v>
      </c>
      <c r="D404" s="5"/>
      <c r="E404" s="5"/>
      <c r="F404" s="5"/>
      <c r="G404" s="5"/>
      <c r="H404" s="12" t="str">
        <f>IF(OR(D404="",E404=""),"",IF(IFERROR(INDEX(Stats!$D:$D,MATCH($C404,Stats!$A:$A,0)),FALSE),ROUND(D404+(E404-D404)*(1+G404)*((1-1)/(MaxLevel-1))^(2^F404),0),D404+(E404-D404)*(1+G404)*((1-1)/(MaxLevel-1))^(2^F404)))</f>
        <v/>
      </c>
      <c r="I404" s="12" t="str">
        <f>IF(OR(D404="",E404=""),"",IF(IFERROR(INDEX(Stats!$D:$D,MATCH($C404,Stats!$A:$A,0)),FALSE),ROUND(D404+(E404-D404)*(1+G404)*((2-1)/(MaxLevel-1))^(2^F404),0),D404+(E404-D404)*(1+G404)*((2-1)/(MaxLevel-1))^(2^F404)))</f>
        <v/>
      </c>
      <c r="J404" s="12" t="str">
        <f>IF(OR(D404="",E404=""),"",IF(IFERROR(INDEX(Stats!$D:$D,MATCH($C404,Stats!$A:$A,0)),FALSE),ROUND(D404+(E404-D404)*(1+G404)*((3-1)/(MaxLevel-1))^(2^F404),0),D404+(E404-D404)*(1+G404)*((3-1)/(MaxLevel-1))^(2^F404)))</f>
        <v/>
      </c>
      <c r="K404" s="12" t="str">
        <f>IF(OR(D404="",E404=""),"",IF(IFERROR(INDEX(Stats!$D:$D,MATCH($C404,Stats!$A:$A,0)),FALSE),ROUND(D404+(E404-D404)*(1+G404)*((4-1)/(MaxLevel-1))^(2^F404),0),D404+(E404-D404)*(1+G404)*((4-1)/(MaxLevel-1))^(2^F404)))</f>
        <v/>
      </c>
      <c r="L404" s="12" t="str">
        <f>IF(OR(D404="",E404=""),"",IF(IFERROR(INDEX(Stats!$D:$D,MATCH($C404,Stats!$A:$A,0)),FALSE),ROUND(D404+(E404-D404)*(1+G404)*((5-1)/(MaxLevel-1))^(2^F404),0),D404+(E404-D404)*(1+G404)*((5-1)/(MaxLevel-1))^(2^F404)))</f>
        <v/>
      </c>
      <c r="M404" s="12" t="str">
        <f>IF(OR(D404="",E404=""),"",IF(IFERROR(INDEX(Stats!$D:$D,MATCH($C404,Stats!$A:$A,0)),FALSE),ROUND(D404+(E404-D404)*(1+G404)*((6-1)/(MaxLevel-1))^(2^F404),0),D404+(E404-D404)*(1+G404)*((6-1)/(MaxLevel-1))^(2^F404)))</f>
        <v/>
      </c>
      <c r="N404" s="12" t="str">
        <f>IF(OR(D404="",E404=""),"",IF(IFERROR(INDEX(Stats!$D:$D,MATCH($C404,Stats!$A:$A,0)),FALSE),ROUND(D404+(E404-D404)*(1+G404)*((7-1)/(MaxLevel-1))^(2^F404),0),D404+(E404-D404)*(1+G404)*((7-1)/(MaxLevel-1))^(2^F404)))</f>
        <v/>
      </c>
      <c r="O404" s="12" t="str">
        <f>IF(OR(D404="",E404=""),"",IF(IFERROR(INDEX(Stats!$D:$D,MATCH($C404,Stats!$A:$A,0)),FALSE),ROUND(D404+(E404-D404)*(1+G404)*((8-1)/(MaxLevel-1))^(2^F404),0),D404+(E404-D404)*(1+G404)*((8-1)/(MaxLevel-1))^(2^F404)))</f>
        <v/>
      </c>
      <c r="P404" s="12" t="str">
        <f>IF(OR(D404="",E404=""),"",IF(IFERROR(INDEX(Stats!$D:$D,MATCH($C404,Stats!$A:$A,0)),FALSE),ROUND(D404+(E404-D404)*(1+G404)*((9-1)/(MaxLevel-1))^(2^F404),0),D404+(E404-D404)*(1+G404)*((9-1)/(MaxLevel-1))^(2^F404)))</f>
        <v/>
      </c>
      <c r="Q404" s="12" t="str">
        <f>IF(OR(D404="",E404=""),"",IF(IFERROR(INDEX(Stats!$D:$D,MATCH($C404,Stats!$A:$A,0)),FALSE),ROUND(D404+(E404-D404)*(1+G404)*((10-1)/(MaxLevel-1))^(2^F404),0),D404+(E404-D404)*(1+G404)*((10-1)/(MaxLevel-1))^(2^F404)))</f>
        <v/>
      </c>
    </row>
    <row r="405" spans="1:17" x14ac:dyDescent="0.25">
      <c r="A405" s="4" t="s">
        <v>185</v>
      </c>
      <c r="B405" s="19" t="s">
        <v>236</v>
      </c>
      <c r="C405" s="4" t="s">
        <v>32</v>
      </c>
      <c r="D405" s="5"/>
      <c r="E405" s="5"/>
      <c r="F405" s="5"/>
      <c r="G405" s="5"/>
      <c r="H405" s="12" t="str">
        <f>IF(OR(D405="",E405=""),"",IF(IFERROR(INDEX(Stats!$D:$D,MATCH($C405,Stats!$A:$A,0)),FALSE),ROUND(D405+(E405-D405)*(1+G405)*((1-1)/(MaxLevel-1))^(2^F405),0),D405+(E405-D405)*(1+G405)*((1-1)/(MaxLevel-1))^(2^F405)))</f>
        <v/>
      </c>
      <c r="I405" s="12" t="str">
        <f>IF(OR(D405="",E405=""),"",IF(IFERROR(INDEX(Stats!$D:$D,MATCH($C405,Stats!$A:$A,0)),FALSE),ROUND(D405+(E405-D405)*(1+G405)*((2-1)/(MaxLevel-1))^(2^F405),0),D405+(E405-D405)*(1+G405)*((2-1)/(MaxLevel-1))^(2^F405)))</f>
        <v/>
      </c>
      <c r="J405" s="12" t="str">
        <f>IF(OR(D405="",E405=""),"",IF(IFERROR(INDEX(Stats!$D:$D,MATCH($C405,Stats!$A:$A,0)),FALSE),ROUND(D405+(E405-D405)*(1+G405)*((3-1)/(MaxLevel-1))^(2^F405),0),D405+(E405-D405)*(1+G405)*((3-1)/(MaxLevel-1))^(2^F405)))</f>
        <v/>
      </c>
      <c r="K405" s="12" t="str">
        <f>IF(OR(D405="",E405=""),"",IF(IFERROR(INDEX(Stats!$D:$D,MATCH($C405,Stats!$A:$A,0)),FALSE),ROUND(D405+(E405-D405)*(1+G405)*((4-1)/(MaxLevel-1))^(2^F405),0),D405+(E405-D405)*(1+G405)*((4-1)/(MaxLevel-1))^(2^F405)))</f>
        <v/>
      </c>
      <c r="L405" s="12" t="str">
        <f>IF(OR(D405="",E405=""),"",IF(IFERROR(INDEX(Stats!$D:$D,MATCH($C405,Stats!$A:$A,0)),FALSE),ROUND(D405+(E405-D405)*(1+G405)*((5-1)/(MaxLevel-1))^(2^F405),0),D405+(E405-D405)*(1+G405)*((5-1)/(MaxLevel-1))^(2^F405)))</f>
        <v/>
      </c>
      <c r="M405" s="12" t="str">
        <f>IF(OR(D405="",E405=""),"",IF(IFERROR(INDEX(Stats!$D:$D,MATCH($C405,Stats!$A:$A,0)),FALSE),ROUND(D405+(E405-D405)*(1+G405)*((6-1)/(MaxLevel-1))^(2^F405),0),D405+(E405-D405)*(1+G405)*((6-1)/(MaxLevel-1))^(2^F405)))</f>
        <v/>
      </c>
      <c r="N405" s="12" t="str">
        <f>IF(OR(D405="",E405=""),"",IF(IFERROR(INDEX(Stats!$D:$D,MATCH($C405,Stats!$A:$A,0)),FALSE),ROUND(D405+(E405-D405)*(1+G405)*((7-1)/(MaxLevel-1))^(2^F405),0),D405+(E405-D405)*(1+G405)*((7-1)/(MaxLevel-1))^(2^F405)))</f>
        <v/>
      </c>
      <c r="O405" s="12" t="str">
        <f>IF(OR(D405="",E405=""),"",IF(IFERROR(INDEX(Stats!$D:$D,MATCH($C405,Stats!$A:$A,0)),FALSE),ROUND(D405+(E405-D405)*(1+G405)*((8-1)/(MaxLevel-1))^(2^F405),0),D405+(E405-D405)*(1+G405)*((8-1)/(MaxLevel-1))^(2^F405)))</f>
        <v/>
      </c>
      <c r="P405" s="12" t="str">
        <f>IF(OR(D405="",E405=""),"",IF(IFERROR(INDEX(Stats!$D:$D,MATCH($C405,Stats!$A:$A,0)),FALSE),ROUND(D405+(E405-D405)*(1+G405)*((9-1)/(MaxLevel-1))^(2^F405),0),D405+(E405-D405)*(1+G405)*((9-1)/(MaxLevel-1))^(2^F405)))</f>
        <v/>
      </c>
      <c r="Q405" s="12" t="str">
        <f>IF(OR(D405="",E405=""),"",IF(IFERROR(INDEX(Stats!$D:$D,MATCH($C405,Stats!$A:$A,0)),FALSE),ROUND(D405+(E405-D405)*(1+G405)*((10-1)/(MaxLevel-1))^(2^F405),0),D405+(E405-D405)*(1+G405)*((10-1)/(MaxLevel-1))^(2^F405)))</f>
        <v/>
      </c>
    </row>
    <row r="406" spans="1:17" x14ac:dyDescent="0.25">
      <c r="A406" s="4" t="s">
        <v>185</v>
      </c>
      <c r="B406" s="19" t="s">
        <v>236</v>
      </c>
      <c r="C406" s="4" t="s">
        <v>34</v>
      </c>
      <c r="D406" s="5"/>
      <c r="E406" s="5"/>
      <c r="F406" s="5"/>
      <c r="G406" s="5"/>
      <c r="H406" s="12" t="str">
        <f>IF(OR(D406="",E406=""),"",IF(IFERROR(INDEX(Stats!$D:$D,MATCH($C406,Stats!$A:$A,0)),FALSE),ROUND(D406+(E406-D406)*(1+G406)*((1-1)/(MaxLevel-1))^(2^F406),0),D406+(E406-D406)*(1+G406)*((1-1)/(MaxLevel-1))^(2^F406)))</f>
        <v/>
      </c>
      <c r="I406" s="12" t="str">
        <f>IF(OR(D406="",E406=""),"",IF(IFERROR(INDEX(Stats!$D:$D,MATCH($C406,Stats!$A:$A,0)),FALSE),ROUND(D406+(E406-D406)*(1+G406)*((2-1)/(MaxLevel-1))^(2^F406),0),D406+(E406-D406)*(1+G406)*((2-1)/(MaxLevel-1))^(2^F406)))</f>
        <v/>
      </c>
      <c r="J406" s="12" t="str">
        <f>IF(OR(D406="",E406=""),"",IF(IFERROR(INDEX(Stats!$D:$D,MATCH($C406,Stats!$A:$A,0)),FALSE),ROUND(D406+(E406-D406)*(1+G406)*((3-1)/(MaxLevel-1))^(2^F406),0),D406+(E406-D406)*(1+G406)*((3-1)/(MaxLevel-1))^(2^F406)))</f>
        <v/>
      </c>
      <c r="K406" s="12" t="str">
        <f>IF(OR(D406="",E406=""),"",IF(IFERROR(INDEX(Stats!$D:$D,MATCH($C406,Stats!$A:$A,0)),FALSE),ROUND(D406+(E406-D406)*(1+G406)*((4-1)/(MaxLevel-1))^(2^F406),0),D406+(E406-D406)*(1+G406)*((4-1)/(MaxLevel-1))^(2^F406)))</f>
        <v/>
      </c>
      <c r="L406" s="12" t="str">
        <f>IF(OR(D406="",E406=""),"",IF(IFERROR(INDEX(Stats!$D:$D,MATCH($C406,Stats!$A:$A,0)),FALSE),ROUND(D406+(E406-D406)*(1+G406)*((5-1)/(MaxLevel-1))^(2^F406),0),D406+(E406-D406)*(1+G406)*((5-1)/(MaxLevel-1))^(2^F406)))</f>
        <v/>
      </c>
      <c r="M406" s="12" t="str">
        <f>IF(OR(D406="",E406=""),"",IF(IFERROR(INDEX(Stats!$D:$D,MATCH($C406,Stats!$A:$A,0)),FALSE),ROUND(D406+(E406-D406)*(1+G406)*((6-1)/(MaxLevel-1))^(2^F406),0),D406+(E406-D406)*(1+G406)*((6-1)/(MaxLevel-1))^(2^F406)))</f>
        <v/>
      </c>
      <c r="N406" s="12" t="str">
        <f>IF(OR(D406="",E406=""),"",IF(IFERROR(INDEX(Stats!$D:$D,MATCH($C406,Stats!$A:$A,0)),FALSE),ROUND(D406+(E406-D406)*(1+G406)*((7-1)/(MaxLevel-1))^(2^F406),0),D406+(E406-D406)*(1+G406)*((7-1)/(MaxLevel-1))^(2^F406)))</f>
        <v/>
      </c>
      <c r="O406" s="12" t="str">
        <f>IF(OR(D406="",E406=""),"",IF(IFERROR(INDEX(Stats!$D:$D,MATCH($C406,Stats!$A:$A,0)),FALSE),ROUND(D406+(E406-D406)*(1+G406)*((8-1)/(MaxLevel-1))^(2^F406),0),D406+(E406-D406)*(1+G406)*((8-1)/(MaxLevel-1))^(2^F406)))</f>
        <v/>
      </c>
      <c r="P406" s="12" t="str">
        <f>IF(OR(D406="",E406=""),"",IF(IFERROR(INDEX(Stats!$D:$D,MATCH($C406,Stats!$A:$A,0)),FALSE),ROUND(D406+(E406-D406)*(1+G406)*((9-1)/(MaxLevel-1))^(2^F406),0),D406+(E406-D406)*(1+G406)*((9-1)/(MaxLevel-1))^(2^F406)))</f>
        <v/>
      </c>
      <c r="Q406" s="12" t="str">
        <f>IF(OR(D406="",E406=""),"",IF(IFERROR(INDEX(Stats!$D:$D,MATCH($C406,Stats!$A:$A,0)),FALSE),ROUND(D406+(E406-D406)*(1+G406)*((10-1)/(MaxLevel-1))^(2^F406),0),D406+(E406-D406)*(1+G406)*((10-1)/(MaxLevel-1))^(2^F406)))</f>
        <v/>
      </c>
    </row>
    <row r="407" spans="1:17" x14ac:dyDescent="0.25">
      <c r="A407" s="4" t="s">
        <v>185</v>
      </c>
      <c r="B407" s="19" t="s">
        <v>236</v>
      </c>
      <c r="C407" s="4" t="s">
        <v>36</v>
      </c>
      <c r="D407" s="5"/>
      <c r="E407" s="5"/>
      <c r="F407" s="5"/>
      <c r="G407" s="5"/>
      <c r="H407" s="12" t="str">
        <f>IF(OR(D407="",E407=""),"",IF(IFERROR(INDEX(Stats!$D:$D,MATCH($C407,Stats!$A:$A,0)),FALSE),ROUND(D407+(E407-D407)*(1+G407)*((1-1)/(MaxLevel-1))^(2^F407),0),D407+(E407-D407)*(1+G407)*((1-1)/(MaxLevel-1))^(2^F407)))</f>
        <v/>
      </c>
      <c r="I407" s="12" t="str">
        <f>IF(OR(D407="",E407=""),"",IF(IFERROR(INDEX(Stats!$D:$D,MATCH($C407,Stats!$A:$A,0)),FALSE),ROUND(D407+(E407-D407)*(1+G407)*((2-1)/(MaxLevel-1))^(2^F407),0),D407+(E407-D407)*(1+G407)*((2-1)/(MaxLevel-1))^(2^F407)))</f>
        <v/>
      </c>
      <c r="J407" s="12" t="str">
        <f>IF(OR(D407="",E407=""),"",IF(IFERROR(INDEX(Stats!$D:$D,MATCH($C407,Stats!$A:$A,0)),FALSE),ROUND(D407+(E407-D407)*(1+G407)*((3-1)/(MaxLevel-1))^(2^F407),0),D407+(E407-D407)*(1+G407)*((3-1)/(MaxLevel-1))^(2^F407)))</f>
        <v/>
      </c>
      <c r="K407" s="12" t="str">
        <f>IF(OR(D407="",E407=""),"",IF(IFERROR(INDEX(Stats!$D:$D,MATCH($C407,Stats!$A:$A,0)),FALSE),ROUND(D407+(E407-D407)*(1+G407)*((4-1)/(MaxLevel-1))^(2^F407),0),D407+(E407-D407)*(1+G407)*((4-1)/(MaxLevel-1))^(2^F407)))</f>
        <v/>
      </c>
      <c r="L407" s="12" t="str">
        <f>IF(OR(D407="",E407=""),"",IF(IFERROR(INDEX(Stats!$D:$D,MATCH($C407,Stats!$A:$A,0)),FALSE),ROUND(D407+(E407-D407)*(1+G407)*((5-1)/(MaxLevel-1))^(2^F407),0),D407+(E407-D407)*(1+G407)*((5-1)/(MaxLevel-1))^(2^F407)))</f>
        <v/>
      </c>
      <c r="M407" s="12" t="str">
        <f>IF(OR(D407="",E407=""),"",IF(IFERROR(INDEX(Stats!$D:$D,MATCH($C407,Stats!$A:$A,0)),FALSE),ROUND(D407+(E407-D407)*(1+G407)*((6-1)/(MaxLevel-1))^(2^F407),0),D407+(E407-D407)*(1+G407)*((6-1)/(MaxLevel-1))^(2^F407)))</f>
        <v/>
      </c>
      <c r="N407" s="12" t="str">
        <f>IF(OR(D407="",E407=""),"",IF(IFERROR(INDEX(Stats!$D:$D,MATCH($C407,Stats!$A:$A,0)),FALSE),ROUND(D407+(E407-D407)*(1+G407)*((7-1)/(MaxLevel-1))^(2^F407),0),D407+(E407-D407)*(1+G407)*((7-1)/(MaxLevel-1))^(2^F407)))</f>
        <v/>
      </c>
      <c r="O407" s="12" t="str">
        <f>IF(OR(D407="",E407=""),"",IF(IFERROR(INDEX(Stats!$D:$D,MATCH($C407,Stats!$A:$A,0)),FALSE),ROUND(D407+(E407-D407)*(1+G407)*((8-1)/(MaxLevel-1))^(2^F407),0),D407+(E407-D407)*(1+G407)*((8-1)/(MaxLevel-1))^(2^F407)))</f>
        <v/>
      </c>
      <c r="P407" s="12" t="str">
        <f>IF(OR(D407="",E407=""),"",IF(IFERROR(INDEX(Stats!$D:$D,MATCH($C407,Stats!$A:$A,0)),FALSE),ROUND(D407+(E407-D407)*(1+G407)*((9-1)/(MaxLevel-1))^(2^F407),0),D407+(E407-D407)*(1+G407)*((9-1)/(MaxLevel-1))^(2^F407)))</f>
        <v/>
      </c>
      <c r="Q407" s="12" t="str">
        <f>IF(OR(D407="",E407=""),"",IF(IFERROR(INDEX(Stats!$D:$D,MATCH($C407,Stats!$A:$A,0)),FALSE),ROUND(D407+(E407-D407)*(1+G407)*((10-1)/(MaxLevel-1))^(2^F407),0),D407+(E407-D407)*(1+G407)*((10-1)/(MaxLevel-1))^(2^F407)))</f>
        <v/>
      </c>
    </row>
    <row r="408" spans="1:17" x14ac:dyDescent="0.25">
      <c r="A408" s="4" t="s">
        <v>185</v>
      </c>
      <c r="B408" s="19" t="s">
        <v>236</v>
      </c>
      <c r="C408" s="4" t="s">
        <v>38</v>
      </c>
      <c r="D408" s="5">
        <v>1.5</v>
      </c>
      <c r="E408" s="5">
        <v>2</v>
      </c>
      <c r="F408" s="5">
        <v>-1</v>
      </c>
      <c r="G408" s="5">
        <v>0</v>
      </c>
      <c r="H408" s="12">
        <f>IF(OR(D408="",E408=""),"",IF(IFERROR(INDEX(Stats!$D:$D,MATCH($C408,Stats!$A:$A,0)),FALSE),ROUND(D408+(E408-D408)*(1+G408)*((1-1)/(MaxLevel-1))^(2^F408),0),D408+(E408-D408)*(1+G408)*((1-1)/(MaxLevel-1))^(2^F408)))</f>
        <v>1.5</v>
      </c>
      <c r="I408" s="12">
        <f>IF(OR(D408="",E408=""),"",IF(IFERROR(INDEX(Stats!$D:$D,MATCH($C408,Stats!$A:$A,0)),FALSE),ROUND(D408+(E408-D408)*(1+G408)*((2-1)/(MaxLevel-1))^(2^F408),0),D408+(E408-D408)*(1+G408)*((2-1)/(MaxLevel-1))^(2^F408)))</f>
        <v>1.6666666666666667</v>
      </c>
      <c r="J408" s="12">
        <f>IF(OR(D408="",E408=""),"",IF(IFERROR(INDEX(Stats!$D:$D,MATCH($C408,Stats!$A:$A,0)),FALSE),ROUND(D408+(E408-D408)*(1+G408)*((3-1)/(MaxLevel-1))^(2^F408),0),D408+(E408-D408)*(1+G408)*((3-1)/(MaxLevel-1))^(2^F408)))</f>
        <v>1.7357022603955159</v>
      </c>
      <c r="K408" s="12">
        <f>IF(OR(D408="",E408=""),"",IF(IFERROR(INDEX(Stats!$D:$D,MATCH($C408,Stats!$A:$A,0)),FALSE),ROUND(D408+(E408-D408)*(1+G408)*((4-1)/(MaxLevel-1))^(2^F408),0),D408+(E408-D408)*(1+G408)*((4-1)/(MaxLevel-1))^(2^F408)))</f>
        <v>1.7886751345948129</v>
      </c>
      <c r="L408" s="12">
        <f>IF(OR(D408="",E408=""),"",IF(IFERROR(INDEX(Stats!$D:$D,MATCH($C408,Stats!$A:$A,0)),FALSE),ROUND(D408+(E408-D408)*(1+G408)*((5-1)/(MaxLevel-1))^(2^F408),0),D408+(E408-D408)*(1+G408)*((5-1)/(MaxLevel-1))^(2^F408)))</f>
        <v>1.8333333333333333</v>
      </c>
      <c r="M408" s="12">
        <f>IF(OR(D408="",E408=""),"",IF(IFERROR(INDEX(Stats!$D:$D,MATCH($C408,Stats!$A:$A,0)),FALSE),ROUND(D408+(E408-D408)*(1+G408)*((6-1)/(MaxLevel-1))^(2^F408),0),D408+(E408-D408)*(1+G408)*((6-1)/(MaxLevel-1))^(2^F408)))</f>
        <v>1.8726779962499649</v>
      </c>
      <c r="N408" s="12">
        <f>IF(OR(D408="",E408=""),"",IF(IFERROR(INDEX(Stats!$D:$D,MATCH($C408,Stats!$A:$A,0)),FALSE),ROUND(D408+(E408-D408)*(1+G408)*((7-1)/(MaxLevel-1))^(2^F408),0),D408+(E408-D408)*(1+G408)*((7-1)/(MaxLevel-1))^(2^F408)))</f>
        <v>1.9082482904638631</v>
      </c>
      <c r="O408" s="12">
        <f>IF(OR(D408="",E408=""),"",IF(IFERROR(INDEX(Stats!$D:$D,MATCH($C408,Stats!$A:$A,0)),FALSE),ROUND(D408+(E408-D408)*(1+G408)*((8-1)/(MaxLevel-1))^(2^F408),0),D408+(E408-D408)*(1+G408)*((8-1)/(MaxLevel-1))^(2^F408)))</f>
        <v>1.9409585518440984</v>
      </c>
      <c r="P408" s="12">
        <f>IF(OR(D408="",E408=""),"",IF(IFERROR(INDEX(Stats!$D:$D,MATCH($C408,Stats!$A:$A,0)),FALSE),ROUND(D408+(E408-D408)*(1+G408)*((9-1)/(MaxLevel-1))^(2^F408),0),D408+(E408-D408)*(1+G408)*((9-1)/(MaxLevel-1))^(2^F408)))</f>
        <v>1.9714045207910318</v>
      </c>
      <c r="Q408" s="12">
        <f>IF(OR(D408="",E408=""),"",IF(IFERROR(INDEX(Stats!$D:$D,MATCH($C408,Stats!$A:$A,0)),FALSE),ROUND(D408+(E408-D408)*(1+G408)*((10-1)/(MaxLevel-1))^(2^F408),0),D408+(E408-D408)*(1+G408)*((10-1)/(MaxLevel-1))^(2^F408)))</f>
        <v>2</v>
      </c>
    </row>
    <row r="409" spans="1:17" x14ac:dyDescent="0.25">
      <c r="A409" s="4" t="s">
        <v>185</v>
      </c>
      <c r="B409" s="19" t="s">
        <v>236</v>
      </c>
      <c r="C409" s="4" t="s">
        <v>40</v>
      </c>
      <c r="D409" s="5">
        <v>20</v>
      </c>
      <c r="E409" s="5">
        <v>100</v>
      </c>
      <c r="F409" s="5">
        <v>1</v>
      </c>
      <c r="G409" s="5">
        <v>0.1</v>
      </c>
      <c r="H409" s="12">
        <f>IF(OR(D409="",E409=""),"",IF(IFERROR(INDEX(Stats!$D:$D,MATCH($C409,Stats!$A:$A,0)),FALSE),ROUND(D409+(E409-D409)*(1+G409)*((1-1)/(MaxLevel-1))^(2^F409),0),D409+(E409-D409)*(1+G409)*((1-1)/(MaxLevel-1))^(2^F409)))</f>
        <v>20</v>
      </c>
      <c r="I409" s="12">
        <f>IF(OR(D409="",E409=""),"",IF(IFERROR(INDEX(Stats!$D:$D,MATCH($C409,Stats!$A:$A,0)),FALSE),ROUND(D409+(E409-D409)*(1+G409)*((2-1)/(MaxLevel-1))^(2^F409),0),D409+(E409-D409)*(1+G409)*((2-1)/(MaxLevel-1))^(2^F409)))</f>
        <v>21</v>
      </c>
      <c r="J409" s="12">
        <f>IF(OR(D409="",E409=""),"",IF(IFERROR(INDEX(Stats!$D:$D,MATCH($C409,Stats!$A:$A,0)),FALSE),ROUND(D409+(E409-D409)*(1+G409)*((3-1)/(MaxLevel-1))^(2^F409),0),D409+(E409-D409)*(1+G409)*((3-1)/(MaxLevel-1))^(2^F409)))</f>
        <v>24</v>
      </c>
      <c r="K409" s="12">
        <f>IF(OR(D409="",E409=""),"",IF(IFERROR(INDEX(Stats!$D:$D,MATCH($C409,Stats!$A:$A,0)),FALSE),ROUND(D409+(E409-D409)*(1+G409)*((4-1)/(MaxLevel-1))^(2^F409),0),D409+(E409-D409)*(1+G409)*((4-1)/(MaxLevel-1))^(2^F409)))</f>
        <v>30</v>
      </c>
      <c r="L409" s="12">
        <f>IF(OR(D409="",E409=""),"",IF(IFERROR(INDEX(Stats!$D:$D,MATCH($C409,Stats!$A:$A,0)),FALSE),ROUND(D409+(E409-D409)*(1+G409)*((5-1)/(MaxLevel-1))^(2^F409),0),D409+(E409-D409)*(1+G409)*((5-1)/(MaxLevel-1))^(2^F409)))</f>
        <v>37</v>
      </c>
      <c r="M409" s="12">
        <f>IF(OR(D409="",E409=""),"",IF(IFERROR(INDEX(Stats!$D:$D,MATCH($C409,Stats!$A:$A,0)),FALSE),ROUND(D409+(E409-D409)*(1+G409)*((6-1)/(MaxLevel-1))^(2^F409),0),D409+(E409-D409)*(1+G409)*((6-1)/(MaxLevel-1))^(2^F409)))</f>
        <v>47</v>
      </c>
      <c r="N409" s="12">
        <f>IF(OR(D409="",E409=""),"",IF(IFERROR(INDEX(Stats!$D:$D,MATCH($C409,Stats!$A:$A,0)),FALSE),ROUND(D409+(E409-D409)*(1+G409)*((7-1)/(MaxLevel-1))^(2^F409),0),D409+(E409-D409)*(1+G409)*((7-1)/(MaxLevel-1))^(2^F409)))</f>
        <v>59</v>
      </c>
      <c r="O409" s="12">
        <f>IF(OR(D409="",E409=""),"",IF(IFERROR(INDEX(Stats!$D:$D,MATCH($C409,Stats!$A:$A,0)),FALSE),ROUND(D409+(E409-D409)*(1+G409)*((8-1)/(MaxLevel-1))^(2^F409),0),D409+(E409-D409)*(1+G409)*((8-1)/(MaxLevel-1))^(2^F409)))</f>
        <v>73</v>
      </c>
      <c r="P409" s="12">
        <f>IF(OR(D409="",E409=""),"",IF(IFERROR(INDEX(Stats!$D:$D,MATCH($C409,Stats!$A:$A,0)),FALSE),ROUND(D409+(E409-D409)*(1+G409)*((9-1)/(MaxLevel-1))^(2^F409),0),D409+(E409-D409)*(1+G409)*((9-1)/(MaxLevel-1))^(2^F409)))</f>
        <v>90</v>
      </c>
      <c r="Q409" s="12">
        <f>IF(OR(D409="",E409=""),"",IF(IFERROR(INDEX(Stats!$D:$D,MATCH($C409,Stats!$A:$A,0)),FALSE),ROUND(D409+(E409-D409)*(1+G409)*((10-1)/(MaxLevel-1))^(2^F409),0),D409+(E409-D409)*(1+G409)*((10-1)/(MaxLevel-1))^(2^F409)))</f>
        <v>108</v>
      </c>
    </row>
    <row r="410" spans="1:17" x14ac:dyDescent="0.25">
      <c r="A410" s="4" t="s">
        <v>185</v>
      </c>
      <c r="B410" s="19" t="s">
        <v>236</v>
      </c>
      <c r="C410" s="4" t="s">
        <v>42</v>
      </c>
      <c r="D410" s="5"/>
      <c r="E410" s="5"/>
      <c r="F410" s="5"/>
      <c r="G410" s="5"/>
      <c r="H410" s="12" t="str">
        <f>IF(OR(D410="",E410=""),"",IF(IFERROR(INDEX(Stats!$D:$D,MATCH($C410,Stats!$A:$A,0)),FALSE),ROUND(D410+(E410-D410)*(1+G410)*((1-1)/(MaxLevel-1))^(2^F410),0),D410+(E410-D410)*(1+G410)*((1-1)/(MaxLevel-1))^(2^F410)))</f>
        <v/>
      </c>
      <c r="I410" s="12" t="str">
        <f>IF(OR(D410="",E410=""),"",IF(IFERROR(INDEX(Stats!$D:$D,MATCH($C410,Stats!$A:$A,0)),FALSE),ROUND(D410+(E410-D410)*(1+G410)*((2-1)/(MaxLevel-1))^(2^F410),0),D410+(E410-D410)*(1+G410)*((2-1)/(MaxLevel-1))^(2^F410)))</f>
        <v/>
      </c>
      <c r="J410" s="12" t="str">
        <f>IF(OR(D410="",E410=""),"",IF(IFERROR(INDEX(Stats!$D:$D,MATCH($C410,Stats!$A:$A,0)),FALSE),ROUND(D410+(E410-D410)*(1+G410)*((3-1)/(MaxLevel-1))^(2^F410),0),D410+(E410-D410)*(1+G410)*((3-1)/(MaxLevel-1))^(2^F410)))</f>
        <v/>
      </c>
      <c r="K410" s="12" t="str">
        <f>IF(OR(D410="",E410=""),"",IF(IFERROR(INDEX(Stats!$D:$D,MATCH($C410,Stats!$A:$A,0)),FALSE),ROUND(D410+(E410-D410)*(1+G410)*((4-1)/(MaxLevel-1))^(2^F410),0),D410+(E410-D410)*(1+G410)*((4-1)/(MaxLevel-1))^(2^F410)))</f>
        <v/>
      </c>
      <c r="L410" s="12" t="str">
        <f>IF(OR(D410="",E410=""),"",IF(IFERROR(INDEX(Stats!$D:$D,MATCH($C410,Stats!$A:$A,0)),FALSE),ROUND(D410+(E410-D410)*(1+G410)*((5-1)/(MaxLevel-1))^(2^F410),0),D410+(E410-D410)*(1+G410)*((5-1)/(MaxLevel-1))^(2^F410)))</f>
        <v/>
      </c>
      <c r="M410" s="12" t="str">
        <f>IF(OR(D410="",E410=""),"",IF(IFERROR(INDEX(Stats!$D:$D,MATCH($C410,Stats!$A:$A,0)),FALSE),ROUND(D410+(E410-D410)*(1+G410)*((6-1)/(MaxLevel-1))^(2^F410),0),D410+(E410-D410)*(1+G410)*((6-1)/(MaxLevel-1))^(2^F410)))</f>
        <v/>
      </c>
      <c r="N410" s="12" t="str">
        <f>IF(OR(D410="",E410=""),"",IF(IFERROR(INDEX(Stats!$D:$D,MATCH($C410,Stats!$A:$A,0)),FALSE),ROUND(D410+(E410-D410)*(1+G410)*((7-1)/(MaxLevel-1))^(2^F410),0),D410+(E410-D410)*(1+G410)*((7-1)/(MaxLevel-1))^(2^F410)))</f>
        <v/>
      </c>
      <c r="O410" s="12" t="str">
        <f>IF(OR(D410="",E410=""),"",IF(IFERROR(INDEX(Stats!$D:$D,MATCH($C410,Stats!$A:$A,0)),FALSE),ROUND(D410+(E410-D410)*(1+G410)*((8-1)/(MaxLevel-1))^(2^F410),0),D410+(E410-D410)*(1+G410)*((8-1)/(MaxLevel-1))^(2^F410)))</f>
        <v/>
      </c>
      <c r="P410" s="12" t="str">
        <f>IF(OR(D410="",E410=""),"",IF(IFERROR(INDEX(Stats!$D:$D,MATCH($C410,Stats!$A:$A,0)),FALSE),ROUND(D410+(E410-D410)*(1+G410)*((9-1)/(MaxLevel-1))^(2^F410),0),D410+(E410-D410)*(1+G410)*((9-1)/(MaxLevel-1))^(2^F410)))</f>
        <v/>
      </c>
      <c r="Q410" s="12" t="str">
        <f>IF(OR(D410="",E410=""),"",IF(IFERROR(INDEX(Stats!$D:$D,MATCH($C410,Stats!$A:$A,0)),FALSE),ROUND(D410+(E410-D410)*(1+G410)*((10-1)/(MaxLevel-1))^(2^F410),0),D410+(E410-D410)*(1+G410)*((10-1)/(MaxLevel-1))^(2^F410)))</f>
        <v/>
      </c>
    </row>
    <row r="411" spans="1:17" x14ac:dyDescent="0.25">
      <c r="A411" s="4" t="s">
        <v>185</v>
      </c>
      <c r="B411" s="19" t="s">
        <v>236</v>
      </c>
      <c r="C411" s="4" t="s">
        <v>44</v>
      </c>
      <c r="D411" s="5"/>
      <c r="E411" s="5"/>
      <c r="F411" s="5"/>
      <c r="G411" s="5"/>
      <c r="H411" s="12" t="str">
        <f>IF(OR(D411="",E411=""),"",IF(IFERROR(INDEX(Stats!$D:$D,MATCH($C411,Stats!$A:$A,0)),FALSE),ROUND(D411+(E411-D411)*(1+G411)*((1-1)/(MaxLevel-1))^(2^F411),0),D411+(E411-D411)*(1+G411)*((1-1)/(MaxLevel-1))^(2^F411)))</f>
        <v/>
      </c>
      <c r="I411" s="12" t="str">
        <f>IF(OR(D411="",E411=""),"",IF(IFERROR(INDEX(Stats!$D:$D,MATCH($C411,Stats!$A:$A,0)),FALSE),ROUND(D411+(E411-D411)*(1+G411)*((2-1)/(MaxLevel-1))^(2^F411),0),D411+(E411-D411)*(1+G411)*((2-1)/(MaxLevel-1))^(2^F411)))</f>
        <v/>
      </c>
      <c r="J411" s="12" t="str">
        <f>IF(OR(D411="",E411=""),"",IF(IFERROR(INDEX(Stats!$D:$D,MATCH($C411,Stats!$A:$A,0)),FALSE),ROUND(D411+(E411-D411)*(1+G411)*((3-1)/(MaxLevel-1))^(2^F411),0),D411+(E411-D411)*(1+G411)*((3-1)/(MaxLevel-1))^(2^F411)))</f>
        <v/>
      </c>
      <c r="K411" s="12" t="str">
        <f>IF(OR(D411="",E411=""),"",IF(IFERROR(INDEX(Stats!$D:$D,MATCH($C411,Stats!$A:$A,0)),FALSE),ROUND(D411+(E411-D411)*(1+G411)*((4-1)/(MaxLevel-1))^(2^F411),0),D411+(E411-D411)*(1+G411)*((4-1)/(MaxLevel-1))^(2^F411)))</f>
        <v/>
      </c>
      <c r="L411" s="12" t="str">
        <f>IF(OR(D411="",E411=""),"",IF(IFERROR(INDEX(Stats!$D:$D,MATCH($C411,Stats!$A:$A,0)),FALSE),ROUND(D411+(E411-D411)*(1+G411)*((5-1)/(MaxLevel-1))^(2^F411),0),D411+(E411-D411)*(1+G411)*((5-1)/(MaxLevel-1))^(2^F411)))</f>
        <v/>
      </c>
      <c r="M411" s="12" t="str">
        <f>IF(OR(D411="",E411=""),"",IF(IFERROR(INDEX(Stats!$D:$D,MATCH($C411,Stats!$A:$A,0)),FALSE),ROUND(D411+(E411-D411)*(1+G411)*((6-1)/(MaxLevel-1))^(2^F411),0),D411+(E411-D411)*(1+G411)*((6-1)/(MaxLevel-1))^(2^F411)))</f>
        <v/>
      </c>
      <c r="N411" s="12" t="str">
        <f>IF(OR(D411="",E411=""),"",IF(IFERROR(INDEX(Stats!$D:$D,MATCH($C411,Stats!$A:$A,0)),FALSE),ROUND(D411+(E411-D411)*(1+G411)*((7-1)/(MaxLevel-1))^(2^F411),0),D411+(E411-D411)*(1+G411)*((7-1)/(MaxLevel-1))^(2^F411)))</f>
        <v/>
      </c>
      <c r="O411" s="12" t="str">
        <f>IF(OR(D411="",E411=""),"",IF(IFERROR(INDEX(Stats!$D:$D,MATCH($C411,Stats!$A:$A,0)),FALSE),ROUND(D411+(E411-D411)*(1+G411)*((8-1)/(MaxLevel-1))^(2^F411),0),D411+(E411-D411)*(1+G411)*((8-1)/(MaxLevel-1))^(2^F411)))</f>
        <v/>
      </c>
      <c r="P411" s="12" t="str">
        <f>IF(OR(D411="",E411=""),"",IF(IFERROR(INDEX(Stats!$D:$D,MATCH($C411,Stats!$A:$A,0)),FALSE),ROUND(D411+(E411-D411)*(1+G411)*((9-1)/(MaxLevel-1))^(2^F411),0),D411+(E411-D411)*(1+G411)*((9-1)/(MaxLevel-1))^(2^F411)))</f>
        <v/>
      </c>
      <c r="Q411" s="12" t="str">
        <f>IF(OR(D411="",E411=""),"",IF(IFERROR(INDEX(Stats!$D:$D,MATCH($C411,Stats!$A:$A,0)),FALSE),ROUND(D411+(E411-D411)*(1+G411)*((10-1)/(MaxLevel-1))^(2^F411),0),D411+(E411-D411)*(1+G411)*((10-1)/(MaxLevel-1))^(2^F411)))</f>
        <v/>
      </c>
    </row>
    <row r="412" spans="1:17" x14ac:dyDescent="0.25">
      <c r="A412" s="4" t="s">
        <v>185</v>
      </c>
      <c r="B412" s="19" t="s">
        <v>236</v>
      </c>
      <c r="C412" s="4" t="s">
        <v>46</v>
      </c>
      <c r="D412" s="5"/>
      <c r="E412" s="5"/>
      <c r="F412" s="5"/>
      <c r="G412" s="5"/>
      <c r="H412" s="12" t="str">
        <f>IF(OR(D412="",E412=""),"",IF(IFERROR(INDEX(Stats!$D:$D,MATCH($C412,Stats!$A:$A,0)),FALSE),ROUND(D412+(E412-D412)*(1+G412)*((1-1)/(MaxLevel-1))^(2^F412),0),D412+(E412-D412)*(1+G412)*((1-1)/(MaxLevel-1))^(2^F412)))</f>
        <v/>
      </c>
      <c r="I412" s="12" t="str">
        <f>IF(OR(D412="",E412=""),"",IF(IFERROR(INDEX(Stats!$D:$D,MATCH($C412,Stats!$A:$A,0)),FALSE),ROUND(D412+(E412-D412)*(1+G412)*((2-1)/(MaxLevel-1))^(2^F412),0),D412+(E412-D412)*(1+G412)*((2-1)/(MaxLevel-1))^(2^F412)))</f>
        <v/>
      </c>
      <c r="J412" s="12" t="str">
        <f>IF(OR(D412="",E412=""),"",IF(IFERROR(INDEX(Stats!$D:$D,MATCH($C412,Stats!$A:$A,0)),FALSE),ROUND(D412+(E412-D412)*(1+G412)*((3-1)/(MaxLevel-1))^(2^F412),0),D412+(E412-D412)*(1+G412)*((3-1)/(MaxLevel-1))^(2^F412)))</f>
        <v/>
      </c>
      <c r="K412" s="12" t="str">
        <f>IF(OR(D412="",E412=""),"",IF(IFERROR(INDEX(Stats!$D:$D,MATCH($C412,Stats!$A:$A,0)),FALSE),ROUND(D412+(E412-D412)*(1+G412)*((4-1)/(MaxLevel-1))^(2^F412),0),D412+(E412-D412)*(1+G412)*((4-1)/(MaxLevel-1))^(2^F412)))</f>
        <v/>
      </c>
      <c r="L412" s="12" t="str">
        <f>IF(OR(D412="",E412=""),"",IF(IFERROR(INDEX(Stats!$D:$D,MATCH($C412,Stats!$A:$A,0)),FALSE),ROUND(D412+(E412-D412)*(1+G412)*((5-1)/(MaxLevel-1))^(2^F412),0),D412+(E412-D412)*(1+G412)*((5-1)/(MaxLevel-1))^(2^F412)))</f>
        <v/>
      </c>
      <c r="M412" s="12" t="str">
        <f>IF(OR(D412="",E412=""),"",IF(IFERROR(INDEX(Stats!$D:$D,MATCH($C412,Stats!$A:$A,0)),FALSE),ROUND(D412+(E412-D412)*(1+G412)*((6-1)/(MaxLevel-1))^(2^F412),0),D412+(E412-D412)*(1+G412)*((6-1)/(MaxLevel-1))^(2^F412)))</f>
        <v/>
      </c>
      <c r="N412" s="12" t="str">
        <f>IF(OR(D412="",E412=""),"",IF(IFERROR(INDEX(Stats!$D:$D,MATCH($C412,Stats!$A:$A,0)),FALSE),ROUND(D412+(E412-D412)*(1+G412)*((7-1)/(MaxLevel-1))^(2^F412),0),D412+(E412-D412)*(1+G412)*((7-1)/(MaxLevel-1))^(2^F412)))</f>
        <v/>
      </c>
      <c r="O412" s="12" t="str">
        <f>IF(OR(D412="",E412=""),"",IF(IFERROR(INDEX(Stats!$D:$D,MATCH($C412,Stats!$A:$A,0)),FALSE),ROUND(D412+(E412-D412)*(1+G412)*((8-1)/(MaxLevel-1))^(2^F412),0),D412+(E412-D412)*(1+G412)*((8-1)/(MaxLevel-1))^(2^F412)))</f>
        <v/>
      </c>
      <c r="P412" s="12" t="str">
        <f>IF(OR(D412="",E412=""),"",IF(IFERROR(INDEX(Stats!$D:$D,MATCH($C412,Stats!$A:$A,0)),FALSE),ROUND(D412+(E412-D412)*(1+G412)*((9-1)/(MaxLevel-1))^(2^F412),0),D412+(E412-D412)*(1+G412)*((9-1)/(MaxLevel-1))^(2^F412)))</f>
        <v/>
      </c>
      <c r="Q412" s="12" t="str">
        <f>IF(OR(D412="",E412=""),"",IF(IFERROR(INDEX(Stats!$D:$D,MATCH($C412,Stats!$A:$A,0)),FALSE),ROUND(D412+(E412-D412)*(1+G412)*((10-1)/(MaxLevel-1))^(2^F412),0),D412+(E412-D412)*(1+G412)*((10-1)/(MaxLevel-1))^(2^F412)))</f>
        <v/>
      </c>
    </row>
    <row r="413" spans="1:17" x14ac:dyDescent="0.25">
      <c r="A413" s="4" t="s">
        <v>185</v>
      </c>
      <c r="B413" s="19" t="s">
        <v>236</v>
      </c>
      <c r="C413" s="4" t="s">
        <v>48</v>
      </c>
      <c r="D413" s="5"/>
      <c r="E413" s="5"/>
      <c r="F413" s="5"/>
      <c r="G413" s="5"/>
      <c r="H413" s="12" t="str">
        <f>IF(OR(D413="",E413=""),"",IF(IFERROR(INDEX(Stats!$D:$D,MATCH($C413,Stats!$A:$A,0)),FALSE),ROUND(D413+(E413-D413)*(1+G413)*((1-1)/(MaxLevel-1))^(2^F413),0),D413+(E413-D413)*(1+G413)*((1-1)/(MaxLevel-1))^(2^F413)))</f>
        <v/>
      </c>
      <c r="I413" s="12" t="str">
        <f>IF(OR(D413="",E413=""),"",IF(IFERROR(INDEX(Stats!$D:$D,MATCH($C413,Stats!$A:$A,0)),FALSE),ROUND(D413+(E413-D413)*(1+G413)*((2-1)/(MaxLevel-1))^(2^F413),0),D413+(E413-D413)*(1+G413)*((2-1)/(MaxLevel-1))^(2^F413)))</f>
        <v/>
      </c>
      <c r="J413" s="12" t="str">
        <f>IF(OR(D413="",E413=""),"",IF(IFERROR(INDEX(Stats!$D:$D,MATCH($C413,Stats!$A:$A,0)),FALSE),ROUND(D413+(E413-D413)*(1+G413)*((3-1)/(MaxLevel-1))^(2^F413),0),D413+(E413-D413)*(1+G413)*((3-1)/(MaxLevel-1))^(2^F413)))</f>
        <v/>
      </c>
      <c r="K413" s="12" t="str">
        <f>IF(OR(D413="",E413=""),"",IF(IFERROR(INDEX(Stats!$D:$D,MATCH($C413,Stats!$A:$A,0)),FALSE),ROUND(D413+(E413-D413)*(1+G413)*((4-1)/(MaxLevel-1))^(2^F413),0),D413+(E413-D413)*(1+G413)*((4-1)/(MaxLevel-1))^(2^F413)))</f>
        <v/>
      </c>
      <c r="L413" s="12" t="str">
        <f>IF(OR(D413="",E413=""),"",IF(IFERROR(INDEX(Stats!$D:$D,MATCH($C413,Stats!$A:$A,0)),FALSE),ROUND(D413+(E413-D413)*(1+G413)*((5-1)/(MaxLevel-1))^(2^F413),0),D413+(E413-D413)*(1+G413)*((5-1)/(MaxLevel-1))^(2^F413)))</f>
        <v/>
      </c>
      <c r="M413" s="12" t="str">
        <f>IF(OR(D413="",E413=""),"",IF(IFERROR(INDEX(Stats!$D:$D,MATCH($C413,Stats!$A:$A,0)),FALSE),ROUND(D413+(E413-D413)*(1+G413)*((6-1)/(MaxLevel-1))^(2^F413),0),D413+(E413-D413)*(1+G413)*((6-1)/(MaxLevel-1))^(2^F413)))</f>
        <v/>
      </c>
      <c r="N413" s="12" t="str">
        <f>IF(OR(D413="",E413=""),"",IF(IFERROR(INDEX(Stats!$D:$D,MATCH($C413,Stats!$A:$A,0)),FALSE),ROUND(D413+(E413-D413)*(1+G413)*((7-1)/(MaxLevel-1))^(2^F413),0),D413+(E413-D413)*(1+G413)*((7-1)/(MaxLevel-1))^(2^F413)))</f>
        <v/>
      </c>
      <c r="O413" s="12" t="str">
        <f>IF(OR(D413="",E413=""),"",IF(IFERROR(INDEX(Stats!$D:$D,MATCH($C413,Stats!$A:$A,0)),FALSE),ROUND(D413+(E413-D413)*(1+G413)*((8-1)/(MaxLevel-1))^(2^F413),0),D413+(E413-D413)*(1+G413)*((8-1)/(MaxLevel-1))^(2^F413)))</f>
        <v/>
      </c>
      <c r="P413" s="12" t="str">
        <f>IF(OR(D413="",E413=""),"",IF(IFERROR(INDEX(Stats!$D:$D,MATCH($C413,Stats!$A:$A,0)),FALSE),ROUND(D413+(E413-D413)*(1+G413)*((9-1)/(MaxLevel-1))^(2^F413),0),D413+(E413-D413)*(1+G413)*((9-1)/(MaxLevel-1))^(2^F413)))</f>
        <v/>
      </c>
      <c r="Q413" s="12" t="str">
        <f>IF(OR(D413="",E413=""),"",IF(IFERROR(INDEX(Stats!$D:$D,MATCH($C413,Stats!$A:$A,0)),FALSE),ROUND(D413+(E413-D413)*(1+G413)*((10-1)/(MaxLevel-1))^(2^F413),0),D413+(E413-D413)*(1+G413)*((10-1)/(MaxLevel-1))^(2^F413)))</f>
        <v/>
      </c>
    </row>
    <row r="414" spans="1:17" x14ac:dyDescent="0.25">
      <c r="A414" s="4" t="s">
        <v>185</v>
      </c>
      <c r="B414" s="19" t="s">
        <v>236</v>
      </c>
      <c r="C414" s="4" t="s">
        <v>50</v>
      </c>
      <c r="D414" s="5"/>
      <c r="E414" s="5"/>
      <c r="F414" s="5"/>
      <c r="G414" s="5"/>
      <c r="H414" s="12" t="str">
        <f>IF(OR(D414="",E414=""),"",IF(IFERROR(INDEX(Stats!$D:$D,MATCH($C414,Stats!$A:$A,0)),FALSE),ROUND(D414+(E414-D414)*(1+G414)*((1-1)/(MaxLevel-1))^(2^F414),0),D414+(E414-D414)*(1+G414)*((1-1)/(MaxLevel-1))^(2^F414)))</f>
        <v/>
      </c>
      <c r="I414" s="12" t="str">
        <f>IF(OR(D414="",E414=""),"",IF(IFERROR(INDEX(Stats!$D:$D,MATCH($C414,Stats!$A:$A,0)),FALSE),ROUND(D414+(E414-D414)*(1+G414)*((2-1)/(MaxLevel-1))^(2^F414),0),D414+(E414-D414)*(1+G414)*((2-1)/(MaxLevel-1))^(2^F414)))</f>
        <v/>
      </c>
      <c r="J414" s="12" t="str">
        <f>IF(OR(D414="",E414=""),"",IF(IFERROR(INDEX(Stats!$D:$D,MATCH($C414,Stats!$A:$A,0)),FALSE),ROUND(D414+(E414-D414)*(1+G414)*((3-1)/(MaxLevel-1))^(2^F414),0),D414+(E414-D414)*(1+G414)*((3-1)/(MaxLevel-1))^(2^F414)))</f>
        <v/>
      </c>
      <c r="K414" s="12" t="str">
        <f>IF(OR(D414="",E414=""),"",IF(IFERROR(INDEX(Stats!$D:$D,MATCH($C414,Stats!$A:$A,0)),FALSE),ROUND(D414+(E414-D414)*(1+G414)*((4-1)/(MaxLevel-1))^(2^F414),0),D414+(E414-D414)*(1+G414)*((4-1)/(MaxLevel-1))^(2^F414)))</f>
        <v/>
      </c>
      <c r="L414" s="12" t="str">
        <f>IF(OR(D414="",E414=""),"",IF(IFERROR(INDEX(Stats!$D:$D,MATCH($C414,Stats!$A:$A,0)),FALSE),ROUND(D414+(E414-D414)*(1+G414)*((5-1)/(MaxLevel-1))^(2^F414),0),D414+(E414-D414)*(1+G414)*((5-1)/(MaxLevel-1))^(2^F414)))</f>
        <v/>
      </c>
      <c r="M414" s="12" t="str">
        <f>IF(OR(D414="",E414=""),"",IF(IFERROR(INDEX(Stats!$D:$D,MATCH($C414,Stats!$A:$A,0)),FALSE),ROUND(D414+(E414-D414)*(1+G414)*((6-1)/(MaxLevel-1))^(2^F414),0),D414+(E414-D414)*(1+G414)*((6-1)/(MaxLevel-1))^(2^F414)))</f>
        <v/>
      </c>
      <c r="N414" s="12" t="str">
        <f>IF(OR(D414="",E414=""),"",IF(IFERROR(INDEX(Stats!$D:$D,MATCH($C414,Stats!$A:$A,0)),FALSE),ROUND(D414+(E414-D414)*(1+G414)*((7-1)/(MaxLevel-1))^(2^F414),0),D414+(E414-D414)*(1+G414)*((7-1)/(MaxLevel-1))^(2^F414)))</f>
        <v/>
      </c>
      <c r="O414" s="12" t="str">
        <f>IF(OR(D414="",E414=""),"",IF(IFERROR(INDEX(Stats!$D:$D,MATCH($C414,Stats!$A:$A,0)),FALSE),ROUND(D414+(E414-D414)*(1+G414)*((8-1)/(MaxLevel-1))^(2^F414),0),D414+(E414-D414)*(1+G414)*((8-1)/(MaxLevel-1))^(2^F414)))</f>
        <v/>
      </c>
      <c r="P414" s="12" t="str">
        <f>IF(OR(D414="",E414=""),"",IF(IFERROR(INDEX(Stats!$D:$D,MATCH($C414,Stats!$A:$A,0)),FALSE),ROUND(D414+(E414-D414)*(1+G414)*((9-1)/(MaxLevel-1))^(2^F414),0),D414+(E414-D414)*(1+G414)*((9-1)/(MaxLevel-1))^(2^F414)))</f>
        <v/>
      </c>
      <c r="Q414" s="12" t="str">
        <f>IF(OR(D414="",E414=""),"",IF(IFERROR(INDEX(Stats!$D:$D,MATCH($C414,Stats!$A:$A,0)),FALSE),ROUND(D414+(E414-D414)*(1+G414)*((10-1)/(MaxLevel-1))^(2^F414),0),D414+(E414-D414)*(1+G414)*((10-1)/(MaxLevel-1))^(2^F414)))</f>
        <v/>
      </c>
    </row>
    <row r="415" spans="1:17" x14ac:dyDescent="0.25">
      <c r="A415" s="4" t="s">
        <v>185</v>
      </c>
      <c r="B415" s="19" t="s">
        <v>236</v>
      </c>
      <c r="C415" s="4" t="s">
        <v>52</v>
      </c>
      <c r="D415" s="5"/>
      <c r="E415" s="5"/>
      <c r="F415" s="5"/>
      <c r="G415" s="5"/>
      <c r="H415" s="12" t="str">
        <f>IF(OR(D415="",E415=""),"",IF(IFERROR(INDEX(Stats!$D:$D,MATCH($C415,Stats!$A:$A,0)),FALSE),ROUND(D415+(E415-D415)*(1+G415)*((1-1)/(MaxLevel-1))^(2^F415),0),D415+(E415-D415)*(1+G415)*((1-1)/(MaxLevel-1))^(2^F415)))</f>
        <v/>
      </c>
      <c r="I415" s="12" t="str">
        <f>IF(OR(D415="",E415=""),"",IF(IFERROR(INDEX(Stats!$D:$D,MATCH($C415,Stats!$A:$A,0)),FALSE),ROUND(D415+(E415-D415)*(1+G415)*((2-1)/(MaxLevel-1))^(2^F415),0),D415+(E415-D415)*(1+G415)*((2-1)/(MaxLevel-1))^(2^F415)))</f>
        <v/>
      </c>
      <c r="J415" s="12" t="str">
        <f>IF(OR(D415="",E415=""),"",IF(IFERROR(INDEX(Stats!$D:$D,MATCH($C415,Stats!$A:$A,0)),FALSE),ROUND(D415+(E415-D415)*(1+G415)*((3-1)/(MaxLevel-1))^(2^F415),0),D415+(E415-D415)*(1+G415)*((3-1)/(MaxLevel-1))^(2^F415)))</f>
        <v/>
      </c>
      <c r="K415" s="12" t="str">
        <f>IF(OR(D415="",E415=""),"",IF(IFERROR(INDEX(Stats!$D:$D,MATCH($C415,Stats!$A:$A,0)),FALSE),ROUND(D415+(E415-D415)*(1+G415)*((4-1)/(MaxLevel-1))^(2^F415),0),D415+(E415-D415)*(1+G415)*((4-1)/(MaxLevel-1))^(2^F415)))</f>
        <v/>
      </c>
      <c r="L415" s="12" t="str">
        <f>IF(OR(D415="",E415=""),"",IF(IFERROR(INDEX(Stats!$D:$D,MATCH($C415,Stats!$A:$A,0)),FALSE),ROUND(D415+(E415-D415)*(1+G415)*((5-1)/(MaxLevel-1))^(2^F415),0),D415+(E415-D415)*(1+G415)*((5-1)/(MaxLevel-1))^(2^F415)))</f>
        <v/>
      </c>
      <c r="M415" s="12" t="str">
        <f>IF(OR(D415="",E415=""),"",IF(IFERROR(INDEX(Stats!$D:$D,MATCH($C415,Stats!$A:$A,0)),FALSE),ROUND(D415+(E415-D415)*(1+G415)*((6-1)/(MaxLevel-1))^(2^F415),0),D415+(E415-D415)*(1+G415)*((6-1)/(MaxLevel-1))^(2^F415)))</f>
        <v/>
      </c>
      <c r="N415" s="12" t="str">
        <f>IF(OR(D415="",E415=""),"",IF(IFERROR(INDEX(Stats!$D:$D,MATCH($C415,Stats!$A:$A,0)),FALSE),ROUND(D415+(E415-D415)*(1+G415)*((7-1)/(MaxLevel-1))^(2^F415),0),D415+(E415-D415)*(1+G415)*((7-1)/(MaxLevel-1))^(2^F415)))</f>
        <v/>
      </c>
      <c r="O415" s="12" t="str">
        <f>IF(OR(D415="",E415=""),"",IF(IFERROR(INDEX(Stats!$D:$D,MATCH($C415,Stats!$A:$A,0)),FALSE),ROUND(D415+(E415-D415)*(1+G415)*((8-1)/(MaxLevel-1))^(2^F415),0),D415+(E415-D415)*(1+G415)*((8-1)/(MaxLevel-1))^(2^F415)))</f>
        <v/>
      </c>
      <c r="P415" s="12" t="str">
        <f>IF(OR(D415="",E415=""),"",IF(IFERROR(INDEX(Stats!$D:$D,MATCH($C415,Stats!$A:$A,0)),FALSE),ROUND(D415+(E415-D415)*(1+G415)*((9-1)/(MaxLevel-1))^(2^F415),0),D415+(E415-D415)*(1+G415)*((9-1)/(MaxLevel-1))^(2^F415)))</f>
        <v/>
      </c>
      <c r="Q415" s="12" t="str">
        <f>IF(OR(D415="",E415=""),"",IF(IFERROR(INDEX(Stats!$D:$D,MATCH($C415,Stats!$A:$A,0)),FALSE),ROUND(D415+(E415-D415)*(1+G415)*((10-1)/(MaxLevel-1))^(2^F415),0),D415+(E415-D415)*(1+G415)*((10-1)/(MaxLevel-1))^(2^F415)))</f>
        <v/>
      </c>
    </row>
    <row r="416" spans="1:17" x14ac:dyDescent="0.25">
      <c r="A416" s="4" t="s">
        <v>185</v>
      </c>
      <c r="B416" s="19" t="s">
        <v>236</v>
      </c>
      <c r="C416" s="4" t="s">
        <v>54</v>
      </c>
      <c r="D416" s="5"/>
      <c r="E416" s="5"/>
      <c r="F416" s="5"/>
      <c r="G416" s="5"/>
      <c r="H416" s="12" t="str">
        <f>IF(OR(D416="",E416=""),"",IF(IFERROR(INDEX(Stats!$D:$D,MATCH($C416,Stats!$A:$A,0)),FALSE),ROUND(D416+(E416-D416)*(1+G416)*((1-1)/(MaxLevel-1))^(2^F416),0),D416+(E416-D416)*(1+G416)*((1-1)/(MaxLevel-1))^(2^F416)))</f>
        <v/>
      </c>
      <c r="I416" s="12" t="str">
        <f>IF(OR(D416="",E416=""),"",IF(IFERROR(INDEX(Stats!$D:$D,MATCH($C416,Stats!$A:$A,0)),FALSE),ROUND(D416+(E416-D416)*(1+G416)*((2-1)/(MaxLevel-1))^(2^F416),0),D416+(E416-D416)*(1+G416)*((2-1)/(MaxLevel-1))^(2^F416)))</f>
        <v/>
      </c>
      <c r="J416" s="12" t="str">
        <f>IF(OR(D416="",E416=""),"",IF(IFERROR(INDEX(Stats!$D:$D,MATCH($C416,Stats!$A:$A,0)),FALSE),ROUND(D416+(E416-D416)*(1+G416)*((3-1)/(MaxLevel-1))^(2^F416),0),D416+(E416-D416)*(1+G416)*((3-1)/(MaxLevel-1))^(2^F416)))</f>
        <v/>
      </c>
      <c r="K416" s="12" t="str">
        <f>IF(OR(D416="",E416=""),"",IF(IFERROR(INDEX(Stats!$D:$D,MATCH($C416,Stats!$A:$A,0)),FALSE),ROUND(D416+(E416-D416)*(1+G416)*((4-1)/(MaxLevel-1))^(2^F416),0),D416+(E416-D416)*(1+G416)*((4-1)/(MaxLevel-1))^(2^F416)))</f>
        <v/>
      </c>
      <c r="L416" s="12" t="str">
        <f>IF(OR(D416="",E416=""),"",IF(IFERROR(INDEX(Stats!$D:$D,MATCH($C416,Stats!$A:$A,0)),FALSE),ROUND(D416+(E416-D416)*(1+G416)*((5-1)/(MaxLevel-1))^(2^F416),0),D416+(E416-D416)*(1+G416)*((5-1)/(MaxLevel-1))^(2^F416)))</f>
        <v/>
      </c>
      <c r="M416" s="12" t="str">
        <f>IF(OR(D416="",E416=""),"",IF(IFERROR(INDEX(Stats!$D:$D,MATCH($C416,Stats!$A:$A,0)),FALSE),ROUND(D416+(E416-D416)*(1+G416)*((6-1)/(MaxLevel-1))^(2^F416),0),D416+(E416-D416)*(1+G416)*((6-1)/(MaxLevel-1))^(2^F416)))</f>
        <v/>
      </c>
      <c r="N416" s="12" t="str">
        <f>IF(OR(D416="",E416=""),"",IF(IFERROR(INDEX(Stats!$D:$D,MATCH($C416,Stats!$A:$A,0)),FALSE),ROUND(D416+(E416-D416)*(1+G416)*((7-1)/(MaxLevel-1))^(2^F416),0),D416+(E416-D416)*(1+G416)*((7-1)/(MaxLevel-1))^(2^F416)))</f>
        <v/>
      </c>
      <c r="O416" s="12" t="str">
        <f>IF(OR(D416="",E416=""),"",IF(IFERROR(INDEX(Stats!$D:$D,MATCH($C416,Stats!$A:$A,0)),FALSE),ROUND(D416+(E416-D416)*(1+G416)*((8-1)/(MaxLevel-1))^(2^F416),0),D416+(E416-D416)*(1+G416)*((8-1)/(MaxLevel-1))^(2^F416)))</f>
        <v/>
      </c>
      <c r="P416" s="12" t="str">
        <f>IF(OR(D416="",E416=""),"",IF(IFERROR(INDEX(Stats!$D:$D,MATCH($C416,Stats!$A:$A,0)),FALSE),ROUND(D416+(E416-D416)*(1+G416)*((9-1)/(MaxLevel-1))^(2^F416),0),D416+(E416-D416)*(1+G416)*((9-1)/(MaxLevel-1))^(2^F416)))</f>
        <v/>
      </c>
      <c r="Q416" s="12" t="str">
        <f>IF(OR(D416="",E416=""),"",IF(IFERROR(INDEX(Stats!$D:$D,MATCH($C416,Stats!$A:$A,0)),FALSE),ROUND(D416+(E416-D416)*(1+G416)*((10-1)/(MaxLevel-1))^(2^F416),0),D416+(E416-D416)*(1+G416)*((10-1)/(MaxLevel-1))^(2^F416)))</f>
        <v/>
      </c>
    </row>
    <row r="417" spans="1:17" x14ac:dyDescent="0.25">
      <c r="A417" s="4" t="s">
        <v>185</v>
      </c>
      <c r="B417" s="19" t="s">
        <v>236</v>
      </c>
      <c r="C417" s="4" t="s">
        <v>56</v>
      </c>
      <c r="D417" s="5"/>
      <c r="E417" s="5"/>
      <c r="F417" s="5"/>
      <c r="G417" s="5"/>
      <c r="H417" s="12" t="str">
        <f>IF(OR(D417="",E417=""),"",IF(IFERROR(INDEX(Stats!$D:$D,MATCH($C417,Stats!$A:$A,0)),FALSE),ROUND(D417+(E417-D417)*(1+G417)*((1-1)/(MaxLevel-1))^(2^F417),0),D417+(E417-D417)*(1+G417)*((1-1)/(MaxLevel-1))^(2^F417)))</f>
        <v/>
      </c>
      <c r="I417" s="12" t="str">
        <f>IF(OR(D417="",E417=""),"",IF(IFERROR(INDEX(Stats!$D:$D,MATCH($C417,Stats!$A:$A,0)),FALSE),ROUND(D417+(E417-D417)*(1+G417)*((2-1)/(MaxLevel-1))^(2^F417),0),D417+(E417-D417)*(1+G417)*((2-1)/(MaxLevel-1))^(2^F417)))</f>
        <v/>
      </c>
      <c r="J417" s="12" t="str">
        <f>IF(OR(D417="",E417=""),"",IF(IFERROR(INDEX(Stats!$D:$D,MATCH($C417,Stats!$A:$A,0)),FALSE),ROUND(D417+(E417-D417)*(1+G417)*((3-1)/(MaxLevel-1))^(2^F417),0),D417+(E417-D417)*(1+G417)*((3-1)/(MaxLevel-1))^(2^F417)))</f>
        <v/>
      </c>
      <c r="K417" s="12" t="str">
        <f>IF(OR(D417="",E417=""),"",IF(IFERROR(INDEX(Stats!$D:$D,MATCH($C417,Stats!$A:$A,0)),FALSE),ROUND(D417+(E417-D417)*(1+G417)*((4-1)/(MaxLevel-1))^(2^F417),0),D417+(E417-D417)*(1+G417)*((4-1)/(MaxLevel-1))^(2^F417)))</f>
        <v/>
      </c>
      <c r="L417" s="12" t="str">
        <f>IF(OR(D417="",E417=""),"",IF(IFERROR(INDEX(Stats!$D:$D,MATCH($C417,Stats!$A:$A,0)),FALSE),ROUND(D417+(E417-D417)*(1+G417)*((5-1)/(MaxLevel-1))^(2^F417),0),D417+(E417-D417)*(1+G417)*((5-1)/(MaxLevel-1))^(2^F417)))</f>
        <v/>
      </c>
      <c r="M417" s="12" t="str">
        <f>IF(OR(D417="",E417=""),"",IF(IFERROR(INDEX(Stats!$D:$D,MATCH($C417,Stats!$A:$A,0)),FALSE),ROUND(D417+(E417-D417)*(1+G417)*((6-1)/(MaxLevel-1))^(2^F417),0),D417+(E417-D417)*(1+G417)*((6-1)/(MaxLevel-1))^(2^F417)))</f>
        <v/>
      </c>
      <c r="N417" s="12" t="str">
        <f>IF(OR(D417="",E417=""),"",IF(IFERROR(INDEX(Stats!$D:$D,MATCH($C417,Stats!$A:$A,0)),FALSE),ROUND(D417+(E417-D417)*(1+G417)*((7-1)/(MaxLevel-1))^(2^F417),0),D417+(E417-D417)*(1+G417)*((7-1)/(MaxLevel-1))^(2^F417)))</f>
        <v/>
      </c>
      <c r="O417" s="12" t="str">
        <f>IF(OR(D417="",E417=""),"",IF(IFERROR(INDEX(Stats!$D:$D,MATCH($C417,Stats!$A:$A,0)),FALSE),ROUND(D417+(E417-D417)*(1+G417)*((8-1)/(MaxLevel-1))^(2^F417),0),D417+(E417-D417)*(1+G417)*((8-1)/(MaxLevel-1))^(2^F417)))</f>
        <v/>
      </c>
      <c r="P417" s="12" t="str">
        <f>IF(OR(D417="",E417=""),"",IF(IFERROR(INDEX(Stats!$D:$D,MATCH($C417,Stats!$A:$A,0)),FALSE),ROUND(D417+(E417-D417)*(1+G417)*((9-1)/(MaxLevel-1))^(2^F417),0),D417+(E417-D417)*(1+G417)*((9-1)/(MaxLevel-1))^(2^F417)))</f>
        <v/>
      </c>
      <c r="Q417" s="12" t="str">
        <f>IF(OR(D417="",E417=""),"",IF(IFERROR(INDEX(Stats!$D:$D,MATCH($C417,Stats!$A:$A,0)),FALSE),ROUND(D417+(E417-D417)*(1+G417)*((10-1)/(MaxLevel-1))^(2^F417),0),D417+(E417-D417)*(1+G417)*((10-1)/(MaxLevel-1))^(2^F417)))</f>
        <v/>
      </c>
    </row>
    <row r="418" spans="1:17" x14ac:dyDescent="0.25">
      <c r="A418" s="4" t="s">
        <v>185</v>
      </c>
      <c r="B418" s="19" t="s">
        <v>236</v>
      </c>
      <c r="C418" s="4" t="s">
        <v>58</v>
      </c>
      <c r="D418" s="5"/>
      <c r="E418" s="5"/>
      <c r="F418" s="5"/>
      <c r="G418" s="5"/>
      <c r="H418" s="12" t="str">
        <f>IF(OR(D418="",E418=""),"",IF(IFERROR(INDEX(Stats!$D:$D,MATCH($C418,Stats!$A:$A,0)),FALSE),ROUND(D418+(E418-D418)*(1+G418)*((1-1)/(MaxLevel-1))^(2^F418),0),D418+(E418-D418)*(1+G418)*((1-1)/(MaxLevel-1))^(2^F418)))</f>
        <v/>
      </c>
      <c r="I418" s="12" t="str">
        <f>IF(OR(D418="",E418=""),"",IF(IFERROR(INDEX(Stats!$D:$D,MATCH($C418,Stats!$A:$A,0)),FALSE),ROUND(D418+(E418-D418)*(1+G418)*((2-1)/(MaxLevel-1))^(2^F418),0),D418+(E418-D418)*(1+G418)*((2-1)/(MaxLevel-1))^(2^F418)))</f>
        <v/>
      </c>
      <c r="J418" s="12" t="str">
        <f>IF(OR(D418="",E418=""),"",IF(IFERROR(INDEX(Stats!$D:$D,MATCH($C418,Stats!$A:$A,0)),FALSE),ROUND(D418+(E418-D418)*(1+G418)*((3-1)/(MaxLevel-1))^(2^F418),0),D418+(E418-D418)*(1+G418)*((3-1)/(MaxLevel-1))^(2^F418)))</f>
        <v/>
      </c>
      <c r="K418" s="12" t="str">
        <f>IF(OR(D418="",E418=""),"",IF(IFERROR(INDEX(Stats!$D:$D,MATCH($C418,Stats!$A:$A,0)),FALSE),ROUND(D418+(E418-D418)*(1+G418)*((4-1)/(MaxLevel-1))^(2^F418),0),D418+(E418-D418)*(1+G418)*((4-1)/(MaxLevel-1))^(2^F418)))</f>
        <v/>
      </c>
      <c r="L418" s="12" t="str">
        <f>IF(OR(D418="",E418=""),"",IF(IFERROR(INDEX(Stats!$D:$D,MATCH($C418,Stats!$A:$A,0)),FALSE),ROUND(D418+(E418-D418)*(1+G418)*((5-1)/(MaxLevel-1))^(2^F418),0),D418+(E418-D418)*(1+G418)*((5-1)/(MaxLevel-1))^(2^F418)))</f>
        <v/>
      </c>
      <c r="M418" s="12" t="str">
        <f>IF(OR(D418="",E418=""),"",IF(IFERROR(INDEX(Stats!$D:$D,MATCH($C418,Stats!$A:$A,0)),FALSE),ROUND(D418+(E418-D418)*(1+G418)*((6-1)/(MaxLevel-1))^(2^F418),0),D418+(E418-D418)*(1+G418)*((6-1)/(MaxLevel-1))^(2^F418)))</f>
        <v/>
      </c>
      <c r="N418" s="12" t="str">
        <f>IF(OR(D418="",E418=""),"",IF(IFERROR(INDEX(Stats!$D:$D,MATCH($C418,Stats!$A:$A,0)),FALSE),ROUND(D418+(E418-D418)*(1+G418)*((7-1)/(MaxLevel-1))^(2^F418),0),D418+(E418-D418)*(1+G418)*((7-1)/(MaxLevel-1))^(2^F418)))</f>
        <v/>
      </c>
      <c r="O418" s="12" t="str">
        <f>IF(OR(D418="",E418=""),"",IF(IFERROR(INDEX(Stats!$D:$D,MATCH($C418,Stats!$A:$A,0)),FALSE),ROUND(D418+(E418-D418)*(1+G418)*((8-1)/(MaxLevel-1))^(2^F418),0),D418+(E418-D418)*(1+G418)*((8-1)/(MaxLevel-1))^(2^F418)))</f>
        <v/>
      </c>
      <c r="P418" s="12" t="str">
        <f>IF(OR(D418="",E418=""),"",IF(IFERROR(INDEX(Stats!$D:$D,MATCH($C418,Stats!$A:$A,0)),FALSE),ROUND(D418+(E418-D418)*(1+G418)*((9-1)/(MaxLevel-1))^(2^F418),0),D418+(E418-D418)*(1+G418)*((9-1)/(MaxLevel-1))^(2^F418)))</f>
        <v/>
      </c>
      <c r="Q418" s="12" t="str">
        <f>IF(OR(D418="",E418=""),"",IF(IFERROR(INDEX(Stats!$D:$D,MATCH($C418,Stats!$A:$A,0)),FALSE),ROUND(D418+(E418-D418)*(1+G418)*((10-1)/(MaxLevel-1))^(2^F418),0),D418+(E418-D418)*(1+G418)*((10-1)/(MaxLevel-1))^(2^F418)))</f>
        <v/>
      </c>
    </row>
    <row r="419" spans="1:17" x14ac:dyDescent="0.25">
      <c r="A419" s="4" t="s">
        <v>185</v>
      </c>
      <c r="B419" s="19" t="s">
        <v>236</v>
      </c>
      <c r="C419" s="4" t="s">
        <v>60</v>
      </c>
      <c r="D419" s="5"/>
      <c r="E419" s="5"/>
      <c r="F419" s="5"/>
      <c r="G419" s="5"/>
      <c r="H419" s="12" t="str">
        <f>IF(OR(D419="",E419=""),"",IF(IFERROR(INDEX(Stats!$D:$D,MATCH($C419,Stats!$A:$A,0)),FALSE),ROUND(D419+(E419-D419)*(1+G419)*((1-1)/(MaxLevel-1))^(2^F419),0),D419+(E419-D419)*(1+G419)*((1-1)/(MaxLevel-1))^(2^F419)))</f>
        <v/>
      </c>
      <c r="I419" s="12" t="str">
        <f>IF(OR(D419="",E419=""),"",IF(IFERROR(INDEX(Stats!$D:$D,MATCH($C419,Stats!$A:$A,0)),FALSE),ROUND(D419+(E419-D419)*(1+G419)*((2-1)/(MaxLevel-1))^(2^F419),0),D419+(E419-D419)*(1+G419)*((2-1)/(MaxLevel-1))^(2^F419)))</f>
        <v/>
      </c>
      <c r="J419" s="12" t="str">
        <f>IF(OR(D419="",E419=""),"",IF(IFERROR(INDEX(Stats!$D:$D,MATCH($C419,Stats!$A:$A,0)),FALSE),ROUND(D419+(E419-D419)*(1+G419)*((3-1)/(MaxLevel-1))^(2^F419),0),D419+(E419-D419)*(1+G419)*((3-1)/(MaxLevel-1))^(2^F419)))</f>
        <v/>
      </c>
      <c r="K419" s="12" t="str">
        <f>IF(OR(D419="",E419=""),"",IF(IFERROR(INDEX(Stats!$D:$D,MATCH($C419,Stats!$A:$A,0)),FALSE),ROUND(D419+(E419-D419)*(1+G419)*((4-1)/(MaxLevel-1))^(2^F419),0),D419+(E419-D419)*(1+G419)*((4-1)/(MaxLevel-1))^(2^F419)))</f>
        <v/>
      </c>
      <c r="L419" s="12" t="str">
        <f>IF(OR(D419="",E419=""),"",IF(IFERROR(INDEX(Stats!$D:$D,MATCH($C419,Stats!$A:$A,0)),FALSE),ROUND(D419+(E419-D419)*(1+G419)*((5-1)/(MaxLevel-1))^(2^F419),0),D419+(E419-D419)*(1+G419)*((5-1)/(MaxLevel-1))^(2^F419)))</f>
        <v/>
      </c>
      <c r="M419" s="12" t="str">
        <f>IF(OR(D419="",E419=""),"",IF(IFERROR(INDEX(Stats!$D:$D,MATCH($C419,Stats!$A:$A,0)),FALSE),ROUND(D419+(E419-D419)*(1+G419)*((6-1)/(MaxLevel-1))^(2^F419),0),D419+(E419-D419)*(1+G419)*((6-1)/(MaxLevel-1))^(2^F419)))</f>
        <v/>
      </c>
      <c r="N419" s="12" t="str">
        <f>IF(OR(D419="",E419=""),"",IF(IFERROR(INDEX(Stats!$D:$D,MATCH($C419,Stats!$A:$A,0)),FALSE),ROUND(D419+(E419-D419)*(1+G419)*((7-1)/(MaxLevel-1))^(2^F419),0),D419+(E419-D419)*(1+G419)*((7-1)/(MaxLevel-1))^(2^F419)))</f>
        <v/>
      </c>
      <c r="O419" s="12" t="str">
        <f>IF(OR(D419="",E419=""),"",IF(IFERROR(INDEX(Stats!$D:$D,MATCH($C419,Stats!$A:$A,0)),FALSE),ROUND(D419+(E419-D419)*(1+G419)*((8-1)/(MaxLevel-1))^(2^F419),0),D419+(E419-D419)*(1+G419)*((8-1)/(MaxLevel-1))^(2^F419)))</f>
        <v/>
      </c>
      <c r="P419" s="12" t="str">
        <f>IF(OR(D419="",E419=""),"",IF(IFERROR(INDEX(Stats!$D:$D,MATCH($C419,Stats!$A:$A,0)),FALSE),ROUND(D419+(E419-D419)*(1+G419)*((9-1)/(MaxLevel-1))^(2^F419),0),D419+(E419-D419)*(1+G419)*((9-1)/(MaxLevel-1))^(2^F419)))</f>
        <v/>
      </c>
      <c r="Q419" s="12" t="str">
        <f>IF(OR(D419="",E419=""),"",IF(IFERROR(INDEX(Stats!$D:$D,MATCH($C419,Stats!$A:$A,0)),FALSE),ROUND(D419+(E419-D419)*(1+G419)*((10-1)/(MaxLevel-1))^(2^F419),0),D419+(E419-D419)*(1+G419)*((10-1)/(MaxLevel-1))^(2^F419)))</f>
        <v/>
      </c>
    </row>
    <row r="420" spans="1:17" x14ac:dyDescent="0.25">
      <c r="A420" s="4" t="s">
        <v>185</v>
      </c>
      <c r="B420" s="4" t="s">
        <v>201</v>
      </c>
      <c r="C420" s="4" t="s">
        <v>24</v>
      </c>
      <c r="D420" s="5"/>
      <c r="E420" s="5"/>
      <c r="F420" s="5"/>
      <c r="G420" s="5"/>
      <c r="H420" s="12" t="str">
        <f>IF(OR(D420="",E420=""),"",IF(IFERROR(INDEX(Stats!$D:$D,MATCH($C420,Stats!$A:$A,0)),FALSE),ROUND(D420+(E420-D420)*(1+G420)*((1-1)/(MaxLevel-1))^(2^F420),0),D420+(E420-D420)*(1+G420)*((1-1)/(MaxLevel-1))^(2^F420)))</f>
        <v/>
      </c>
      <c r="I420" s="12" t="str">
        <f>IF(OR(D420="",E420=""),"",IF(IFERROR(INDEX(Stats!$D:$D,MATCH($C420,Stats!$A:$A,0)),FALSE),ROUND(D420+(E420-D420)*(1+G420)*((2-1)/(MaxLevel-1))^(2^F420),0),D420+(E420-D420)*(1+G420)*((2-1)/(MaxLevel-1))^(2^F420)))</f>
        <v/>
      </c>
      <c r="J420" s="12" t="str">
        <f>IF(OR(D420="",E420=""),"",IF(IFERROR(INDEX(Stats!$D:$D,MATCH($C420,Stats!$A:$A,0)),FALSE),ROUND(D420+(E420-D420)*(1+G420)*((3-1)/(MaxLevel-1))^(2^F420),0),D420+(E420-D420)*(1+G420)*((3-1)/(MaxLevel-1))^(2^F420)))</f>
        <v/>
      </c>
      <c r="K420" s="12" t="str">
        <f>IF(OR(D420="",E420=""),"",IF(IFERROR(INDEX(Stats!$D:$D,MATCH($C420,Stats!$A:$A,0)),FALSE),ROUND(D420+(E420-D420)*(1+G420)*((4-1)/(MaxLevel-1))^(2^F420),0),D420+(E420-D420)*(1+G420)*((4-1)/(MaxLevel-1))^(2^F420)))</f>
        <v/>
      </c>
      <c r="L420" s="12" t="str">
        <f>IF(OR(D420="",E420=""),"",IF(IFERROR(INDEX(Stats!$D:$D,MATCH($C420,Stats!$A:$A,0)),FALSE),ROUND(D420+(E420-D420)*(1+G420)*((5-1)/(MaxLevel-1))^(2^F420),0),D420+(E420-D420)*(1+G420)*((5-1)/(MaxLevel-1))^(2^F420)))</f>
        <v/>
      </c>
      <c r="M420" s="12" t="str">
        <f>IF(OR(D420="",E420=""),"",IF(IFERROR(INDEX(Stats!$D:$D,MATCH($C420,Stats!$A:$A,0)),FALSE),ROUND(D420+(E420-D420)*(1+G420)*((6-1)/(MaxLevel-1))^(2^F420),0),D420+(E420-D420)*(1+G420)*((6-1)/(MaxLevel-1))^(2^F420)))</f>
        <v/>
      </c>
      <c r="N420" s="12" t="str">
        <f>IF(OR(D420="",E420=""),"",IF(IFERROR(INDEX(Stats!$D:$D,MATCH($C420,Stats!$A:$A,0)),FALSE),ROUND(D420+(E420-D420)*(1+G420)*((7-1)/(MaxLevel-1))^(2^F420),0),D420+(E420-D420)*(1+G420)*((7-1)/(MaxLevel-1))^(2^F420)))</f>
        <v/>
      </c>
      <c r="O420" s="12" t="str">
        <f>IF(OR(D420="",E420=""),"",IF(IFERROR(INDEX(Stats!$D:$D,MATCH($C420,Stats!$A:$A,0)),FALSE),ROUND(D420+(E420-D420)*(1+G420)*((8-1)/(MaxLevel-1))^(2^F420),0),D420+(E420-D420)*(1+G420)*((8-1)/(MaxLevel-1))^(2^F420)))</f>
        <v/>
      </c>
      <c r="P420" s="12" t="str">
        <f>IF(OR(D420="",E420=""),"",IF(IFERROR(INDEX(Stats!$D:$D,MATCH($C420,Stats!$A:$A,0)),FALSE),ROUND(D420+(E420-D420)*(1+G420)*((9-1)/(MaxLevel-1))^(2^F420),0),D420+(E420-D420)*(1+G420)*((9-1)/(MaxLevel-1))^(2^F420)))</f>
        <v/>
      </c>
      <c r="Q420" s="12" t="str">
        <f>IF(OR(D420="",E420=""),"",IF(IFERROR(INDEX(Stats!$D:$D,MATCH($C420,Stats!$A:$A,0)),FALSE),ROUND(D420+(E420-D420)*(1+G420)*((10-1)/(MaxLevel-1))^(2^F420),0),D420+(E420-D420)*(1+G420)*((10-1)/(MaxLevel-1))^(2^F420)))</f>
        <v/>
      </c>
    </row>
    <row r="421" spans="1:17" x14ac:dyDescent="0.25">
      <c r="A421" s="4" t="s">
        <v>185</v>
      </c>
      <c r="B421" s="4" t="s">
        <v>201</v>
      </c>
      <c r="C421" s="4" t="s">
        <v>26</v>
      </c>
      <c r="D421" s="5"/>
      <c r="E421" s="5"/>
      <c r="F421" s="5"/>
      <c r="G421" s="5"/>
      <c r="H421" s="12" t="str">
        <f>IF(OR(D421="",E421=""),"",IF(IFERROR(INDEX(Stats!$D:$D,MATCH($C421,Stats!$A:$A,0)),FALSE),ROUND(D421+(E421-D421)*(1+G421)*((1-1)/(MaxLevel-1))^(2^F421),0),D421+(E421-D421)*(1+G421)*((1-1)/(MaxLevel-1))^(2^F421)))</f>
        <v/>
      </c>
      <c r="I421" s="12" t="str">
        <f>IF(OR(D421="",E421=""),"",IF(IFERROR(INDEX(Stats!$D:$D,MATCH($C421,Stats!$A:$A,0)),FALSE),ROUND(D421+(E421-D421)*(1+G421)*((2-1)/(MaxLevel-1))^(2^F421),0),D421+(E421-D421)*(1+G421)*((2-1)/(MaxLevel-1))^(2^F421)))</f>
        <v/>
      </c>
      <c r="J421" s="12" t="str">
        <f>IF(OR(D421="",E421=""),"",IF(IFERROR(INDEX(Stats!$D:$D,MATCH($C421,Stats!$A:$A,0)),FALSE),ROUND(D421+(E421-D421)*(1+G421)*((3-1)/(MaxLevel-1))^(2^F421),0),D421+(E421-D421)*(1+G421)*((3-1)/(MaxLevel-1))^(2^F421)))</f>
        <v/>
      </c>
      <c r="K421" s="12" t="str">
        <f>IF(OR(D421="",E421=""),"",IF(IFERROR(INDEX(Stats!$D:$D,MATCH($C421,Stats!$A:$A,0)),FALSE),ROUND(D421+(E421-D421)*(1+G421)*((4-1)/(MaxLevel-1))^(2^F421),0),D421+(E421-D421)*(1+G421)*((4-1)/(MaxLevel-1))^(2^F421)))</f>
        <v/>
      </c>
      <c r="L421" s="12" t="str">
        <f>IF(OR(D421="",E421=""),"",IF(IFERROR(INDEX(Stats!$D:$D,MATCH($C421,Stats!$A:$A,0)),FALSE),ROUND(D421+(E421-D421)*(1+G421)*((5-1)/(MaxLevel-1))^(2^F421),0),D421+(E421-D421)*(1+G421)*((5-1)/(MaxLevel-1))^(2^F421)))</f>
        <v/>
      </c>
      <c r="M421" s="12" t="str">
        <f>IF(OR(D421="",E421=""),"",IF(IFERROR(INDEX(Stats!$D:$D,MATCH($C421,Stats!$A:$A,0)),FALSE),ROUND(D421+(E421-D421)*(1+G421)*((6-1)/(MaxLevel-1))^(2^F421),0),D421+(E421-D421)*(1+G421)*((6-1)/(MaxLevel-1))^(2^F421)))</f>
        <v/>
      </c>
      <c r="N421" s="12" t="str">
        <f>IF(OR(D421="",E421=""),"",IF(IFERROR(INDEX(Stats!$D:$D,MATCH($C421,Stats!$A:$A,0)),FALSE),ROUND(D421+(E421-D421)*(1+G421)*((7-1)/(MaxLevel-1))^(2^F421),0),D421+(E421-D421)*(1+G421)*((7-1)/(MaxLevel-1))^(2^F421)))</f>
        <v/>
      </c>
      <c r="O421" s="12" t="str">
        <f>IF(OR(D421="",E421=""),"",IF(IFERROR(INDEX(Stats!$D:$D,MATCH($C421,Stats!$A:$A,0)),FALSE),ROUND(D421+(E421-D421)*(1+G421)*((8-1)/(MaxLevel-1))^(2^F421),0),D421+(E421-D421)*(1+G421)*((8-1)/(MaxLevel-1))^(2^F421)))</f>
        <v/>
      </c>
      <c r="P421" s="12" t="str">
        <f>IF(OR(D421="",E421=""),"",IF(IFERROR(INDEX(Stats!$D:$D,MATCH($C421,Stats!$A:$A,0)),FALSE),ROUND(D421+(E421-D421)*(1+G421)*((9-1)/(MaxLevel-1))^(2^F421),0),D421+(E421-D421)*(1+G421)*((9-1)/(MaxLevel-1))^(2^F421)))</f>
        <v/>
      </c>
      <c r="Q421" s="12" t="str">
        <f>IF(OR(D421="",E421=""),"",IF(IFERROR(INDEX(Stats!$D:$D,MATCH($C421,Stats!$A:$A,0)),FALSE),ROUND(D421+(E421-D421)*(1+G421)*((10-1)/(MaxLevel-1))^(2^F421),0),D421+(E421-D421)*(1+G421)*((10-1)/(MaxLevel-1))^(2^F421)))</f>
        <v/>
      </c>
    </row>
    <row r="422" spans="1:17" x14ac:dyDescent="0.25">
      <c r="A422" s="4" t="s">
        <v>185</v>
      </c>
      <c r="B422" s="4" t="s">
        <v>201</v>
      </c>
      <c r="C422" s="4" t="s">
        <v>28</v>
      </c>
      <c r="D422" s="5">
        <v>100</v>
      </c>
      <c r="E422" s="5">
        <v>250</v>
      </c>
      <c r="F422" s="5">
        <v>0</v>
      </c>
      <c r="G422" s="5">
        <v>0</v>
      </c>
      <c r="H422" s="12">
        <f>IF(OR(D422="",E422=""),"",IF(IFERROR(INDEX(Stats!$D:$D,MATCH($C422,Stats!$A:$A,0)),FALSE),ROUND(D422+(E422-D422)*(1+G422)*((1-1)/(MaxLevel-1))^(2^F422),0),D422+(E422-D422)*(1+G422)*((1-1)/(MaxLevel-1))^(2^F422)))</f>
        <v>100</v>
      </c>
      <c r="I422" s="12">
        <f>IF(OR(D422="",E422=""),"",IF(IFERROR(INDEX(Stats!$D:$D,MATCH($C422,Stats!$A:$A,0)),FALSE),ROUND(D422+(E422-D422)*(1+G422)*((2-1)/(MaxLevel-1))^(2^F422),0),D422+(E422-D422)*(1+G422)*((2-1)/(MaxLevel-1))^(2^F422)))</f>
        <v>117</v>
      </c>
      <c r="J422" s="12">
        <f>IF(OR(D422="",E422=""),"",IF(IFERROR(INDEX(Stats!$D:$D,MATCH($C422,Stats!$A:$A,0)),FALSE),ROUND(D422+(E422-D422)*(1+G422)*((3-1)/(MaxLevel-1))^(2^F422),0),D422+(E422-D422)*(1+G422)*((3-1)/(MaxLevel-1))^(2^F422)))</f>
        <v>133</v>
      </c>
      <c r="K422" s="12">
        <f>IF(OR(D422="",E422=""),"",IF(IFERROR(INDEX(Stats!$D:$D,MATCH($C422,Stats!$A:$A,0)),FALSE),ROUND(D422+(E422-D422)*(1+G422)*((4-1)/(MaxLevel-1))^(2^F422),0),D422+(E422-D422)*(1+G422)*((4-1)/(MaxLevel-1))^(2^F422)))</f>
        <v>150</v>
      </c>
      <c r="L422" s="12">
        <f>IF(OR(D422="",E422=""),"",IF(IFERROR(INDEX(Stats!$D:$D,MATCH($C422,Stats!$A:$A,0)),FALSE),ROUND(D422+(E422-D422)*(1+G422)*((5-1)/(MaxLevel-1))^(2^F422),0),D422+(E422-D422)*(1+G422)*((5-1)/(MaxLevel-1))^(2^F422)))</f>
        <v>167</v>
      </c>
      <c r="M422" s="12">
        <f>IF(OR(D422="",E422=""),"",IF(IFERROR(INDEX(Stats!$D:$D,MATCH($C422,Stats!$A:$A,0)),FALSE),ROUND(D422+(E422-D422)*(1+G422)*((6-1)/(MaxLevel-1))^(2^F422),0),D422+(E422-D422)*(1+G422)*((6-1)/(MaxLevel-1))^(2^F422)))</f>
        <v>183</v>
      </c>
      <c r="N422" s="12">
        <f>IF(OR(D422="",E422=""),"",IF(IFERROR(INDEX(Stats!$D:$D,MATCH($C422,Stats!$A:$A,0)),FALSE),ROUND(D422+(E422-D422)*(1+G422)*((7-1)/(MaxLevel-1))^(2^F422),0),D422+(E422-D422)*(1+G422)*((7-1)/(MaxLevel-1))^(2^F422)))</f>
        <v>200</v>
      </c>
      <c r="O422" s="12">
        <f>IF(OR(D422="",E422=""),"",IF(IFERROR(INDEX(Stats!$D:$D,MATCH($C422,Stats!$A:$A,0)),FALSE),ROUND(D422+(E422-D422)*(1+G422)*((8-1)/(MaxLevel-1))^(2^F422),0),D422+(E422-D422)*(1+G422)*((8-1)/(MaxLevel-1))^(2^F422)))</f>
        <v>217</v>
      </c>
      <c r="P422" s="12">
        <f>IF(OR(D422="",E422=""),"",IF(IFERROR(INDEX(Stats!$D:$D,MATCH($C422,Stats!$A:$A,0)),FALSE),ROUND(D422+(E422-D422)*(1+G422)*((9-1)/(MaxLevel-1))^(2^F422),0),D422+(E422-D422)*(1+G422)*((9-1)/(MaxLevel-1))^(2^F422)))</f>
        <v>233</v>
      </c>
      <c r="Q422" s="12">
        <f>IF(OR(D422="",E422=""),"",IF(IFERROR(INDEX(Stats!$D:$D,MATCH($C422,Stats!$A:$A,0)),FALSE),ROUND(D422+(E422-D422)*(1+G422)*((10-1)/(MaxLevel-1))^(2^F422),0),D422+(E422-D422)*(1+G422)*((10-1)/(MaxLevel-1))^(2^F422)))</f>
        <v>250</v>
      </c>
    </row>
    <row r="423" spans="1:17" x14ac:dyDescent="0.25">
      <c r="A423" s="4" t="s">
        <v>185</v>
      </c>
      <c r="B423" s="4" t="s">
        <v>201</v>
      </c>
      <c r="C423" s="4" t="s">
        <v>30</v>
      </c>
      <c r="D423" s="5">
        <v>20</v>
      </c>
      <c r="E423" s="5">
        <v>40</v>
      </c>
      <c r="F423" s="5">
        <v>0</v>
      </c>
      <c r="G423" s="5">
        <v>0</v>
      </c>
      <c r="H423" s="12">
        <f>IF(OR(D423="",E423=""),"",IF(IFERROR(INDEX(Stats!$D:$D,MATCH($C423,Stats!$A:$A,0)),FALSE),ROUND(D423+(E423-D423)*(1+G423)*((1-1)/(MaxLevel-1))^(2^F423),0),D423+(E423-D423)*(1+G423)*((1-1)/(MaxLevel-1))^(2^F423)))</f>
        <v>20</v>
      </c>
      <c r="I423" s="12">
        <f>IF(OR(D423="",E423=""),"",IF(IFERROR(INDEX(Stats!$D:$D,MATCH($C423,Stats!$A:$A,0)),FALSE),ROUND(D423+(E423-D423)*(1+G423)*((2-1)/(MaxLevel-1))^(2^F423),0),D423+(E423-D423)*(1+G423)*((2-1)/(MaxLevel-1))^(2^F423)))</f>
        <v>22</v>
      </c>
      <c r="J423" s="12">
        <f>IF(OR(D423="",E423=""),"",IF(IFERROR(INDEX(Stats!$D:$D,MATCH($C423,Stats!$A:$A,0)),FALSE),ROUND(D423+(E423-D423)*(1+G423)*((3-1)/(MaxLevel-1))^(2^F423),0),D423+(E423-D423)*(1+G423)*((3-1)/(MaxLevel-1))^(2^F423)))</f>
        <v>24</v>
      </c>
      <c r="K423" s="12">
        <f>IF(OR(D423="",E423=""),"",IF(IFERROR(INDEX(Stats!$D:$D,MATCH($C423,Stats!$A:$A,0)),FALSE),ROUND(D423+(E423-D423)*(1+G423)*((4-1)/(MaxLevel-1))^(2^F423),0),D423+(E423-D423)*(1+G423)*((4-1)/(MaxLevel-1))^(2^F423)))</f>
        <v>27</v>
      </c>
      <c r="L423" s="12">
        <f>IF(OR(D423="",E423=""),"",IF(IFERROR(INDEX(Stats!$D:$D,MATCH($C423,Stats!$A:$A,0)),FALSE),ROUND(D423+(E423-D423)*(1+G423)*((5-1)/(MaxLevel-1))^(2^F423),0),D423+(E423-D423)*(1+G423)*((5-1)/(MaxLevel-1))^(2^F423)))</f>
        <v>29</v>
      </c>
      <c r="M423" s="12">
        <f>IF(OR(D423="",E423=""),"",IF(IFERROR(INDEX(Stats!$D:$D,MATCH($C423,Stats!$A:$A,0)),FALSE),ROUND(D423+(E423-D423)*(1+G423)*((6-1)/(MaxLevel-1))^(2^F423),0),D423+(E423-D423)*(1+G423)*((6-1)/(MaxLevel-1))^(2^F423)))</f>
        <v>31</v>
      </c>
      <c r="N423" s="12">
        <f>IF(OR(D423="",E423=""),"",IF(IFERROR(INDEX(Stats!$D:$D,MATCH($C423,Stats!$A:$A,0)),FALSE),ROUND(D423+(E423-D423)*(1+G423)*((7-1)/(MaxLevel-1))^(2^F423),0),D423+(E423-D423)*(1+G423)*((7-1)/(MaxLevel-1))^(2^F423)))</f>
        <v>33</v>
      </c>
      <c r="O423" s="12">
        <f>IF(OR(D423="",E423=""),"",IF(IFERROR(INDEX(Stats!$D:$D,MATCH($C423,Stats!$A:$A,0)),FALSE),ROUND(D423+(E423-D423)*(1+G423)*((8-1)/(MaxLevel-1))^(2^F423),0),D423+(E423-D423)*(1+G423)*((8-1)/(MaxLevel-1))^(2^F423)))</f>
        <v>36</v>
      </c>
      <c r="P423" s="12">
        <f>IF(OR(D423="",E423=""),"",IF(IFERROR(INDEX(Stats!$D:$D,MATCH($C423,Stats!$A:$A,0)),FALSE),ROUND(D423+(E423-D423)*(1+G423)*((9-1)/(MaxLevel-1))^(2^F423),0),D423+(E423-D423)*(1+G423)*((9-1)/(MaxLevel-1))^(2^F423)))</f>
        <v>38</v>
      </c>
      <c r="Q423" s="12">
        <f>IF(OR(D423="",E423=""),"",IF(IFERROR(INDEX(Stats!$D:$D,MATCH($C423,Stats!$A:$A,0)),FALSE),ROUND(D423+(E423-D423)*(1+G423)*((10-1)/(MaxLevel-1))^(2^F423),0),D423+(E423-D423)*(1+G423)*((10-1)/(MaxLevel-1))^(2^F423)))</f>
        <v>40</v>
      </c>
    </row>
    <row r="424" spans="1:17" x14ac:dyDescent="0.25">
      <c r="A424" s="4" t="s">
        <v>185</v>
      </c>
      <c r="B424" s="4" t="s">
        <v>201</v>
      </c>
      <c r="C424" s="4" t="s">
        <v>32</v>
      </c>
      <c r="D424" s="5"/>
      <c r="E424" s="5"/>
      <c r="F424" s="5"/>
      <c r="G424" s="5"/>
      <c r="H424" s="12" t="str">
        <f>IF(OR(D424="",E424=""),"",IF(IFERROR(INDEX(Stats!$D:$D,MATCH($C424,Stats!$A:$A,0)),FALSE),ROUND(D424+(E424-D424)*(1+G424)*((1-1)/(MaxLevel-1))^(2^F424),0),D424+(E424-D424)*(1+G424)*((1-1)/(MaxLevel-1))^(2^F424)))</f>
        <v/>
      </c>
      <c r="I424" s="12" t="str">
        <f>IF(OR(D424="",E424=""),"",IF(IFERROR(INDEX(Stats!$D:$D,MATCH($C424,Stats!$A:$A,0)),FALSE),ROUND(D424+(E424-D424)*(1+G424)*((2-1)/(MaxLevel-1))^(2^F424),0),D424+(E424-D424)*(1+G424)*((2-1)/(MaxLevel-1))^(2^F424)))</f>
        <v/>
      </c>
      <c r="J424" s="12" t="str">
        <f>IF(OR(D424="",E424=""),"",IF(IFERROR(INDEX(Stats!$D:$D,MATCH($C424,Stats!$A:$A,0)),FALSE),ROUND(D424+(E424-D424)*(1+G424)*((3-1)/(MaxLevel-1))^(2^F424),0),D424+(E424-D424)*(1+G424)*((3-1)/(MaxLevel-1))^(2^F424)))</f>
        <v/>
      </c>
      <c r="K424" s="12" t="str">
        <f>IF(OR(D424="",E424=""),"",IF(IFERROR(INDEX(Stats!$D:$D,MATCH($C424,Stats!$A:$A,0)),FALSE),ROUND(D424+(E424-D424)*(1+G424)*((4-1)/(MaxLevel-1))^(2^F424),0),D424+(E424-D424)*(1+G424)*((4-1)/(MaxLevel-1))^(2^F424)))</f>
        <v/>
      </c>
      <c r="L424" s="12" t="str">
        <f>IF(OR(D424="",E424=""),"",IF(IFERROR(INDEX(Stats!$D:$D,MATCH($C424,Stats!$A:$A,0)),FALSE),ROUND(D424+(E424-D424)*(1+G424)*((5-1)/(MaxLevel-1))^(2^F424),0),D424+(E424-D424)*(1+G424)*((5-1)/(MaxLevel-1))^(2^F424)))</f>
        <v/>
      </c>
      <c r="M424" s="12" t="str">
        <f>IF(OR(D424="",E424=""),"",IF(IFERROR(INDEX(Stats!$D:$D,MATCH($C424,Stats!$A:$A,0)),FALSE),ROUND(D424+(E424-D424)*(1+G424)*((6-1)/(MaxLevel-1))^(2^F424),0),D424+(E424-D424)*(1+G424)*((6-1)/(MaxLevel-1))^(2^F424)))</f>
        <v/>
      </c>
      <c r="N424" s="12" t="str">
        <f>IF(OR(D424="",E424=""),"",IF(IFERROR(INDEX(Stats!$D:$D,MATCH($C424,Stats!$A:$A,0)),FALSE),ROUND(D424+(E424-D424)*(1+G424)*((7-1)/(MaxLevel-1))^(2^F424),0),D424+(E424-D424)*(1+G424)*((7-1)/(MaxLevel-1))^(2^F424)))</f>
        <v/>
      </c>
      <c r="O424" s="12" t="str">
        <f>IF(OR(D424="",E424=""),"",IF(IFERROR(INDEX(Stats!$D:$D,MATCH($C424,Stats!$A:$A,0)),FALSE),ROUND(D424+(E424-D424)*(1+G424)*((8-1)/(MaxLevel-1))^(2^F424),0),D424+(E424-D424)*(1+G424)*((8-1)/(MaxLevel-1))^(2^F424)))</f>
        <v/>
      </c>
      <c r="P424" s="12" t="str">
        <f>IF(OR(D424="",E424=""),"",IF(IFERROR(INDEX(Stats!$D:$D,MATCH($C424,Stats!$A:$A,0)),FALSE),ROUND(D424+(E424-D424)*(1+G424)*((9-1)/(MaxLevel-1))^(2^F424),0),D424+(E424-D424)*(1+G424)*((9-1)/(MaxLevel-1))^(2^F424)))</f>
        <v/>
      </c>
      <c r="Q424" s="12" t="str">
        <f>IF(OR(D424="",E424=""),"",IF(IFERROR(INDEX(Stats!$D:$D,MATCH($C424,Stats!$A:$A,0)),FALSE),ROUND(D424+(E424-D424)*(1+G424)*((10-1)/(MaxLevel-1))^(2^F424),0),D424+(E424-D424)*(1+G424)*((10-1)/(MaxLevel-1))^(2^F424)))</f>
        <v/>
      </c>
    </row>
    <row r="425" spans="1:17" x14ac:dyDescent="0.25">
      <c r="A425" s="4" t="s">
        <v>185</v>
      </c>
      <c r="B425" s="4" t="s">
        <v>201</v>
      </c>
      <c r="C425" s="4" t="s">
        <v>34</v>
      </c>
      <c r="D425" s="5"/>
      <c r="E425" s="5"/>
      <c r="F425" s="5"/>
      <c r="G425" s="5"/>
      <c r="H425" s="12" t="str">
        <f>IF(OR(D425="",E425=""),"",IF(IFERROR(INDEX(Stats!$D:$D,MATCH($C425,Stats!$A:$A,0)),FALSE),ROUND(D425+(E425-D425)*(1+G425)*((1-1)/(MaxLevel-1))^(2^F425),0),D425+(E425-D425)*(1+G425)*((1-1)/(MaxLevel-1))^(2^F425)))</f>
        <v/>
      </c>
      <c r="I425" s="12" t="str">
        <f>IF(OR(D425="",E425=""),"",IF(IFERROR(INDEX(Stats!$D:$D,MATCH($C425,Stats!$A:$A,0)),FALSE),ROUND(D425+(E425-D425)*(1+G425)*((2-1)/(MaxLevel-1))^(2^F425),0),D425+(E425-D425)*(1+G425)*((2-1)/(MaxLevel-1))^(2^F425)))</f>
        <v/>
      </c>
      <c r="J425" s="12" t="str">
        <f>IF(OR(D425="",E425=""),"",IF(IFERROR(INDEX(Stats!$D:$D,MATCH($C425,Stats!$A:$A,0)),FALSE),ROUND(D425+(E425-D425)*(1+G425)*((3-1)/(MaxLevel-1))^(2^F425),0),D425+(E425-D425)*(1+G425)*((3-1)/(MaxLevel-1))^(2^F425)))</f>
        <v/>
      </c>
      <c r="K425" s="12" t="str">
        <f>IF(OR(D425="",E425=""),"",IF(IFERROR(INDEX(Stats!$D:$D,MATCH($C425,Stats!$A:$A,0)),FALSE),ROUND(D425+(E425-D425)*(1+G425)*((4-1)/(MaxLevel-1))^(2^F425),0),D425+(E425-D425)*(1+G425)*((4-1)/(MaxLevel-1))^(2^F425)))</f>
        <v/>
      </c>
      <c r="L425" s="12" t="str">
        <f>IF(OR(D425="",E425=""),"",IF(IFERROR(INDEX(Stats!$D:$D,MATCH($C425,Stats!$A:$A,0)),FALSE),ROUND(D425+(E425-D425)*(1+G425)*((5-1)/(MaxLevel-1))^(2^F425),0),D425+(E425-D425)*(1+G425)*((5-1)/(MaxLevel-1))^(2^F425)))</f>
        <v/>
      </c>
      <c r="M425" s="12" t="str">
        <f>IF(OR(D425="",E425=""),"",IF(IFERROR(INDEX(Stats!$D:$D,MATCH($C425,Stats!$A:$A,0)),FALSE),ROUND(D425+(E425-D425)*(1+G425)*((6-1)/(MaxLevel-1))^(2^F425),0),D425+(E425-D425)*(1+G425)*((6-1)/(MaxLevel-1))^(2^F425)))</f>
        <v/>
      </c>
      <c r="N425" s="12" t="str">
        <f>IF(OR(D425="",E425=""),"",IF(IFERROR(INDEX(Stats!$D:$D,MATCH($C425,Stats!$A:$A,0)),FALSE),ROUND(D425+(E425-D425)*(1+G425)*((7-1)/(MaxLevel-1))^(2^F425),0),D425+(E425-D425)*(1+G425)*((7-1)/(MaxLevel-1))^(2^F425)))</f>
        <v/>
      </c>
      <c r="O425" s="12" t="str">
        <f>IF(OR(D425="",E425=""),"",IF(IFERROR(INDEX(Stats!$D:$D,MATCH($C425,Stats!$A:$A,0)),FALSE),ROUND(D425+(E425-D425)*(1+G425)*((8-1)/(MaxLevel-1))^(2^F425),0),D425+(E425-D425)*(1+G425)*((8-1)/(MaxLevel-1))^(2^F425)))</f>
        <v/>
      </c>
      <c r="P425" s="12" t="str">
        <f>IF(OR(D425="",E425=""),"",IF(IFERROR(INDEX(Stats!$D:$D,MATCH($C425,Stats!$A:$A,0)),FALSE),ROUND(D425+(E425-D425)*(1+G425)*((9-1)/(MaxLevel-1))^(2^F425),0),D425+(E425-D425)*(1+G425)*((9-1)/(MaxLevel-1))^(2^F425)))</f>
        <v/>
      </c>
      <c r="Q425" s="12" t="str">
        <f>IF(OR(D425="",E425=""),"",IF(IFERROR(INDEX(Stats!$D:$D,MATCH($C425,Stats!$A:$A,0)),FALSE),ROUND(D425+(E425-D425)*(1+G425)*((10-1)/(MaxLevel-1))^(2^F425),0),D425+(E425-D425)*(1+G425)*((10-1)/(MaxLevel-1))^(2^F425)))</f>
        <v/>
      </c>
    </row>
    <row r="426" spans="1:17" x14ac:dyDescent="0.25">
      <c r="A426" s="4" t="s">
        <v>185</v>
      </c>
      <c r="B426" s="4" t="s">
        <v>201</v>
      </c>
      <c r="C426" s="4" t="s">
        <v>36</v>
      </c>
      <c r="D426" s="5"/>
      <c r="E426" s="5"/>
      <c r="F426" s="5"/>
      <c r="G426" s="5"/>
      <c r="H426" s="12" t="str">
        <f>IF(OR(D426="",E426=""),"",IF(IFERROR(INDEX(Stats!$D:$D,MATCH($C426,Stats!$A:$A,0)),FALSE),ROUND(D426+(E426-D426)*(1+G426)*((1-1)/(MaxLevel-1))^(2^F426),0),D426+(E426-D426)*(1+G426)*((1-1)/(MaxLevel-1))^(2^F426)))</f>
        <v/>
      </c>
      <c r="I426" s="12" t="str">
        <f>IF(OR(D426="",E426=""),"",IF(IFERROR(INDEX(Stats!$D:$D,MATCH($C426,Stats!$A:$A,0)),FALSE),ROUND(D426+(E426-D426)*(1+G426)*((2-1)/(MaxLevel-1))^(2^F426),0),D426+(E426-D426)*(1+G426)*((2-1)/(MaxLevel-1))^(2^F426)))</f>
        <v/>
      </c>
      <c r="J426" s="12" t="str">
        <f>IF(OR(D426="",E426=""),"",IF(IFERROR(INDEX(Stats!$D:$D,MATCH($C426,Stats!$A:$A,0)),FALSE),ROUND(D426+(E426-D426)*(1+G426)*((3-1)/(MaxLevel-1))^(2^F426),0),D426+(E426-D426)*(1+G426)*((3-1)/(MaxLevel-1))^(2^F426)))</f>
        <v/>
      </c>
      <c r="K426" s="12" t="str">
        <f>IF(OR(D426="",E426=""),"",IF(IFERROR(INDEX(Stats!$D:$D,MATCH($C426,Stats!$A:$A,0)),FALSE),ROUND(D426+(E426-D426)*(1+G426)*((4-1)/(MaxLevel-1))^(2^F426),0),D426+(E426-D426)*(1+G426)*((4-1)/(MaxLevel-1))^(2^F426)))</f>
        <v/>
      </c>
      <c r="L426" s="12" t="str">
        <f>IF(OR(D426="",E426=""),"",IF(IFERROR(INDEX(Stats!$D:$D,MATCH($C426,Stats!$A:$A,0)),FALSE),ROUND(D426+(E426-D426)*(1+G426)*((5-1)/(MaxLevel-1))^(2^F426),0),D426+(E426-D426)*(1+G426)*((5-1)/(MaxLevel-1))^(2^F426)))</f>
        <v/>
      </c>
      <c r="M426" s="12" t="str">
        <f>IF(OR(D426="",E426=""),"",IF(IFERROR(INDEX(Stats!$D:$D,MATCH($C426,Stats!$A:$A,0)),FALSE),ROUND(D426+(E426-D426)*(1+G426)*((6-1)/(MaxLevel-1))^(2^F426),0),D426+(E426-D426)*(1+G426)*((6-1)/(MaxLevel-1))^(2^F426)))</f>
        <v/>
      </c>
      <c r="N426" s="12" t="str">
        <f>IF(OR(D426="",E426=""),"",IF(IFERROR(INDEX(Stats!$D:$D,MATCH($C426,Stats!$A:$A,0)),FALSE),ROUND(D426+(E426-D426)*(1+G426)*((7-1)/(MaxLevel-1))^(2^F426),0),D426+(E426-D426)*(1+G426)*((7-1)/(MaxLevel-1))^(2^F426)))</f>
        <v/>
      </c>
      <c r="O426" s="12" t="str">
        <f>IF(OR(D426="",E426=""),"",IF(IFERROR(INDEX(Stats!$D:$D,MATCH($C426,Stats!$A:$A,0)),FALSE),ROUND(D426+(E426-D426)*(1+G426)*((8-1)/(MaxLevel-1))^(2^F426),0),D426+(E426-D426)*(1+G426)*((8-1)/(MaxLevel-1))^(2^F426)))</f>
        <v/>
      </c>
      <c r="P426" s="12" t="str">
        <f>IF(OR(D426="",E426=""),"",IF(IFERROR(INDEX(Stats!$D:$D,MATCH($C426,Stats!$A:$A,0)),FALSE),ROUND(D426+(E426-D426)*(1+G426)*((9-1)/(MaxLevel-1))^(2^F426),0),D426+(E426-D426)*(1+G426)*((9-1)/(MaxLevel-1))^(2^F426)))</f>
        <v/>
      </c>
      <c r="Q426" s="12" t="str">
        <f>IF(OR(D426="",E426=""),"",IF(IFERROR(INDEX(Stats!$D:$D,MATCH($C426,Stats!$A:$A,0)),FALSE),ROUND(D426+(E426-D426)*(1+G426)*((10-1)/(MaxLevel-1))^(2^F426),0),D426+(E426-D426)*(1+G426)*((10-1)/(MaxLevel-1))^(2^F426)))</f>
        <v/>
      </c>
    </row>
    <row r="427" spans="1:17" x14ac:dyDescent="0.25">
      <c r="A427" s="4" t="s">
        <v>185</v>
      </c>
      <c r="B427" s="4" t="s">
        <v>201</v>
      </c>
      <c r="C427" s="4" t="s">
        <v>38</v>
      </c>
      <c r="D427" s="5"/>
      <c r="E427" s="5"/>
      <c r="F427" s="5"/>
      <c r="G427" s="5"/>
      <c r="H427" s="12" t="str">
        <f>IF(OR(D427="",E427=""),"",IF(IFERROR(INDEX(Stats!$D:$D,MATCH($C427,Stats!$A:$A,0)),FALSE),ROUND(D427+(E427-D427)*(1+G427)*((1-1)/(MaxLevel-1))^(2^F427),0),D427+(E427-D427)*(1+G427)*((1-1)/(MaxLevel-1))^(2^F427)))</f>
        <v/>
      </c>
      <c r="I427" s="12" t="str">
        <f>IF(OR(D427="",E427=""),"",IF(IFERROR(INDEX(Stats!$D:$D,MATCH($C427,Stats!$A:$A,0)),FALSE),ROUND(D427+(E427-D427)*(1+G427)*((2-1)/(MaxLevel-1))^(2^F427),0),D427+(E427-D427)*(1+G427)*((2-1)/(MaxLevel-1))^(2^F427)))</f>
        <v/>
      </c>
      <c r="J427" s="12" t="str">
        <f>IF(OR(D427="",E427=""),"",IF(IFERROR(INDEX(Stats!$D:$D,MATCH($C427,Stats!$A:$A,0)),FALSE),ROUND(D427+(E427-D427)*(1+G427)*((3-1)/(MaxLevel-1))^(2^F427),0),D427+(E427-D427)*(1+G427)*((3-1)/(MaxLevel-1))^(2^F427)))</f>
        <v/>
      </c>
      <c r="K427" s="12" t="str">
        <f>IF(OR(D427="",E427=""),"",IF(IFERROR(INDEX(Stats!$D:$D,MATCH($C427,Stats!$A:$A,0)),FALSE),ROUND(D427+(E427-D427)*(1+G427)*((4-1)/(MaxLevel-1))^(2^F427),0),D427+(E427-D427)*(1+G427)*((4-1)/(MaxLevel-1))^(2^F427)))</f>
        <v/>
      </c>
      <c r="L427" s="12" t="str">
        <f>IF(OR(D427="",E427=""),"",IF(IFERROR(INDEX(Stats!$D:$D,MATCH($C427,Stats!$A:$A,0)),FALSE),ROUND(D427+(E427-D427)*(1+G427)*((5-1)/(MaxLevel-1))^(2^F427),0),D427+(E427-D427)*(1+G427)*((5-1)/(MaxLevel-1))^(2^F427)))</f>
        <v/>
      </c>
      <c r="M427" s="12" t="str">
        <f>IF(OR(D427="",E427=""),"",IF(IFERROR(INDEX(Stats!$D:$D,MATCH($C427,Stats!$A:$A,0)),FALSE),ROUND(D427+(E427-D427)*(1+G427)*((6-1)/(MaxLevel-1))^(2^F427),0),D427+(E427-D427)*(1+G427)*((6-1)/(MaxLevel-1))^(2^F427)))</f>
        <v/>
      </c>
      <c r="N427" s="12" t="str">
        <f>IF(OR(D427="",E427=""),"",IF(IFERROR(INDEX(Stats!$D:$D,MATCH($C427,Stats!$A:$A,0)),FALSE),ROUND(D427+(E427-D427)*(1+G427)*((7-1)/(MaxLevel-1))^(2^F427),0),D427+(E427-D427)*(1+G427)*((7-1)/(MaxLevel-1))^(2^F427)))</f>
        <v/>
      </c>
      <c r="O427" s="12" t="str">
        <f>IF(OR(D427="",E427=""),"",IF(IFERROR(INDEX(Stats!$D:$D,MATCH($C427,Stats!$A:$A,0)),FALSE),ROUND(D427+(E427-D427)*(1+G427)*((8-1)/(MaxLevel-1))^(2^F427),0),D427+(E427-D427)*(1+G427)*((8-1)/(MaxLevel-1))^(2^F427)))</f>
        <v/>
      </c>
      <c r="P427" s="12" t="str">
        <f>IF(OR(D427="",E427=""),"",IF(IFERROR(INDEX(Stats!$D:$D,MATCH($C427,Stats!$A:$A,0)),FALSE),ROUND(D427+(E427-D427)*(1+G427)*((9-1)/(MaxLevel-1))^(2^F427),0),D427+(E427-D427)*(1+G427)*((9-1)/(MaxLevel-1))^(2^F427)))</f>
        <v/>
      </c>
      <c r="Q427" s="12" t="str">
        <f>IF(OR(D427="",E427=""),"",IF(IFERROR(INDEX(Stats!$D:$D,MATCH($C427,Stats!$A:$A,0)),FALSE),ROUND(D427+(E427-D427)*(1+G427)*((10-1)/(MaxLevel-1))^(2^F427),0),D427+(E427-D427)*(1+G427)*((10-1)/(MaxLevel-1))^(2^F427)))</f>
        <v/>
      </c>
    </row>
    <row r="428" spans="1:17" x14ac:dyDescent="0.25">
      <c r="A428" s="4" t="s">
        <v>185</v>
      </c>
      <c r="B428" s="4" t="s">
        <v>201</v>
      </c>
      <c r="C428" s="4" t="s">
        <v>40</v>
      </c>
      <c r="D428" s="5"/>
      <c r="E428" s="5"/>
      <c r="F428" s="5"/>
      <c r="G428" s="5"/>
      <c r="H428" s="12" t="str">
        <f>IF(OR(D428="",E428=""),"",IF(IFERROR(INDEX(Stats!$D:$D,MATCH($C428,Stats!$A:$A,0)),FALSE),ROUND(D428+(E428-D428)*(1+G428)*((1-1)/(MaxLevel-1))^(2^F428),0),D428+(E428-D428)*(1+G428)*((1-1)/(MaxLevel-1))^(2^F428)))</f>
        <v/>
      </c>
      <c r="I428" s="12" t="str">
        <f>IF(OR(D428="",E428=""),"",IF(IFERROR(INDEX(Stats!$D:$D,MATCH($C428,Stats!$A:$A,0)),FALSE),ROUND(D428+(E428-D428)*(1+G428)*((2-1)/(MaxLevel-1))^(2^F428),0),D428+(E428-D428)*(1+G428)*((2-1)/(MaxLevel-1))^(2^F428)))</f>
        <v/>
      </c>
      <c r="J428" s="12" t="str">
        <f>IF(OR(D428="",E428=""),"",IF(IFERROR(INDEX(Stats!$D:$D,MATCH($C428,Stats!$A:$A,0)),FALSE),ROUND(D428+(E428-D428)*(1+G428)*((3-1)/(MaxLevel-1))^(2^F428),0),D428+(E428-D428)*(1+G428)*((3-1)/(MaxLevel-1))^(2^F428)))</f>
        <v/>
      </c>
      <c r="K428" s="12" t="str">
        <f>IF(OR(D428="",E428=""),"",IF(IFERROR(INDEX(Stats!$D:$D,MATCH($C428,Stats!$A:$A,0)),FALSE),ROUND(D428+(E428-D428)*(1+G428)*((4-1)/(MaxLevel-1))^(2^F428),0),D428+(E428-D428)*(1+G428)*((4-1)/(MaxLevel-1))^(2^F428)))</f>
        <v/>
      </c>
      <c r="L428" s="12" t="str">
        <f>IF(OR(D428="",E428=""),"",IF(IFERROR(INDEX(Stats!$D:$D,MATCH($C428,Stats!$A:$A,0)),FALSE),ROUND(D428+(E428-D428)*(1+G428)*((5-1)/(MaxLevel-1))^(2^F428),0),D428+(E428-D428)*(1+G428)*((5-1)/(MaxLevel-1))^(2^F428)))</f>
        <v/>
      </c>
      <c r="M428" s="12" t="str">
        <f>IF(OR(D428="",E428=""),"",IF(IFERROR(INDEX(Stats!$D:$D,MATCH($C428,Stats!$A:$A,0)),FALSE),ROUND(D428+(E428-D428)*(1+G428)*((6-1)/(MaxLevel-1))^(2^F428),0),D428+(E428-D428)*(1+G428)*((6-1)/(MaxLevel-1))^(2^F428)))</f>
        <v/>
      </c>
      <c r="N428" s="12" t="str">
        <f>IF(OR(D428="",E428=""),"",IF(IFERROR(INDEX(Stats!$D:$D,MATCH($C428,Stats!$A:$A,0)),FALSE),ROUND(D428+(E428-D428)*(1+G428)*((7-1)/(MaxLevel-1))^(2^F428),0),D428+(E428-D428)*(1+G428)*((7-1)/(MaxLevel-1))^(2^F428)))</f>
        <v/>
      </c>
      <c r="O428" s="12" t="str">
        <f>IF(OR(D428="",E428=""),"",IF(IFERROR(INDEX(Stats!$D:$D,MATCH($C428,Stats!$A:$A,0)),FALSE),ROUND(D428+(E428-D428)*(1+G428)*((8-1)/(MaxLevel-1))^(2^F428),0),D428+(E428-D428)*(1+G428)*((8-1)/(MaxLevel-1))^(2^F428)))</f>
        <v/>
      </c>
      <c r="P428" s="12" t="str">
        <f>IF(OR(D428="",E428=""),"",IF(IFERROR(INDEX(Stats!$D:$D,MATCH($C428,Stats!$A:$A,0)),FALSE),ROUND(D428+(E428-D428)*(1+G428)*((9-1)/(MaxLevel-1))^(2^F428),0),D428+(E428-D428)*(1+G428)*((9-1)/(MaxLevel-1))^(2^F428)))</f>
        <v/>
      </c>
      <c r="Q428" s="12" t="str">
        <f>IF(OR(D428="",E428=""),"",IF(IFERROR(INDEX(Stats!$D:$D,MATCH($C428,Stats!$A:$A,0)),FALSE),ROUND(D428+(E428-D428)*(1+G428)*((10-1)/(MaxLevel-1))^(2^F428),0),D428+(E428-D428)*(1+G428)*((10-1)/(MaxLevel-1))^(2^F428)))</f>
        <v/>
      </c>
    </row>
    <row r="429" spans="1:17" x14ac:dyDescent="0.25">
      <c r="A429" s="4" t="s">
        <v>185</v>
      </c>
      <c r="B429" s="4" t="s">
        <v>201</v>
      </c>
      <c r="C429" s="4" t="s">
        <v>42</v>
      </c>
      <c r="D429" s="5"/>
      <c r="E429" s="5"/>
      <c r="F429" s="5"/>
      <c r="G429" s="5"/>
      <c r="H429" s="12" t="str">
        <f>IF(OR(D429="",E429=""),"",IF(IFERROR(INDEX(Stats!$D:$D,MATCH($C429,Stats!$A:$A,0)),FALSE),ROUND(D429+(E429-D429)*(1+G429)*((1-1)/(MaxLevel-1))^(2^F429),0),D429+(E429-D429)*(1+G429)*((1-1)/(MaxLevel-1))^(2^F429)))</f>
        <v/>
      </c>
      <c r="I429" s="12" t="str">
        <f>IF(OR(D429="",E429=""),"",IF(IFERROR(INDEX(Stats!$D:$D,MATCH($C429,Stats!$A:$A,0)),FALSE),ROUND(D429+(E429-D429)*(1+G429)*((2-1)/(MaxLevel-1))^(2^F429),0),D429+(E429-D429)*(1+G429)*((2-1)/(MaxLevel-1))^(2^F429)))</f>
        <v/>
      </c>
      <c r="J429" s="12" t="str">
        <f>IF(OR(D429="",E429=""),"",IF(IFERROR(INDEX(Stats!$D:$D,MATCH($C429,Stats!$A:$A,0)),FALSE),ROUND(D429+(E429-D429)*(1+G429)*((3-1)/(MaxLevel-1))^(2^F429),0),D429+(E429-D429)*(1+G429)*((3-1)/(MaxLevel-1))^(2^F429)))</f>
        <v/>
      </c>
      <c r="K429" s="12" t="str">
        <f>IF(OR(D429="",E429=""),"",IF(IFERROR(INDEX(Stats!$D:$D,MATCH($C429,Stats!$A:$A,0)),FALSE),ROUND(D429+(E429-D429)*(1+G429)*((4-1)/(MaxLevel-1))^(2^F429),0),D429+(E429-D429)*(1+G429)*((4-1)/(MaxLevel-1))^(2^F429)))</f>
        <v/>
      </c>
      <c r="L429" s="12" t="str">
        <f>IF(OR(D429="",E429=""),"",IF(IFERROR(INDEX(Stats!$D:$D,MATCH($C429,Stats!$A:$A,0)),FALSE),ROUND(D429+(E429-D429)*(1+G429)*((5-1)/(MaxLevel-1))^(2^F429),0),D429+(E429-D429)*(1+G429)*((5-1)/(MaxLevel-1))^(2^F429)))</f>
        <v/>
      </c>
      <c r="M429" s="12" t="str">
        <f>IF(OR(D429="",E429=""),"",IF(IFERROR(INDEX(Stats!$D:$D,MATCH($C429,Stats!$A:$A,0)),FALSE),ROUND(D429+(E429-D429)*(1+G429)*((6-1)/(MaxLevel-1))^(2^F429),0),D429+(E429-D429)*(1+G429)*((6-1)/(MaxLevel-1))^(2^F429)))</f>
        <v/>
      </c>
      <c r="N429" s="12" t="str">
        <f>IF(OR(D429="",E429=""),"",IF(IFERROR(INDEX(Stats!$D:$D,MATCH($C429,Stats!$A:$A,0)),FALSE),ROUND(D429+(E429-D429)*(1+G429)*((7-1)/(MaxLevel-1))^(2^F429),0),D429+(E429-D429)*(1+G429)*((7-1)/(MaxLevel-1))^(2^F429)))</f>
        <v/>
      </c>
      <c r="O429" s="12" t="str">
        <f>IF(OR(D429="",E429=""),"",IF(IFERROR(INDEX(Stats!$D:$D,MATCH($C429,Stats!$A:$A,0)),FALSE),ROUND(D429+(E429-D429)*(1+G429)*((8-1)/(MaxLevel-1))^(2^F429),0),D429+(E429-D429)*(1+G429)*((8-1)/(MaxLevel-1))^(2^F429)))</f>
        <v/>
      </c>
      <c r="P429" s="12" t="str">
        <f>IF(OR(D429="",E429=""),"",IF(IFERROR(INDEX(Stats!$D:$D,MATCH($C429,Stats!$A:$A,0)),FALSE),ROUND(D429+(E429-D429)*(1+G429)*((9-1)/(MaxLevel-1))^(2^F429),0),D429+(E429-D429)*(1+G429)*((9-1)/(MaxLevel-1))^(2^F429)))</f>
        <v/>
      </c>
      <c r="Q429" s="12" t="str">
        <f>IF(OR(D429="",E429=""),"",IF(IFERROR(INDEX(Stats!$D:$D,MATCH($C429,Stats!$A:$A,0)),FALSE),ROUND(D429+(E429-D429)*(1+G429)*((10-1)/(MaxLevel-1))^(2^F429),0),D429+(E429-D429)*(1+G429)*((10-1)/(MaxLevel-1))^(2^F429)))</f>
        <v/>
      </c>
    </row>
    <row r="430" spans="1:17" x14ac:dyDescent="0.25">
      <c r="A430" s="4" t="s">
        <v>185</v>
      </c>
      <c r="B430" s="4" t="s">
        <v>201</v>
      </c>
      <c r="C430" s="4" t="s">
        <v>44</v>
      </c>
      <c r="D430" s="5"/>
      <c r="E430" s="5"/>
      <c r="F430" s="5"/>
      <c r="G430" s="5"/>
      <c r="H430" s="12" t="str">
        <f>IF(OR(D430="",E430=""),"",IF(IFERROR(INDEX(Stats!$D:$D,MATCH($C430,Stats!$A:$A,0)),FALSE),ROUND(D430+(E430-D430)*(1+G430)*((1-1)/(MaxLevel-1))^(2^F430),0),D430+(E430-D430)*(1+G430)*((1-1)/(MaxLevel-1))^(2^F430)))</f>
        <v/>
      </c>
      <c r="I430" s="12" t="str">
        <f>IF(OR(D430="",E430=""),"",IF(IFERROR(INDEX(Stats!$D:$D,MATCH($C430,Stats!$A:$A,0)),FALSE),ROUND(D430+(E430-D430)*(1+G430)*((2-1)/(MaxLevel-1))^(2^F430),0),D430+(E430-D430)*(1+G430)*((2-1)/(MaxLevel-1))^(2^F430)))</f>
        <v/>
      </c>
      <c r="J430" s="12" t="str">
        <f>IF(OR(D430="",E430=""),"",IF(IFERROR(INDEX(Stats!$D:$D,MATCH($C430,Stats!$A:$A,0)),FALSE),ROUND(D430+(E430-D430)*(1+G430)*((3-1)/(MaxLevel-1))^(2^F430),0),D430+(E430-D430)*(1+G430)*((3-1)/(MaxLevel-1))^(2^F430)))</f>
        <v/>
      </c>
      <c r="K430" s="12" t="str">
        <f>IF(OR(D430="",E430=""),"",IF(IFERROR(INDEX(Stats!$D:$D,MATCH($C430,Stats!$A:$A,0)),FALSE),ROUND(D430+(E430-D430)*(1+G430)*((4-1)/(MaxLevel-1))^(2^F430),0),D430+(E430-D430)*(1+G430)*((4-1)/(MaxLevel-1))^(2^F430)))</f>
        <v/>
      </c>
      <c r="L430" s="12" t="str">
        <f>IF(OR(D430="",E430=""),"",IF(IFERROR(INDEX(Stats!$D:$D,MATCH($C430,Stats!$A:$A,0)),FALSE),ROUND(D430+(E430-D430)*(1+G430)*((5-1)/(MaxLevel-1))^(2^F430),0),D430+(E430-D430)*(1+G430)*((5-1)/(MaxLevel-1))^(2^F430)))</f>
        <v/>
      </c>
      <c r="M430" s="12" t="str">
        <f>IF(OR(D430="",E430=""),"",IF(IFERROR(INDEX(Stats!$D:$D,MATCH($C430,Stats!$A:$A,0)),FALSE),ROUND(D430+(E430-D430)*(1+G430)*((6-1)/(MaxLevel-1))^(2^F430),0),D430+(E430-D430)*(1+G430)*((6-1)/(MaxLevel-1))^(2^F430)))</f>
        <v/>
      </c>
      <c r="N430" s="12" t="str">
        <f>IF(OR(D430="",E430=""),"",IF(IFERROR(INDEX(Stats!$D:$D,MATCH($C430,Stats!$A:$A,0)),FALSE),ROUND(D430+(E430-D430)*(1+G430)*((7-1)/(MaxLevel-1))^(2^F430),0),D430+(E430-D430)*(1+G430)*((7-1)/(MaxLevel-1))^(2^F430)))</f>
        <v/>
      </c>
      <c r="O430" s="12" t="str">
        <f>IF(OR(D430="",E430=""),"",IF(IFERROR(INDEX(Stats!$D:$D,MATCH($C430,Stats!$A:$A,0)),FALSE),ROUND(D430+(E430-D430)*(1+G430)*((8-1)/(MaxLevel-1))^(2^F430),0),D430+(E430-D430)*(1+G430)*((8-1)/(MaxLevel-1))^(2^F430)))</f>
        <v/>
      </c>
      <c r="P430" s="12" t="str">
        <f>IF(OR(D430="",E430=""),"",IF(IFERROR(INDEX(Stats!$D:$D,MATCH($C430,Stats!$A:$A,0)),FALSE),ROUND(D430+(E430-D430)*(1+G430)*((9-1)/(MaxLevel-1))^(2^F430),0),D430+(E430-D430)*(1+G430)*((9-1)/(MaxLevel-1))^(2^F430)))</f>
        <v/>
      </c>
      <c r="Q430" s="12" t="str">
        <f>IF(OR(D430="",E430=""),"",IF(IFERROR(INDEX(Stats!$D:$D,MATCH($C430,Stats!$A:$A,0)),FALSE),ROUND(D430+(E430-D430)*(1+G430)*((10-1)/(MaxLevel-1))^(2^F430),0),D430+(E430-D430)*(1+G430)*((10-1)/(MaxLevel-1))^(2^F430)))</f>
        <v/>
      </c>
    </row>
    <row r="431" spans="1:17" x14ac:dyDescent="0.25">
      <c r="A431" s="4" t="s">
        <v>185</v>
      </c>
      <c r="B431" s="4" t="s">
        <v>201</v>
      </c>
      <c r="C431" s="4" t="s">
        <v>46</v>
      </c>
      <c r="D431" s="5"/>
      <c r="E431" s="5"/>
      <c r="F431" s="5"/>
      <c r="G431" s="5"/>
      <c r="H431" s="12" t="str">
        <f>IF(OR(D431="",E431=""),"",IF(IFERROR(INDEX(Stats!$D:$D,MATCH($C431,Stats!$A:$A,0)),FALSE),ROUND(D431+(E431-D431)*(1+G431)*((1-1)/(MaxLevel-1))^(2^F431),0),D431+(E431-D431)*(1+G431)*((1-1)/(MaxLevel-1))^(2^F431)))</f>
        <v/>
      </c>
      <c r="I431" s="12" t="str">
        <f>IF(OR(D431="",E431=""),"",IF(IFERROR(INDEX(Stats!$D:$D,MATCH($C431,Stats!$A:$A,0)),FALSE),ROUND(D431+(E431-D431)*(1+G431)*((2-1)/(MaxLevel-1))^(2^F431),0),D431+(E431-D431)*(1+G431)*((2-1)/(MaxLevel-1))^(2^F431)))</f>
        <v/>
      </c>
      <c r="J431" s="12" t="str">
        <f>IF(OR(D431="",E431=""),"",IF(IFERROR(INDEX(Stats!$D:$D,MATCH($C431,Stats!$A:$A,0)),FALSE),ROUND(D431+(E431-D431)*(1+G431)*((3-1)/(MaxLevel-1))^(2^F431),0),D431+(E431-D431)*(1+G431)*((3-1)/(MaxLevel-1))^(2^F431)))</f>
        <v/>
      </c>
      <c r="K431" s="12" t="str">
        <f>IF(OR(D431="",E431=""),"",IF(IFERROR(INDEX(Stats!$D:$D,MATCH($C431,Stats!$A:$A,0)),FALSE),ROUND(D431+(E431-D431)*(1+G431)*((4-1)/(MaxLevel-1))^(2^F431),0),D431+(E431-D431)*(1+G431)*((4-1)/(MaxLevel-1))^(2^F431)))</f>
        <v/>
      </c>
      <c r="L431" s="12" t="str">
        <f>IF(OR(D431="",E431=""),"",IF(IFERROR(INDEX(Stats!$D:$D,MATCH($C431,Stats!$A:$A,0)),FALSE),ROUND(D431+(E431-D431)*(1+G431)*((5-1)/(MaxLevel-1))^(2^F431),0),D431+(E431-D431)*(1+G431)*((5-1)/(MaxLevel-1))^(2^F431)))</f>
        <v/>
      </c>
      <c r="M431" s="12" t="str">
        <f>IF(OR(D431="",E431=""),"",IF(IFERROR(INDEX(Stats!$D:$D,MATCH($C431,Stats!$A:$A,0)),FALSE),ROUND(D431+(E431-D431)*(1+G431)*((6-1)/(MaxLevel-1))^(2^F431),0),D431+(E431-D431)*(1+G431)*((6-1)/(MaxLevel-1))^(2^F431)))</f>
        <v/>
      </c>
      <c r="N431" s="12" t="str">
        <f>IF(OR(D431="",E431=""),"",IF(IFERROR(INDEX(Stats!$D:$D,MATCH($C431,Stats!$A:$A,0)),FALSE),ROUND(D431+(E431-D431)*(1+G431)*((7-1)/(MaxLevel-1))^(2^F431),0),D431+(E431-D431)*(1+G431)*((7-1)/(MaxLevel-1))^(2^F431)))</f>
        <v/>
      </c>
      <c r="O431" s="12" t="str">
        <f>IF(OR(D431="",E431=""),"",IF(IFERROR(INDEX(Stats!$D:$D,MATCH($C431,Stats!$A:$A,0)),FALSE),ROUND(D431+(E431-D431)*(1+G431)*((8-1)/(MaxLevel-1))^(2^F431),0),D431+(E431-D431)*(1+G431)*((8-1)/(MaxLevel-1))^(2^F431)))</f>
        <v/>
      </c>
      <c r="P431" s="12" t="str">
        <f>IF(OR(D431="",E431=""),"",IF(IFERROR(INDEX(Stats!$D:$D,MATCH($C431,Stats!$A:$A,0)),FALSE),ROUND(D431+(E431-D431)*(1+G431)*((9-1)/(MaxLevel-1))^(2^F431),0),D431+(E431-D431)*(1+G431)*((9-1)/(MaxLevel-1))^(2^F431)))</f>
        <v/>
      </c>
      <c r="Q431" s="12" t="str">
        <f>IF(OR(D431="",E431=""),"",IF(IFERROR(INDEX(Stats!$D:$D,MATCH($C431,Stats!$A:$A,0)),FALSE),ROUND(D431+(E431-D431)*(1+G431)*((10-1)/(MaxLevel-1))^(2^F431),0),D431+(E431-D431)*(1+G431)*((10-1)/(MaxLevel-1))^(2^F431)))</f>
        <v/>
      </c>
    </row>
    <row r="432" spans="1:17" x14ac:dyDescent="0.25">
      <c r="A432" s="4" t="s">
        <v>185</v>
      </c>
      <c r="B432" s="4" t="s">
        <v>201</v>
      </c>
      <c r="C432" s="4" t="s">
        <v>48</v>
      </c>
      <c r="D432" s="5"/>
      <c r="E432" s="5"/>
      <c r="F432" s="5"/>
      <c r="G432" s="5"/>
      <c r="H432" s="12" t="str">
        <f>IF(OR(D432="",E432=""),"",IF(IFERROR(INDEX(Stats!$D:$D,MATCH($C432,Stats!$A:$A,0)),FALSE),ROUND(D432+(E432-D432)*(1+G432)*((1-1)/(MaxLevel-1))^(2^F432),0),D432+(E432-D432)*(1+G432)*((1-1)/(MaxLevel-1))^(2^F432)))</f>
        <v/>
      </c>
      <c r="I432" s="12" t="str">
        <f>IF(OR(D432="",E432=""),"",IF(IFERROR(INDEX(Stats!$D:$D,MATCH($C432,Stats!$A:$A,0)),FALSE),ROUND(D432+(E432-D432)*(1+G432)*((2-1)/(MaxLevel-1))^(2^F432),0),D432+(E432-D432)*(1+G432)*((2-1)/(MaxLevel-1))^(2^F432)))</f>
        <v/>
      </c>
      <c r="J432" s="12" t="str">
        <f>IF(OR(D432="",E432=""),"",IF(IFERROR(INDEX(Stats!$D:$D,MATCH($C432,Stats!$A:$A,0)),FALSE),ROUND(D432+(E432-D432)*(1+G432)*((3-1)/(MaxLevel-1))^(2^F432),0),D432+(E432-D432)*(1+G432)*((3-1)/(MaxLevel-1))^(2^F432)))</f>
        <v/>
      </c>
      <c r="K432" s="12" t="str">
        <f>IF(OR(D432="",E432=""),"",IF(IFERROR(INDEX(Stats!$D:$D,MATCH($C432,Stats!$A:$A,0)),FALSE),ROUND(D432+(E432-D432)*(1+G432)*((4-1)/(MaxLevel-1))^(2^F432),0),D432+(E432-D432)*(1+G432)*((4-1)/(MaxLevel-1))^(2^F432)))</f>
        <v/>
      </c>
      <c r="L432" s="12" t="str">
        <f>IF(OR(D432="",E432=""),"",IF(IFERROR(INDEX(Stats!$D:$D,MATCH($C432,Stats!$A:$A,0)),FALSE),ROUND(D432+(E432-D432)*(1+G432)*((5-1)/(MaxLevel-1))^(2^F432),0),D432+(E432-D432)*(1+G432)*((5-1)/(MaxLevel-1))^(2^F432)))</f>
        <v/>
      </c>
      <c r="M432" s="12" t="str">
        <f>IF(OR(D432="",E432=""),"",IF(IFERROR(INDEX(Stats!$D:$D,MATCH($C432,Stats!$A:$A,0)),FALSE),ROUND(D432+(E432-D432)*(1+G432)*((6-1)/(MaxLevel-1))^(2^F432),0),D432+(E432-D432)*(1+G432)*((6-1)/(MaxLevel-1))^(2^F432)))</f>
        <v/>
      </c>
      <c r="N432" s="12" t="str">
        <f>IF(OR(D432="",E432=""),"",IF(IFERROR(INDEX(Stats!$D:$D,MATCH($C432,Stats!$A:$A,0)),FALSE),ROUND(D432+(E432-D432)*(1+G432)*((7-1)/(MaxLevel-1))^(2^F432),0),D432+(E432-D432)*(1+G432)*((7-1)/(MaxLevel-1))^(2^F432)))</f>
        <v/>
      </c>
      <c r="O432" s="12" t="str">
        <f>IF(OR(D432="",E432=""),"",IF(IFERROR(INDEX(Stats!$D:$D,MATCH($C432,Stats!$A:$A,0)),FALSE),ROUND(D432+(E432-D432)*(1+G432)*((8-1)/(MaxLevel-1))^(2^F432),0),D432+(E432-D432)*(1+G432)*((8-1)/(MaxLevel-1))^(2^F432)))</f>
        <v/>
      </c>
      <c r="P432" s="12" t="str">
        <f>IF(OR(D432="",E432=""),"",IF(IFERROR(INDEX(Stats!$D:$D,MATCH($C432,Stats!$A:$A,0)),FALSE),ROUND(D432+(E432-D432)*(1+G432)*((9-1)/(MaxLevel-1))^(2^F432),0),D432+(E432-D432)*(1+G432)*((9-1)/(MaxLevel-1))^(2^F432)))</f>
        <v/>
      </c>
      <c r="Q432" s="12" t="str">
        <f>IF(OR(D432="",E432=""),"",IF(IFERROR(INDEX(Stats!$D:$D,MATCH($C432,Stats!$A:$A,0)),FALSE),ROUND(D432+(E432-D432)*(1+G432)*((10-1)/(MaxLevel-1))^(2^F432),0),D432+(E432-D432)*(1+G432)*((10-1)/(MaxLevel-1))^(2^F432)))</f>
        <v/>
      </c>
    </row>
    <row r="433" spans="1:17" x14ac:dyDescent="0.25">
      <c r="A433" s="4" t="s">
        <v>185</v>
      </c>
      <c r="B433" s="4" t="s">
        <v>201</v>
      </c>
      <c r="C433" s="4" t="s">
        <v>50</v>
      </c>
      <c r="D433" s="5"/>
      <c r="E433" s="5"/>
      <c r="F433" s="5"/>
      <c r="G433" s="5"/>
      <c r="H433" s="12" t="str">
        <f>IF(OR(D433="",E433=""),"",IF(IFERROR(INDEX(Stats!$D:$D,MATCH($C433,Stats!$A:$A,0)),FALSE),ROUND(D433+(E433-D433)*(1+G433)*((1-1)/(MaxLevel-1))^(2^F433),0),D433+(E433-D433)*(1+G433)*((1-1)/(MaxLevel-1))^(2^F433)))</f>
        <v/>
      </c>
      <c r="I433" s="12" t="str">
        <f>IF(OR(D433="",E433=""),"",IF(IFERROR(INDEX(Stats!$D:$D,MATCH($C433,Stats!$A:$A,0)),FALSE),ROUND(D433+(E433-D433)*(1+G433)*((2-1)/(MaxLevel-1))^(2^F433),0),D433+(E433-D433)*(1+G433)*((2-1)/(MaxLevel-1))^(2^F433)))</f>
        <v/>
      </c>
      <c r="J433" s="12" t="str">
        <f>IF(OR(D433="",E433=""),"",IF(IFERROR(INDEX(Stats!$D:$D,MATCH($C433,Stats!$A:$A,0)),FALSE),ROUND(D433+(E433-D433)*(1+G433)*((3-1)/(MaxLevel-1))^(2^F433),0),D433+(E433-D433)*(1+G433)*((3-1)/(MaxLevel-1))^(2^F433)))</f>
        <v/>
      </c>
      <c r="K433" s="12" t="str">
        <f>IF(OR(D433="",E433=""),"",IF(IFERROR(INDEX(Stats!$D:$D,MATCH($C433,Stats!$A:$A,0)),FALSE),ROUND(D433+(E433-D433)*(1+G433)*((4-1)/(MaxLevel-1))^(2^F433),0),D433+(E433-D433)*(1+G433)*((4-1)/(MaxLevel-1))^(2^F433)))</f>
        <v/>
      </c>
      <c r="L433" s="12" t="str">
        <f>IF(OR(D433="",E433=""),"",IF(IFERROR(INDEX(Stats!$D:$D,MATCH($C433,Stats!$A:$A,0)),FALSE),ROUND(D433+(E433-D433)*(1+G433)*((5-1)/(MaxLevel-1))^(2^F433),0),D433+(E433-D433)*(1+G433)*((5-1)/(MaxLevel-1))^(2^F433)))</f>
        <v/>
      </c>
      <c r="M433" s="12" t="str">
        <f>IF(OR(D433="",E433=""),"",IF(IFERROR(INDEX(Stats!$D:$D,MATCH($C433,Stats!$A:$A,0)),FALSE),ROUND(D433+(E433-D433)*(1+G433)*((6-1)/(MaxLevel-1))^(2^F433),0),D433+(E433-D433)*(1+G433)*((6-1)/(MaxLevel-1))^(2^F433)))</f>
        <v/>
      </c>
      <c r="N433" s="12" t="str">
        <f>IF(OR(D433="",E433=""),"",IF(IFERROR(INDEX(Stats!$D:$D,MATCH($C433,Stats!$A:$A,0)),FALSE),ROUND(D433+(E433-D433)*(1+G433)*((7-1)/(MaxLevel-1))^(2^F433),0),D433+(E433-D433)*(1+G433)*((7-1)/(MaxLevel-1))^(2^F433)))</f>
        <v/>
      </c>
      <c r="O433" s="12" t="str">
        <f>IF(OR(D433="",E433=""),"",IF(IFERROR(INDEX(Stats!$D:$D,MATCH($C433,Stats!$A:$A,0)),FALSE),ROUND(D433+(E433-D433)*(1+G433)*((8-1)/(MaxLevel-1))^(2^F433),0),D433+(E433-D433)*(1+G433)*((8-1)/(MaxLevel-1))^(2^F433)))</f>
        <v/>
      </c>
      <c r="P433" s="12" t="str">
        <f>IF(OR(D433="",E433=""),"",IF(IFERROR(INDEX(Stats!$D:$D,MATCH($C433,Stats!$A:$A,0)),FALSE),ROUND(D433+(E433-D433)*(1+G433)*((9-1)/(MaxLevel-1))^(2^F433),0),D433+(E433-D433)*(1+G433)*((9-1)/(MaxLevel-1))^(2^F433)))</f>
        <v/>
      </c>
      <c r="Q433" s="12" t="str">
        <f>IF(OR(D433="",E433=""),"",IF(IFERROR(INDEX(Stats!$D:$D,MATCH($C433,Stats!$A:$A,0)),FALSE),ROUND(D433+(E433-D433)*(1+G433)*((10-1)/(MaxLevel-1))^(2^F433),0),D433+(E433-D433)*(1+G433)*((10-1)/(MaxLevel-1))^(2^F433)))</f>
        <v/>
      </c>
    </row>
    <row r="434" spans="1:17" x14ac:dyDescent="0.25">
      <c r="A434" s="4" t="s">
        <v>185</v>
      </c>
      <c r="B434" s="4" t="s">
        <v>201</v>
      </c>
      <c r="C434" s="4" t="s">
        <v>52</v>
      </c>
      <c r="D434" s="5"/>
      <c r="E434" s="5"/>
      <c r="F434" s="5"/>
      <c r="G434" s="5"/>
      <c r="H434" s="12" t="str">
        <f>IF(OR(D434="",E434=""),"",IF(IFERROR(INDEX(Stats!$D:$D,MATCH($C434,Stats!$A:$A,0)),FALSE),ROUND(D434+(E434-D434)*(1+G434)*((1-1)/(MaxLevel-1))^(2^F434),0),D434+(E434-D434)*(1+G434)*((1-1)/(MaxLevel-1))^(2^F434)))</f>
        <v/>
      </c>
      <c r="I434" s="12" t="str">
        <f>IF(OR(D434="",E434=""),"",IF(IFERROR(INDEX(Stats!$D:$D,MATCH($C434,Stats!$A:$A,0)),FALSE),ROUND(D434+(E434-D434)*(1+G434)*((2-1)/(MaxLevel-1))^(2^F434),0),D434+(E434-D434)*(1+G434)*((2-1)/(MaxLevel-1))^(2^F434)))</f>
        <v/>
      </c>
      <c r="J434" s="12" t="str">
        <f>IF(OR(D434="",E434=""),"",IF(IFERROR(INDEX(Stats!$D:$D,MATCH($C434,Stats!$A:$A,0)),FALSE),ROUND(D434+(E434-D434)*(1+G434)*((3-1)/(MaxLevel-1))^(2^F434),0),D434+(E434-D434)*(1+G434)*((3-1)/(MaxLevel-1))^(2^F434)))</f>
        <v/>
      </c>
      <c r="K434" s="12" t="str">
        <f>IF(OR(D434="",E434=""),"",IF(IFERROR(INDEX(Stats!$D:$D,MATCH($C434,Stats!$A:$A,0)),FALSE),ROUND(D434+(E434-D434)*(1+G434)*((4-1)/(MaxLevel-1))^(2^F434),0),D434+(E434-D434)*(1+G434)*((4-1)/(MaxLevel-1))^(2^F434)))</f>
        <v/>
      </c>
      <c r="L434" s="12" t="str">
        <f>IF(OR(D434="",E434=""),"",IF(IFERROR(INDEX(Stats!$D:$D,MATCH($C434,Stats!$A:$A,0)),FALSE),ROUND(D434+(E434-D434)*(1+G434)*((5-1)/(MaxLevel-1))^(2^F434),0),D434+(E434-D434)*(1+G434)*((5-1)/(MaxLevel-1))^(2^F434)))</f>
        <v/>
      </c>
      <c r="M434" s="12" t="str">
        <f>IF(OR(D434="",E434=""),"",IF(IFERROR(INDEX(Stats!$D:$D,MATCH($C434,Stats!$A:$A,0)),FALSE),ROUND(D434+(E434-D434)*(1+G434)*((6-1)/(MaxLevel-1))^(2^F434),0),D434+(E434-D434)*(1+G434)*((6-1)/(MaxLevel-1))^(2^F434)))</f>
        <v/>
      </c>
      <c r="N434" s="12" t="str">
        <f>IF(OR(D434="",E434=""),"",IF(IFERROR(INDEX(Stats!$D:$D,MATCH($C434,Stats!$A:$A,0)),FALSE),ROUND(D434+(E434-D434)*(1+G434)*((7-1)/(MaxLevel-1))^(2^F434),0),D434+(E434-D434)*(1+G434)*((7-1)/(MaxLevel-1))^(2^F434)))</f>
        <v/>
      </c>
      <c r="O434" s="12" t="str">
        <f>IF(OR(D434="",E434=""),"",IF(IFERROR(INDEX(Stats!$D:$D,MATCH($C434,Stats!$A:$A,0)),FALSE),ROUND(D434+(E434-D434)*(1+G434)*((8-1)/(MaxLevel-1))^(2^F434),0),D434+(E434-D434)*(1+G434)*((8-1)/(MaxLevel-1))^(2^F434)))</f>
        <v/>
      </c>
      <c r="P434" s="12" t="str">
        <f>IF(OR(D434="",E434=""),"",IF(IFERROR(INDEX(Stats!$D:$D,MATCH($C434,Stats!$A:$A,0)),FALSE),ROUND(D434+(E434-D434)*(1+G434)*((9-1)/(MaxLevel-1))^(2^F434),0),D434+(E434-D434)*(1+G434)*((9-1)/(MaxLevel-1))^(2^F434)))</f>
        <v/>
      </c>
      <c r="Q434" s="12" t="str">
        <f>IF(OR(D434="",E434=""),"",IF(IFERROR(INDEX(Stats!$D:$D,MATCH($C434,Stats!$A:$A,0)),FALSE),ROUND(D434+(E434-D434)*(1+G434)*((10-1)/(MaxLevel-1))^(2^F434),0),D434+(E434-D434)*(1+G434)*((10-1)/(MaxLevel-1))^(2^F434)))</f>
        <v/>
      </c>
    </row>
    <row r="435" spans="1:17" x14ac:dyDescent="0.25">
      <c r="A435" s="4" t="s">
        <v>185</v>
      </c>
      <c r="B435" s="4" t="s">
        <v>201</v>
      </c>
      <c r="C435" s="4" t="s">
        <v>54</v>
      </c>
      <c r="D435" s="5">
        <v>1</v>
      </c>
      <c r="E435" s="5">
        <v>1.5</v>
      </c>
      <c r="F435" s="5">
        <v>-1</v>
      </c>
      <c r="G435" s="5">
        <v>0</v>
      </c>
      <c r="H435" s="12">
        <f>IF(OR(D435="",E435=""),"",IF(IFERROR(INDEX(Stats!$D:$D,MATCH($C435,Stats!$A:$A,0)),FALSE),ROUND(D435+(E435-D435)*(1+G435)*((1-1)/(MaxLevel-1))^(2^F435),0),D435+(E435-D435)*(1+G435)*((1-1)/(MaxLevel-1))^(2^F435)))</f>
        <v>1</v>
      </c>
      <c r="I435" s="12">
        <f>IF(OR(D435="",E435=""),"",IF(IFERROR(INDEX(Stats!$D:$D,MATCH($C435,Stats!$A:$A,0)),FALSE),ROUND(D435+(E435-D435)*(1+G435)*((2-1)/(MaxLevel-1))^(2^F435),0),D435+(E435-D435)*(1+G435)*((2-1)/(MaxLevel-1))^(2^F435)))</f>
        <v>1.1666666666666667</v>
      </c>
      <c r="J435" s="12">
        <f>IF(OR(D435="",E435=""),"",IF(IFERROR(INDEX(Stats!$D:$D,MATCH($C435,Stats!$A:$A,0)),FALSE),ROUND(D435+(E435-D435)*(1+G435)*((3-1)/(MaxLevel-1))^(2^F435),0),D435+(E435-D435)*(1+G435)*((3-1)/(MaxLevel-1))^(2^F435)))</f>
        <v>1.2357022603955159</v>
      </c>
      <c r="K435" s="12">
        <f>IF(OR(D435="",E435=""),"",IF(IFERROR(INDEX(Stats!$D:$D,MATCH($C435,Stats!$A:$A,0)),FALSE),ROUND(D435+(E435-D435)*(1+G435)*((4-1)/(MaxLevel-1))^(2^F435),0),D435+(E435-D435)*(1+G435)*((4-1)/(MaxLevel-1))^(2^F435)))</f>
        <v>1.2886751345948129</v>
      </c>
      <c r="L435" s="12">
        <f>IF(OR(D435="",E435=""),"",IF(IFERROR(INDEX(Stats!$D:$D,MATCH($C435,Stats!$A:$A,0)),FALSE),ROUND(D435+(E435-D435)*(1+G435)*((5-1)/(MaxLevel-1))^(2^F435),0),D435+(E435-D435)*(1+G435)*((5-1)/(MaxLevel-1))^(2^F435)))</f>
        <v>1.3333333333333333</v>
      </c>
      <c r="M435" s="12">
        <f>IF(OR(D435="",E435=""),"",IF(IFERROR(INDEX(Stats!$D:$D,MATCH($C435,Stats!$A:$A,0)),FALSE),ROUND(D435+(E435-D435)*(1+G435)*((6-1)/(MaxLevel-1))^(2^F435),0),D435+(E435-D435)*(1+G435)*((6-1)/(MaxLevel-1))^(2^F435)))</f>
        <v>1.3726779962499649</v>
      </c>
      <c r="N435" s="12">
        <f>IF(OR(D435="",E435=""),"",IF(IFERROR(INDEX(Stats!$D:$D,MATCH($C435,Stats!$A:$A,0)),FALSE),ROUND(D435+(E435-D435)*(1+G435)*((7-1)/(MaxLevel-1))^(2^F435),0),D435+(E435-D435)*(1+G435)*((7-1)/(MaxLevel-1))^(2^F435)))</f>
        <v>1.4082482904638631</v>
      </c>
      <c r="O435" s="12">
        <f>IF(OR(D435="",E435=""),"",IF(IFERROR(INDEX(Stats!$D:$D,MATCH($C435,Stats!$A:$A,0)),FALSE),ROUND(D435+(E435-D435)*(1+G435)*((8-1)/(MaxLevel-1))^(2^F435),0),D435+(E435-D435)*(1+G435)*((8-1)/(MaxLevel-1))^(2^F435)))</f>
        <v>1.4409585518440984</v>
      </c>
      <c r="P435" s="12">
        <f>IF(OR(D435="",E435=""),"",IF(IFERROR(INDEX(Stats!$D:$D,MATCH($C435,Stats!$A:$A,0)),FALSE),ROUND(D435+(E435-D435)*(1+G435)*((9-1)/(MaxLevel-1))^(2^F435),0),D435+(E435-D435)*(1+G435)*((9-1)/(MaxLevel-1))^(2^F435)))</f>
        <v>1.4714045207910318</v>
      </c>
      <c r="Q435" s="12">
        <f>IF(OR(D435="",E435=""),"",IF(IFERROR(INDEX(Stats!$D:$D,MATCH($C435,Stats!$A:$A,0)),FALSE),ROUND(D435+(E435-D435)*(1+G435)*((10-1)/(MaxLevel-1))^(2^F435),0),D435+(E435-D435)*(1+G435)*((10-1)/(MaxLevel-1))^(2^F435)))</f>
        <v>1.5</v>
      </c>
    </row>
    <row r="436" spans="1:17" x14ac:dyDescent="0.25">
      <c r="A436" s="4" t="s">
        <v>185</v>
      </c>
      <c r="B436" s="4" t="s">
        <v>201</v>
      </c>
      <c r="C436" s="4" t="s">
        <v>56</v>
      </c>
      <c r="D436" s="5"/>
      <c r="E436" s="5"/>
      <c r="F436" s="5"/>
      <c r="G436" s="5"/>
      <c r="H436" s="12" t="str">
        <f>IF(OR(D436="",E436=""),"",IF(IFERROR(INDEX(Stats!$D:$D,MATCH($C436,Stats!$A:$A,0)),FALSE),ROUND(D436+(E436-D436)*(1+G436)*((1-1)/(MaxLevel-1))^(2^F436),0),D436+(E436-D436)*(1+G436)*((1-1)/(MaxLevel-1))^(2^F436)))</f>
        <v/>
      </c>
      <c r="I436" s="12" t="str">
        <f>IF(OR(D436="",E436=""),"",IF(IFERROR(INDEX(Stats!$D:$D,MATCH($C436,Stats!$A:$A,0)),FALSE),ROUND(D436+(E436-D436)*(1+G436)*((2-1)/(MaxLevel-1))^(2^F436),0),D436+(E436-D436)*(1+G436)*((2-1)/(MaxLevel-1))^(2^F436)))</f>
        <v/>
      </c>
      <c r="J436" s="12" t="str">
        <f>IF(OR(D436="",E436=""),"",IF(IFERROR(INDEX(Stats!$D:$D,MATCH($C436,Stats!$A:$A,0)),FALSE),ROUND(D436+(E436-D436)*(1+G436)*((3-1)/(MaxLevel-1))^(2^F436),0),D436+(E436-D436)*(1+G436)*((3-1)/(MaxLevel-1))^(2^F436)))</f>
        <v/>
      </c>
      <c r="K436" s="12" t="str">
        <f>IF(OR(D436="",E436=""),"",IF(IFERROR(INDEX(Stats!$D:$D,MATCH($C436,Stats!$A:$A,0)),FALSE),ROUND(D436+(E436-D436)*(1+G436)*((4-1)/(MaxLevel-1))^(2^F436),0),D436+(E436-D436)*(1+G436)*((4-1)/(MaxLevel-1))^(2^F436)))</f>
        <v/>
      </c>
      <c r="L436" s="12" t="str">
        <f>IF(OR(D436="",E436=""),"",IF(IFERROR(INDEX(Stats!$D:$D,MATCH($C436,Stats!$A:$A,0)),FALSE),ROUND(D436+(E436-D436)*(1+G436)*((5-1)/(MaxLevel-1))^(2^F436),0),D436+(E436-D436)*(1+G436)*((5-1)/(MaxLevel-1))^(2^F436)))</f>
        <v/>
      </c>
      <c r="M436" s="12" t="str">
        <f>IF(OR(D436="",E436=""),"",IF(IFERROR(INDEX(Stats!$D:$D,MATCH($C436,Stats!$A:$A,0)),FALSE),ROUND(D436+(E436-D436)*(1+G436)*((6-1)/(MaxLevel-1))^(2^F436),0),D436+(E436-D436)*(1+G436)*((6-1)/(MaxLevel-1))^(2^F436)))</f>
        <v/>
      </c>
      <c r="N436" s="12" t="str">
        <f>IF(OR(D436="",E436=""),"",IF(IFERROR(INDEX(Stats!$D:$D,MATCH($C436,Stats!$A:$A,0)),FALSE),ROUND(D436+(E436-D436)*(1+G436)*((7-1)/(MaxLevel-1))^(2^F436),0),D436+(E436-D436)*(1+G436)*((7-1)/(MaxLevel-1))^(2^F436)))</f>
        <v/>
      </c>
      <c r="O436" s="12" t="str">
        <f>IF(OR(D436="",E436=""),"",IF(IFERROR(INDEX(Stats!$D:$D,MATCH($C436,Stats!$A:$A,0)),FALSE),ROUND(D436+(E436-D436)*(1+G436)*((8-1)/(MaxLevel-1))^(2^F436),0),D436+(E436-D436)*(1+G436)*((8-1)/(MaxLevel-1))^(2^F436)))</f>
        <v/>
      </c>
      <c r="P436" s="12" t="str">
        <f>IF(OR(D436="",E436=""),"",IF(IFERROR(INDEX(Stats!$D:$D,MATCH($C436,Stats!$A:$A,0)),FALSE),ROUND(D436+(E436-D436)*(1+G436)*((9-1)/(MaxLevel-1))^(2^F436),0),D436+(E436-D436)*(1+G436)*((9-1)/(MaxLevel-1))^(2^F436)))</f>
        <v/>
      </c>
      <c r="Q436" s="12" t="str">
        <f>IF(OR(D436="",E436=""),"",IF(IFERROR(INDEX(Stats!$D:$D,MATCH($C436,Stats!$A:$A,0)),FALSE),ROUND(D436+(E436-D436)*(1+G436)*((10-1)/(MaxLevel-1))^(2^F436),0),D436+(E436-D436)*(1+G436)*((10-1)/(MaxLevel-1))^(2^F436)))</f>
        <v/>
      </c>
    </row>
    <row r="437" spans="1:17" x14ac:dyDescent="0.25">
      <c r="A437" s="4" t="s">
        <v>185</v>
      </c>
      <c r="B437" s="4" t="s">
        <v>201</v>
      </c>
      <c r="C437" s="4" t="s">
        <v>58</v>
      </c>
      <c r="D437" s="5"/>
      <c r="E437" s="5"/>
      <c r="F437" s="5"/>
      <c r="G437" s="5"/>
      <c r="H437" s="12" t="str">
        <f>IF(OR(D437="",E437=""),"",IF(IFERROR(INDEX(Stats!$D:$D,MATCH($C437,Stats!$A:$A,0)),FALSE),ROUND(D437+(E437-D437)*(1+G437)*((1-1)/(MaxLevel-1))^(2^F437),0),D437+(E437-D437)*(1+G437)*((1-1)/(MaxLevel-1))^(2^F437)))</f>
        <v/>
      </c>
      <c r="I437" s="12" t="str">
        <f>IF(OR(D437="",E437=""),"",IF(IFERROR(INDEX(Stats!$D:$D,MATCH($C437,Stats!$A:$A,0)),FALSE),ROUND(D437+(E437-D437)*(1+G437)*((2-1)/(MaxLevel-1))^(2^F437),0),D437+(E437-D437)*(1+G437)*((2-1)/(MaxLevel-1))^(2^F437)))</f>
        <v/>
      </c>
      <c r="J437" s="12" t="str">
        <f>IF(OR(D437="",E437=""),"",IF(IFERROR(INDEX(Stats!$D:$D,MATCH($C437,Stats!$A:$A,0)),FALSE),ROUND(D437+(E437-D437)*(1+G437)*((3-1)/(MaxLevel-1))^(2^F437),0),D437+(E437-D437)*(1+G437)*((3-1)/(MaxLevel-1))^(2^F437)))</f>
        <v/>
      </c>
      <c r="K437" s="12" t="str">
        <f>IF(OR(D437="",E437=""),"",IF(IFERROR(INDEX(Stats!$D:$D,MATCH($C437,Stats!$A:$A,0)),FALSE),ROUND(D437+(E437-D437)*(1+G437)*((4-1)/(MaxLevel-1))^(2^F437),0),D437+(E437-D437)*(1+G437)*((4-1)/(MaxLevel-1))^(2^F437)))</f>
        <v/>
      </c>
      <c r="L437" s="12" t="str">
        <f>IF(OR(D437="",E437=""),"",IF(IFERROR(INDEX(Stats!$D:$D,MATCH($C437,Stats!$A:$A,0)),FALSE),ROUND(D437+(E437-D437)*(1+G437)*((5-1)/(MaxLevel-1))^(2^F437),0),D437+(E437-D437)*(1+G437)*((5-1)/(MaxLevel-1))^(2^F437)))</f>
        <v/>
      </c>
      <c r="M437" s="12" t="str">
        <f>IF(OR(D437="",E437=""),"",IF(IFERROR(INDEX(Stats!$D:$D,MATCH($C437,Stats!$A:$A,0)),FALSE),ROUND(D437+(E437-D437)*(1+G437)*((6-1)/(MaxLevel-1))^(2^F437),0),D437+(E437-D437)*(1+G437)*((6-1)/(MaxLevel-1))^(2^F437)))</f>
        <v/>
      </c>
      <c r="N437" s="12" t="str">
        <f>IF(OR(D437="",E437=""),"",IF(IFERROR(INDEX(Stats!$D:$D,MATCH($C437,Stats!$A:$A,0)),FALSE),ROUND(D437+(E437-D437)*(1+G437)*((7-1)/(MaxLevel-1))^(2^F437),0),D437+(E437-D437)*(1+G437)*((7-1)/(MaxLevel-1))^(2^F437)))</f>
        <v/>
      </c>
      <c r="O437" s="12" t="str">
        <f>IF(OR(D437="",E437=""),"",IF(IFERROR(INDEX(Stats!$D:$D,MATCH($C437,Stats!$A:$A,0)),FALSE),ROUND(D437+(E437-D437)*(1+G437)*((8-1)/(MaxLevel-1))^(2^F437),0),D437+(E437-D437)*(1+G437)*((8-1)/(MaxLevel-1))^(2^F437)))</f>
        <v/>
      </c>
      <c r="P437" s="12" t="str">
        <f>IF(OR(D437="",E437=""),"",IF(IFERROR(INDEX(Stats!$D:$D,MATCH($C437,Stats!$A:$A,0)),FALSE),ROUND(D437+(E437-D437)*(1+G437)*((9-1)/(MaxLevel-1))^(2^F437),0),D437+(E437-D437)*(1+G437)*((9-1)/(MaxLevel-1))^(2^F437)))</f>
        <v/>
      </c>
      <c r="Q437" s="12" t="str">
        <f>IF(OR(D437="",E437=""),"",IF(IFERROR(INDEX(Stats!$D:$D,MATCH($C437,Stats!$A:$A,0)),FALSE),ROUND(D437+(E437-D437)*(1+G437)*((10-1)/(MaxLevel-1))^(2^F437),0),D437+(E437-D437)*(1+G437)*((10-1)/(MaxLevel-1))^(2^F437)))</f>
        <v/>
      </c>
    </row>
    <row r="438" spans="1:17" x14ac:dyDescent="0.25">
      <c r="A438" s="4" t="s">
        <v>185</v>
      </c>
      <c r="B438" s="4" t="s">
        <v>201</v>
      </c>
      <c r="C438" s="4" t="s">
        <v>60</v>
      </c>
      <c r="D438" s="5"/>
      <c r="E438" s="5"/>
      <c r="F438" s="5"/>
      <c r="G438" s="5"/>
      <c r="H438" s="12" t="str">
        <f>IF(OR(D438="",E438=""),"",IF(IFERROR(INDEX(Stats!$D:$D,MATCH($C438,Stats!$A:$A,0)),FALSE),ROUND(D438+(E438-D438)*(1+G438)*((1-1)/(MaxLevel-1))^(2^F438),0),D438+(E438-D438)*(1+G438)*((1-1)/(MaxLevel-1))^(2^F438)))</f>
        <v/>
      </c>
      <c r="I438" s="12" t="str">
        <f>IF(OR(D438="",E438=""),"",IF(IFERROR(INDEX(Stats!$D:$D,MATCH($C438,Stats!$A:$A,0)),FALSE),ROUND(D438+(E438-D438)*(1+G438)*((2-1)/(MaxLevel-1))^(2^F438),0),D438+(E438-D438)*(1+G438)*((2-1)/(MaxLevel-1))^(2^F438)))</f>
        <v/>
      </c>
      <c r="J438" s="12" t="str">
        <f>IF(OR(D438="",E438=""),"",IF(IFERROR(INDEX(Stats!$D:$D,MATCH($C438,Stats!$A:$A,0)),FALSE),ROUND(D438+(E438-D438)*(1+G438)*((3-1)/(MaxLevel-1))^(2^F438),0),D438+(E438-D438)*(1+G438)*((3-1)/(MaxLevel-1))^(2^F438)))</f>
        <v/>
      </c>
      <c r="K438" s="12" t="str">
        <f>IF(OR(D438="",E438=""),"",IF(IFERROR(INDEX(Stats!$D:$D,MATCH($C438,Stats!$A:$A,0)),FALSE),ROUND(D438+(E438-D438)*(1+G438)*((4-1)/(MaxLevel-1))^(2^F438),0),D438+(E438-D438)*(1+G438)*((4-1)/(MaxLevel-1))^(2^F438)))</f>
        <v/>
      </c>
      <c r="L438" s="12" t="str">
        <f>IF(OR(D438="",E438=""),"",IF(IFERROR(INDEX(Stats!$D:$D,MATCH($C438,Stats!$A:$A,0)),FALSE),ROUND(D438+(E438-D438)*(1+G438)*((5-1)/(MaxLevel-1))^(2^F438),0),D438+(E438-D438)*(1+G438)*((5-1)/(MaxLevel-1))^(2^F438)))</f>
        <v/>
      </c>
      <c r="M438" s="12" t="str">
        <f>IF(OR(D438="",E438=""),"",IF(IFERROR(INDEX(Stats!$D:$D,MATCH($C438,Stats!$A:$A,0)),FALSE),ROUND(D438+(E438-D438)*(1+G438)*((6-1)/(MaxLevel-1))^(2^F438),0),D438+(E438-D438)*(1+G438)*((6-1)/(MaxLevel-1))^(2^F438)))</f>
        <v/>
      </c>
      <c r="N438" s="12" t="str">
        <f>IF(OR(D438="",E438=""),"",IF(IFERROR(INDEX(Stats!$D:$D,MATCH($C438,Stats!$A:$A,0)),FALSE),ROUND(D438+(E438-D438)*(1+G438)*((7-1)/(MaxLevel-1))^(2^F438),0),D438+(E438-D438)*(1+G438)*((7-1)/(MaxLevel-1))^(2^F438)))</f>
        <v/>
      </c>
      <c r="O438" s="12" t="str">
        <f>IF(OR(D438="",E438=""),"",IF(IFERROR(INDEX(Stats!$D:$D,MATCH($C438,Stats!$A:$A,0)),FALSE),ROUND(D438+(E438-D438)*(1+G438)*((8-1)/(MaxLevel-1))^(2^F438),0),D438+(E438-D438)*(1+G438)*((8-1)/(MaxLevel-1))^(2^F438)))</f>
        <v/>
      </c>
      <c r="P438" s="12" t="str">
        <f>IF(OR(D438="",E438=""),"",IF(IFERROR(INDEX(Stats!$D:$D,MATCH($C438,Stats!$A:$A,0)),FALSE),ROUND(D438+(E438-D438)*(1+G438)*((9-1)/(MaxLevel-1))^(2^F438),0),D438+(E438-D438)*(1+G438)*((9-1)/(MaxLevel-1))^(2^F438)))</f>
        <v/>
      </c>
      <c r="Q438" s="12" t="str">
        <f>IF(OR(D438="",E438=""),"",IF(IFERROR(INDEX(Stats!$D:$D,MATCH($C438,Stats!$A:$A,0)),FALSE),ROUND(D438+(E438-D438)*(1+G438)*((10-1)/(MaxLevel-1))^(2^F438),0),D438+(E438-D438)*(1+G438)*((10-1)/(MaxLevel-1))^(2^F438)))</f>
        <v/>
      </c>
    </row>
    <row r="439" spans="1:17" x14ac:dyDescent="0.25">
      <c r="A439" s="4" t="s">
        <v>185</v>
      </c>
      <c r="B439" s="19" t="s">
        <v>237</v>
      </c>
      <c r="C439" s="4" t="s">
        <v>24</v>
      </c>
      <c r="D439" s="5">
        <v>0</v>
      </c>
      <c r="E439" s="5">
        <v>20000</v>
      </c>
      <c r="F439" s="5">
        <v>1</v>
      </c>
      <c r="G439" s="5">
        <v>0</v>
      </c>
      <c r="H439" s="12">
        <f>IF(OR(D439="",E439=""),"",IF(IFERROR(INDEX(Stats!$D:$D,MATCH($C439,Stats!$A:$A,0)),FALSE),ROUND(D439+(E439-D439)*(1+G439)*((1-1)/(MaxLevel-1))^(2^F439),0),D439+(E439-D439)*(1+G439)*((1-1)/(MaxLevel-1))^(2^F439)))</f>
        <v>0</v>
      </c>
      <c r="I439" s="12">
        <f>IF(OR(D439="",E439=""),"",IF(IFERROR(INDEX(Stats!$D:$D,MATCH($C439,Stats!$A:$A,0)),FALSE),ROUND(D439+(E439-D439)*(1+G439)*((2-1)/(MaxLevel-1))^(2^F439),0),D439+(E439-D439)*(1+G439)*((2-1)/(MaxLevel-1))^(2^F439)))</f>
        <v>247</v>
      </c>
      <c r="J439" s="12">
        <f>IF(OR(D439="",E439=""),"",IF(IFERROR(INDEX(Stats!$D:$D,MATCH($C439,Stats!$A:$A,0)),FALSE),ROUND(D439+(E439-D439)*(1+G439)*((3-1)/(MaxLevel-1))^(2^F439),0),D439+(E439-D439)*(1+G439)*((3-1)/(MaxLevel-1))^(2^F439)))</f>
        <v>988</v>
      </c>
      <c r="K439" s="12">
        <f>IF(OR(D439="",E439=""),"",IF(IFERROR(INDEX(Stats!$D:$D,MATCH($C439,Stats!$A:$A,0)),FALSE),ROUND(D439+(E439-D439)*(1+G439)*((4-1)/(MaxLevel-1))^(2^F439),0),D439+(E439-D439)*(1+G439)*((4-1)/(MaxLevel-1))^(2^F439)))</f>
        <v>2222</v>
      </c>
      <c r="L439" s="12">
        <f>IF(OR(D439="",E439=""),"",IF(IFERROR(INDEX(Stats!$D:$D,MATCH($C439,Stats!$A:$A,0)),FALSE),ROUND(D439+(E439-D439)*(1+G439)*((5-1)/(MaxLevel-1))^(2^F439),0),D439+(E439-D439)*(1+G439)*((5-1)/(MaxLevel-1))^(2^F439)))</f>
        <v>3951</v>
      </c>
      <c r="M439" s="12">
        <f>IF(OR(D439="",E439=""),"",IF(IFERROR(INDEX(Stats!$D:$D,MATCH($C439,Stats!$A:$A,0)),FALSE),ROUND(D439+(E439-D439)*(1+G439)*((6-1)/(MaxLevel-1))^(2^F439),0),D439+(E439-D439)*(1+G439)*((6-1)/(MaxLevel-1))^(2^F439)))</f>
        <v>6173</v>
      </c>
      <c r="N439" s="12">
        <f>IF(OR(D439="",E439=""),"",IF(IFERROR(INDEX(Stats!$D:$D,MATCH($C439,Stats!$A:$A,0)),FALSE),ROUND(D439+(E439-D439)*(1+G439)*((7-1)/(MaxLevel-1))^(2^F439),0),D439+(E439-D439)*(1+G439)*((7-1)/(MaxLevel-1))^(2^F439)))</f>
        <v>8889</v>
      </c>
      <c r="O439" s="12">
        <f>IF(OR(D439="",E439=""),"",IF(IFERROR(INDEX(Stats!$D:$D,MATCH($C439,Stats!$A:$A,0)),FALSE),ROUND(D439+(E439-D439)*(1+G439)*((8-1)/(MaxLevel-1))^(2^F439),0),D439+(E439-D439)*(1+G439)*((8-1)/(MaxLevel-1))^(2^F439)))</f>
        <v>12099</v>
      </c>
      <c r="P439" s="12">
        <f>IF(OR(D439="",E439=""),"",IF(IFERROR(INDEX(Stats!$D:$D,MATCH($C439,Stats!$A:$A,0)),FALSE),ROUND(D439+(E439-D439)*(1+G439)*((9-1)/(MaxLevel-1))^(2^F439),0),D439+(E439-D439)*(1+G439)*((9-1)/(MaxLevel-1))^(2^F439)))</f>
        <v>15802</v>
      </c>
      <c r="Q439" s="12">
        <f>IF(OR(D439="",E439=""),"",IF(IFERROR(INDEX(Stats!$D:$D,MATCH($C439,Stats!$A:$A,0)),FALSE),ROUND(D439+(E439-D439)*(1+G439)*((10-1)/(MaxLevel-1))^(2^F439),0),D439+(E439-D439)*(1+G439)*((10-1)/(MaxLevel-1))^(2^F439)))</f>
        <v>20000</v>
      </c>
    </row>
    <row r="440" spans="1:17" x14ac:dyDescent="0.25">
      <c r="A440" s="4" t="s">
        <v>185</v>
      </c>
      <c r="B440" s="19" t="s">
        <v>237</v>
      </c>
      <c r="C440" s="4" t="s">
        <v>26</v>
      </c>
      <c r="D440" s="5">
        <v>50</v>
      </c>
      <c r="E440" s="5">
        <v>300</v>
      </c>
      <c r="F440" s="5">
        <v>0</v>
      </c>
      <c r="G440" s="5">
        <v>0</v>
      </c>
      <c r="H440" s="12">
        <f>IF(OR(D440="",E440=""),"",IF(IFERROR(INDEX(Stats!$D:$D,MATCH($C440,Stats!$A:$A,0)),FALSE),ROUND(D440+(E440-D440)*(1+G440)*((1-1)/(MaxLevel-1))^(2^F440),0),D440+(E440-D440)*(1+G440)*((1-1)/(MaxLevel-1))^(2^F440)))</f>
        <v>50</v>
      </c>
      <c r="I440" s="12">
        <f>IF(OR(D440="",E440=""),"",IF(IFERROR(INDEX(Stats!$D:$D,MATCH($C440,Stats!$A:$A,0)),FALSE),ROUND(D440+(E440-D440)*(1+G440)*((2-1)/(MaxLevel-1))^(2^F440),0),D440+(E440-D440)*(1+G440)*((2-1)/(MaxLevel-1))^(2^F440)))</f>
        <v>78</v>
      </c>
      <c r="J440" s="12">
        <f>IF(OR(D440="",E440=""),"",IF(IFERROR(INDEX(Stats!$D:$D,MATCH($C440,Stats!$A:$A,0)),FALSE),ROUND(D440+(E440-D440)*(1+G440)*((3-1)/(MaxLevel-1))^(2^F440),0),D440+(E440-D440)*(1+G440)*((3-1)/(MaxLevel-1))^(2^F440)))</f>
        <v>106</v>
      </c>
      <c r="K440" s="12">
        <f>IF(OR(D440="",E440=""),"",IF(IFERROR(INDEX(Stats!$D:$D,MATCH($C440,Stats!$A:$A,0)),FALSE),ROUND(D440+(E440-D440)*(1+G440)*((4-1)/(MaxLevel-1))^(2^F440),0),D440+(E440-D440)*(1+G440)*((4-1)/(MaxLevel-1))^(2^F440)))</f>
        <v>133</v>
      </c>
      <c r="L440" s="12">
        <f>IF(OR(D440="",E440=""),"",IF(IFERROR(INDEX(Stats!$D:$D,MATCH($C440,Stats!$A:$A,0)),FALSE),ROUND(D440+(E440-D440)*(1+G440)*((5-1)/(MaxLevel-1))^(2^F440),0),D440+(E440-D440)*(1+G440)*((5-1)/(MaxLevel-1))^(2^F440)))</f>
        <v>161</v>
      </c>
      <c r="M440" s="12">
        <f>IF(OR(D440="",E440=""),"",IF(IFERROR(INDEX(Stats!$D:$D,MATCH($C440,Stats!$A:$A,0)),FALSE),ROUND(D440+(E440-D440)*(1+G440)*((6-1)/(MaxLevel-1))^(2^F440),0),D440+(E440-D440)*(1+G440)*((6-1)/(MaxLevel-1))^(2^F440)))</f>
        <v>189</v>
      </c>
      <c r="N440" s="12">
        <f>IF(OR(D440="",E440=""),"",IF(IFERROR(INDEX(Stats!$D:$D,MATCH($C440,Stats!$A:$A,0)),FALSE),ROUND(D440+(E440-D440)*(1+G440)*((7-1)/(MaxLevel-1))^(2^F440),0),D440+(E440-D440)*(1+G440)*((7-1)/(MaxLevel-1))^(2^F440)))</f>
        <v>217</v>
      </c>
      <c r="O440" s="12">
        <f>IF(OR(D440="",E440=""),"",IF(IFERROR(INDEX(Stats!$D:$D,MATCH($C440,Stats!$A:$A,0)),FALSE),ROUND(D440+(E440-D440)*(1+G440)*((8-1)/(MaxLevel-1))^(2^F440),0),D440+(E440-D440)*(1+G440)*((8-1)/(MaxLevel-1))^(2^F440)))</f>
        <v>244</v>
      </c>
      <c r="P440" s="12">
        <f>IF(OR(D440="",E440=""),"",IF(IFERROR(INDEX(Stats!$D:$D,MATCH($C440,Stats!$A:$A,0)),FALSE),ROUND(D440+(E440-D440)*(1+G440)*((9-1)/(MaxLevel-1))^(2^F440),0),D440+(E440-D440)*(1+G440)*((9-1)/(MaxLevel-1))^(2^F440)))</f>
        <v>272</v>
      </c>
      <c r="Q440" s="12">
        <f>IF(OR(D440="",E440=""),"",IF(IFERROR(INDEX(Stats!$D:$D,MATCH($C440,Stats!$A:$A,0)),FALSE),ROUND(D440+(E440-D440)*(1+G440)*((10-1)/(MaxLevel-1))^(2^F440),0),D440+(E440-D440)*(1+G440)*((10-1)/(MaxLevel-1))^(2^F440)))</f>
        <v>300</v>
      </c>
    </row>
    <row r="441" spans="1:17" x14ac:dyDescent="0.25">
      <c r="A441" s="4" t="s">
        <v>185</v>
      </c>
      <c r="B441" s="19" t="s">
        <v>237</v>
      </c>
      <c r="C441" s="4" t="s">
        <v>28</v>
      </c>
      <c r="D441" s="5">
        <v>400</v>
      </c>
      <c r="E441" s="5">
        <v>1600</v>
      </c>
      <c r="F441" s="5">
        <v>0</v>
      </c>
      <c r="G441" s="5">
        <v>0</v>
      </c>
      <c r="H441" s="12">
        <f>IF(OR(D441="",E441=""),"",IF(IFERROR(INDEX(Stats!$D:$D,MATCH($C441,Stats!$A:$A,0)),FALSE),ROUND(D441+(E441-D441)*(1+G441)*((1-1)/(MaxLevel-1))^(2^F441),0),D441+(E441-D441)*(1+G441)*((1-1)/(MaxLevel-1))^(2^F441)))</f>
        <v>400</v>
      </c>
      <c r="I441" s="12">
        <f>IF(OR(D441="",E441=""),"",IF(IFERROR(INDEX(Stats!$D:$D,MATCH($C441,Stats!$A:$A,0)),FALSE),ROUND(D441+(E441-D441)*(1+G441)*((2-1)/(MaxLevel-1))^(2^F441),0),D441+(E441-D441)*(1+G441)*((2-1)/(MaxLevel-1))^(2^F441)))</f>
        <v>533</v>
      </c>
      <c r="J441" s="12">
        <f>IF(OR(D441="",E441=""),"",IF(IFERROR(INDEX(Stats!$D:$D,MATCH($C441,Stats!$A:$A,0)),FALSE),ROUND(D441+(E441-D441)*(1+G441)*((3-1)/(MaxLevel-1))^(2^F441),0),D441+(E441-D441)*(1+G441)*((3-1)/(MaxLevel-1))^(2^F441)))</f>
        <v>667</v>
      </c>
      <c r="K441" s="12">
        <f>IF(OR(D441="",E441=""),"",IF(IFERROR(INDEX(Stats!$D:$D,MATCH($C441,Stats!$A:$A,0)),FALSE),ROUND(D441+(E441-D441)*(1+G441)*((4-1)/(MaxLevel-1))^(2^F441),0),D441+(E441-D441)*(1+G441)*((4-1)/(MaxLevel-1))^(2^F441)))</f>
        <v>800</v>
      </c>
      <c r="L441" s="12">
        <f>IF(OR(D441="",E441=""),"",IF(IFERROR(INDEX(Stats!$D:$D,MATCH($C441,Stats!$A:$A,0)),FALSE),ROUND(D441+(E441-D441)*(1+G441)*((5-1)/(MaxLevel-1))^(2^F441),0),D441+(E441-D441)*(1+G441)*((5-1)/(MaxLevel-1))^(2^F441)))</f>
        <v>933</v>
      </c>
      <c r="M441" s="12">
        <f>IF(OR(D441="",E441=""),"",IF(IFERROR(INDEX(Stats!$D:$D,MATCH($C441,Stats!$A:$A,0)),FALSE),ROUND(D441+(E441-D441)*(1+G441)*((6-1)/(MaxLevel-1))^(2^F441),0),D441+(E441-D441)*(1+G441)*((6-1)/(MaxLevel-1))^(2^F441)))</f>
        <v>1067</v>
      </c>
      <c r="N441" s="12">
        <f>IF(OR(D441="",E441=""),"",IF(IFERROR(INDEX(Stats!$D:$D,MATCH($C441,Stats!$A:$A,0)),FALSE),ROUND(D441+(E441-D441)*(1+G441)*((7-1)/(MaxLevel-1))^(2^F441),0),D441+(E441-D441)*(1+G441)*((7-1)/(MaxLevel-1))^(2^F441)))</f>
        <v>1200</v>
      </c>
      <c r="O441" s="12">
        <f>IF(OR(D441="",E441=""),"",IF(IFERROR(INDEX(Stats!$D:$D,MATCH($C441,Stats!$A:$A,0)),FALSE),ROUND(D441+(E441-D441)*(1+G441)*((8-1)/(MaxLevel-1))^(2^F441),0),D441+(E441-D441)*(1+G441)*((8-1)/(MaxLevel-1))^(2^F441)))</f>
        <v>1333</v>
      </c>
      <c r="P441" s="12">
        <f>IF(OR(D441="",E441=""),"",IF(IFERROR(INDEX(Stats!$D:$D,MATCH($C441,Stats!$A:$A,0)),FALSE),ROUND(D441+(E441-D441)*(1+G441)*((9-1)/(MaxLevel-1))^(2^F441),0),D441+(E441-D441)*(1+G441)*((9-1)/(MaxLevel-1))^(2^F441)))</f>
        <v>1467</v>
      </c>
      <c r="Q441" s="12">
        <f>IF(OR(D441="",E441=""),"",IF(IFERROR(INDEX(Stats!$D:$D,MATCH($C441,Stats!$A:$A,0)),FALSE),ROUND(D441+(E441-D441)*(1+G441)*((10-1)/(MaxLevel-1))^(2^F441),0),D441+(E441-D441)*(1+G441)*((10-1)/(MaxLevel-1))^(2^F441)))</f>
        <v>1600</v>
      </c>
    </row>
    <row r="442" spans="1:17" x14ac:dyDescent="0.25">
      <c r="A442" s="4" t="s">
        <v>185</v>
      </c>
      <c r="B442" s="19" t="s">
        <v>237</v>
      </c>
      <c r="C442" s="4" t="s">
        <v>30</v>
      </c>
      <c r="D442" s="5">
        <v>30</v>
      </c>
      <c r="E442" s="5">
        <v>120</v>
      </c>
      <c r="F442" s="5">
        <v>0</v>
      </c>
      <c r="G442" s="5">
        <v>0</v>
      </c>
      <c r="H442" s="12">
        <f>IF(OR(D442="",E442=""),"",IF(IFERROR(INDEX(Stats!$D:$D,MATCH($C442,Stats!$A:$A,0)),FALSE),ROUND(D442+(E442-D442)*(1+G442)*((1-1)/(MaxLevel-1))^(2^F442),0),D442+(E442-D442)*(1+G442)*((1-1)/(MaxLevel-1))^(2^F442)))</f>
        <v>30</v>
      </c>
      <c r="I442" s="12">
        <f>IF(OR(D442="",E442=""),"",IF(IFERROR(INDEX(Stats!$D:$D,MATCH($C442,Stats!$A:$A,0)),FALSE),ROUND(D442+(E442-D442)*(1+G442)*((2-1)/(MaxLevel-1))^(2^F442),0),D442+(E442-D442)*(1+G442)*((2-1)/(MaxLevel-1))^(2^F442)))</f>
        <v>40</v>
      </c>
      <c r="J442" s="12">
        <f>IF(OR(D442="",E442=""),"",IF(IFERROR(INDEX(Stats!$D:$D,MATCH($C442,Stats!$A:$A,0)),FALSE),ROUND(D442+(E442-D442)*(1+G442)*((3-1)/(MaxLevel-1))^(2^F442),0),D442+(E442-D442)*(1+G442)*((3-1)/(MaxLevel-1))^(2^F442)))</f>
        <v>50</v>
      </c>
      <c r="K442" s="12">
        <f>IF(OR(D442="",E442=""),"",IF(IFERROR(INDEX(Stats!$D:$D,MATCH($C442,Stats!$A:$A,0)),FALSE),ROUND(D442+(E442-D442)*(1+G442)*((4-1)/(MaxLevel-1))^(2^F442),0),D442+(E442-D442)*(1+G442)*((4-1)/(MaxLevel-1))^(2^F442)))</f>
        <v>60</v>
      </c>
      <c r="L442" s="12">
        <f>IF(OR(D442="",E442=""),"",IF(IFERROR(INDEX(Stats!$D:$D,MATCH($C442,Stats!$A:$A,0)),FALSE),ROUND(D442+(E442-D442)*(1+G442)*((5-1)/(MaxLevel-1))^(2^F442),0),D442+(E442-D442)*(1+G442)*((5-1)/(MaxLevel-1))^(2^F442)))</f>
        <v>70</v>
      </c>
      <c r="M442" s="12">
        <f>IF(OR(D442="",E442=""),"",IF(IFERROR(INDEX(Stats!$D:$D,MATCH($C442,Stats!$A:$A,0)),FALSE),ROUND(D442+(E442-D442)*(1+G442)*((6-1)/(MaxLevel-1))^(2^F442),0),D442+(E442-D442)*(1+G442)*((6-1)/(MaxLevel-1))^(2^F442)))</f>
        <v>80</v>
      </c>
      <c r="N442" s="12">
        <f>IF(OR(D442="",E442=""),"",IF(IFERROR(INDEX(Stats!$D:$D,MATCH($C442,Stats!$A:$A,0)),FALSE),ROUND(D442+(E442-D442)*(1+G442)*((7-1)/(MaxLevel-1))^(2^F442),0),D442+(E442-D442)*(1+G442)*((7-1)/(MaxLevel-1))^(2^F442)))</f>
        <v>90</v>
      </c>
      <c r="O442" s="12">
        <f>IF(OR(D442="",E442=""),"",IF(IFERROR(INDEX(Stats!$D:$D,MATCH($C442,Stats!$A:$A,0)),FALSE),ROUND(D442+(E442-D442)*(1+G442)*((8-1)/(MaxLevel-1))^(2^F442),0),D442+(E442-D442)*(1+G442)*((8-1)/(MaxLevel-1))^(2^F442)))</f>
        <v>100</v>
      </c>
      <c r="P442" s="12">
        <f>IF(OR(D442="",E442=""),"",IF(IFERROR(INDEX(Stats!$D:$D,MATCH($C442,Stats!$A:$A,0)),FALSE),ROUND(D442+(E442-D442)*(1+G442)*((9-1)/(MaxLevel-1))^(2^F442),0),D442+(E442-D442)*(1+G442)*((9-1)/(MaxLevel-1))^(2^F442)))</f>
        <v>110</v>
      </c>
      <c r="Q442" s="12">
        <f>IF(OR(D442="",E442=""),"",IF(IFERROR(INDEX(Stats!$D:$D,MATCH($C442,Stats!$A:$A,0)),FALSE),ROUND(D442+(E442-D442)*(1+G442)*((10-1)/(MaxLevel-1))^(2^F442),0),D442+(E442-D442)*(1+G442)*((10-1)/(MaxLevel-1))^(2^F442)))</f>
        <v>120</v>
      </c>
    </row>
    <row r="443" spans="1:17" x14ac:dyDescent="0.25">
      <c r="A443" s="4" t="s">
        <v>185</v>
      </c>
      <c r="B443" s="19" t="s">
        <v>237</v>
      </c>
      <c r="C443" s="4" t="s">
        <v>32</v>
      </c>
      <c r="D443" s="5">
        <v>0.7</v>
      </c>
      <c r="E443" s="5">
        <v>0.95</v>
      </c>
      <c r="F443" s="5">
        <v>-1</v>
      </c>
      <c r="G443" s="5">
        <v>0</v>
      </c>
      <c r="H443" s="12">
        <f>IF(OR(D443="",E443=""),"",IF(IFERROR(INDEX(Stats!$D:$D,MATCH($C443,Stats!$A:$A,0)),FALSE),ROUND(D443+(E443-D443)*(1+G443)*((1-1)/(MaxLevel-1))^(2^F443),0),D443+(E443-D443)*(1+G443)*((1-1)/(MaxLevel-1))^(2^F443)))</f>
        <v>0.7</v>
      </c>
      <c r="I443" s="12">
        <f>IF(OR(D443="",E443=""),"",IF(IFERROR(INDEX(Stats!$D:$D,MATCH($C443,Stats!$A:$A,0)),FALSE),ROUND(D443+(E443-D443)*(1+G443)*((2-1)/(MaxLevel-1))^(2^F443),0),D443+(E443-D443)*(1+G443)*((2-1)/(MaxLevel-1))^(2^F443)))</f>
        <v>0.78333333333333333</v>
      </c>
      <c r="J443" s="12">
        <f>IF(OR(D443="",E443=""),"",IF(IFERROR(INDEX(Stats!$D:$D,MATCH($C443,Stats!$A:$A,0)),FALSE),ROUND(D443+(E443-D443)*(1+G443)*((3-1)/(MaxLevel-1))^(2^F443),0),D443+(E443-D443)*(1+G443)*((3-1)/(MaxLevel-1))^(2^F443)))</f>
        <v>0.8178511301977579</v>
      </c>
      <c r="K443" s="12">
        <f>IF(OR(D443="",E443=""),"",IF(IFERROR(INDEX(Stats!$D:$D,MATCH($C443,Stats!$A:$A,0)),FALSE),ROUND(D443+(E443-D443)*(1+G443)*((4-1)/(MaxLevel-1))^(2^F443),0),D443+(E443-D443)*(1+G443)*((4-1)/(MaxLevel-1))^(2^F443)))</f>
        <v>0.84433756729740639</v>
      </c>
      <c r="L443" s="12">
        <f>IF(OR(D443="",E443=""),"",IF(IFERROR(INDEX(Stats!$D:$D,MATCH($C443,Stats!$A:$A,0)),FALSE),ROUND(D443+(E443-D443)*(1+G443)*((5-1)/(MaxLevel-1))^(2^F443),0),D443+(E443-D443)*(1+G443)*((5-1)/(MaxLevel-1))^(2^F443)))</f>
        <v>0.86666666666666659</v>
      </c>
      <c r="M443" s="12">
        <f>IF(OR(D443="",E443=""),"",IF(IFERROR(INDEX(Stats!$D:$D,MATCH($C443,Stats!$A:$A,0)),FALSE),ROUND(D443+(E443-D443)*(1+G443)*((6-1)/(MaxLevel-1))^(2^F443),0),D443+(E443-D443)*(1+G443)*((6-1)/(MaxLevel-1))^(2^F443)))</f>
        <v>0.8863389981249824</v>
      </c>
      <c r="N443" s="12">
        <f>IF(OR(D443="",E443=""),"",IF(IFERROR(INDEX(Stats!$D:$D,MATCH($C443,Stats!$A:$A,0)),FALSE),ROUND(D443+(E443-D443)*(1+G443)*((7-1)/(MaxLevel-1))^(2^F443),0),D443+(E443-D443)*(1+G443)*((7-1)/(MaxLevel-1))^(2^F443)))</f>
        <v>0.90412414523193152</v>
      </c>
      <c r="O443" s="12">
        <f>IF(OR(D443="",E443=""),"",IF(IFERROR(INDEX(Stats!$D:$D,MATCH($C443,Stats!$A:$A,0)),FALSE),ROUND(D443+(E443-D443)*(1+G443)*((8-1)/(MaxLevel-1))^(2^F443),0),D443+(E443-D443)*(1+G443)*((8-1)/(MaxLevel-1))^(2^F443)))</f>
        <v>0.92047927592204914</v>
      </c>
      <c r="P443" s="12">
        <f>IF(OR(D443="",E443=""),"",IF(IFERROR(INDEX(Stats!$D:$D,MATCH($C443,Stats!$A:$A,0)),FALSE),ROUND(D443+(E443-D443)*(1+G443)*((9-1)/(MaxLevel-1))^(2^F443),0),D443+(E443-D443)*(1+G443)*((9-1)/(MaxLevel-1))^(2^F443)))</f>
        <v>0.93570226039551585</v>
      </c>
      <c r="Q443" s="12">
        <f>IF(OR(D443="",E443=""),"",IF(IFERROR(INDEX(Stats!$D:$D,MATCH($C443,Stats!$A:$A,0)),FALSE),ROUND(D443+(E443-D443)*(1+G443)*((10-1)/(MaxLevel-1))^(2^F443),0),D443+(E443-D443)*(1+G443)*((10-1)/(MaxLevel-1))^(2^F443)))</f>
        <v>0.95</v>
      </c>
    </row>
    <row r="444" spans="1:17" x14ac:dyDescent="0.25">
      <c r="A444" s="4" t="s">
        <v>185</v>
      </c>
      <c r="B444" s="19" t="s">
        <v>237</v>
      </c>
      <c r="C444" s="4" t="s">
        <v>34</v>
      </c>
      <c r="D444" s="5">
        <v>0.1</v>
      </c>
      <c r="E444" s="5">
        <v>0.3</v>
      </c>
      <c r="F444" s="5">
        <v>0</v>
      </c>
      <c r="G444" s="5">
        <v>0</v>
      </c>
      <c r="H444" s="12">
        <f>IF(OR(D444="",E444=""),"",IF(IFERROR(INDEX(Stats!$D:$D,MATCH($C444,Stats!$A:$A,0)),FALSE),ROUND(D444+(E444-D444)*(1+G444)*((1-1)/(MaxLevel-1))^(2^F444),0),D444+(E444-D444)*(1+G444)*((1-1)/(MaxLevel-1))^(2^F444)))</f>
        <v>0.1</v>
      </c>
      <c r="I444" s="12">
        <f>IF(OR(D444="",E444=""),"",IF(IFERROR(INDEX(Stats!$D:$D,MATCH($C444,Stats!$A:$A,0)),FALSE),ROUND(D444+(E444-D444)*(1+G444)*((2-1)/(MaxLevel-1))^(2^F444),0),D444+(E444-D444)*(1+G444)*((2-1)/(MaxLevel-1))^(2^F444)))</f>
        <v>0.12222222222222223</v>
      </c>
      <c r="J444" s="12">
        <f>IF(OR(D444="",E444=""),"",IF(IFERROR(INDEX(Stats!$D:$D,MATCH($C444,Stats!$A:$A,0)),FALSE),ROUND(D444+(E444-D444)*(1+G444)*((3-1)/(MaxLevel-1))^(2^F444),0),D444+(E444-D444)*(1+G444)*((3-1)/(MaxLevel-1))^(2^F444)))</f>
        <v>0.14444444444444443</v>
      </c>
      <c r="K444" s="12">
        <f>IF(OR(D444="",E444=""),"",IF(IFERROR(INDEX(Stats!$D:$D,MATCH($C444,Stats!$A:$A,0)),FALSE),ROUND(D444+(E444-D444)*(1+G444)*((4-1)/(MaxLevel-1))^(2^F444),0),D444+(E444-D444)*(1+G444)*((4-1)/(MaxLevel-1))^(2^F444)))</f>
        <v>0.16666666666666666</v>
      </c>
      <c r="L444" s="12">
        <f>IF(OR(D444="",E444=""),"",IF(IFERROR(INDEX(Stats!$D:$D,MATCH($C444,Stats!$A:$A,0)),FALSE),ROUND(D444+(E444-D444)*(1+G444)*((5-1)/(MaxLevel-1))^(2^F444),0),D444+(E444-D444)*(1+G444)*((5-1)/(MaxLevel-1))^(2^F444)))</f>
        <v>0.18888888888888888</v>
      </c>
      <c r="M444" s="12">
        <f>IF(OR(D444="",E444=""),"",IF(IFERROR(INDEX(Stats!$D:$D,MATCH($C444,Stats!$A:$A,0)),FALSE),ROUND(D444+(E444-D444)*(1+G444)*((6-1)/(MaxLevel-1))^(2^F444),0),D444+(E444-D444)*(1+G444)*((6-1)/(MaxLevel-1))^(2^F444)))</f>
        <v>0.21111111111111111</v>
      </c>
      <c r="N444" s="12">
        <f>IF(OR(D444="",E444=""),"",IF(IFERROR(INDEX(Stats!$D:$D,MATCH($C444,Stats!$A:$A,0)),FALSE),ROUND(D444+(E444-D444)*(1+G444)*((7-1)/(MaxLevel-1))^(2^F444),0),D444+(E444-D444)*(1+G444)*((7-1)/(MaxLevel-1))^(2^F444)))</f>
        <v>0.23333333333333331</v>
      </c>
      <c r="O444" s="12">
        <f>IF(OR(D444="",E444=""),"",IF(IFERROR(INDEX(Stats!$D:$D,MATCH($C444,Stats!$A:$A,0)),FALSE),ROUND(D444+(E444-D444)*(1+G444)*((8-1)/(MaxLevel-1))^(2^F444),0),D444+(E444-D444)*(1+G444)*((8-1)/(MaxLevel-1))^(2^F444)))</f>
        <v>0.25555555555555554</v>
      </c>
      <c r="P444" s="12">
        <f>IF(OR(D444="",E444=""),"",IF(IFERROR(INDEX(Stats!$D:$D,MATCH($C444,Stats!$A:$A,0)),FALSE),ROUND(D444+(E444-D444)*(1+G444)*((9-1)/(MaxLevel-1))^(2^F444),0),D444+(E444-D444)*(1+G444)*((9-1)/(MaxLevel-1))^(2^F444)))</f>
        <v>0.27777777777777779</v>
      </c>
      <c r="Q444" s="12">
        <f>IF(OR(D444="",E444=""),"",IF(IFERROR(INDEX(Stats!$D:$D,MATCH($C444,Stats!$A:$A,0)),FALSE),ROUND(D444+(E444-D444)*(1+G444)*((10-1)/(MaxLevel-1))^(2^F444),0),D444+(E444-D444)*(1+G444)*((10-1)/(MaxLevel-1))^(2^F444)))</f>
        <v>0.3</v>
      </c>
    </row>
    <row r="445" spans="1:17" x14ac:dyDescent="0.25">
      <c r="A445" s="4" t="s">
        <v>185</v>
      </c>
      <c r="B445" s="19" t="s">
        <v>237</v>
      </c>
      <c r="C445" s="4" t="s">
        <v>36</v>
      </c>
      <c r="D445" s="5"/>
      <c r="E445" s="5"/>
      <c r="F445" s="5"/>
      <c r="G445" s="5"/>
      <c r="H445" s="12" t="str">
        <f>IF(OR(D445="",E445=""),"",IF(IFERROR(INDEX(Stats!$D:$D,MATCH($C445,Stats!$A:$A,0)),FALSE),ROUND(D445+(E445-D445)*(1+G445)*((1-1)/(MaxLevel-1))^(2^F445),0),D445+(E445-D445)*(1+G445)*((1-1)/(MaxLevel-1))^(2^F445)))</f>
        <v/>
      </c>
      <c r="I445" s="12" t="str">
        <f>IF(OR(D445="",E445=""),"",IF(IFERROR(INDEX(Stats!$D:$D,MATCH($C445,Stats!$A:$A,0)),FALSE),ROUND(D445+(E445-D445)*(1+G445)*((2-1)/(MaxLevel-1))^(2^F445),0),D445+(E445-D445)*(1+G445)*((2-1)/(MaxLevel-1))^(2^F445)))</f>
        <v/>
      </c>
      <c r="J445" s="12" t="str">
        <f>IF(OR(D445="",E445=""),"",IF(IFERROR(INDEX(Stats!$D:$D,MATCH($C445,Stats!$A:$A,0)),FALSE),ROUND(D445+(E445-D445)*(1+G445)*((3-1)/(MaxLevel-1))^(2^F445),0),D445+(E445-D445)*(1+G445)*((3-1)/(MaxLevel-1))^(2^F445)))</f>
        <v/>
      </c>
      <c r="K445" s="12" t="str">
        <f>IF(OR(D445="",E445=""),"",IF(IFERROR(INDEX(Stats!$D:$D,MATCH($C445,Stats!$A:$A,0)),FALSE),ROUND(D445+(E445-D445)*(1+G445)*((4-1)/(MaxLevel-1))^(2^F445),0),D445+(E445-D445)*(1+G445)*((4-1)/(MaxLevel-1))^(2^F445)))</f>
        <v/>
      </c>
      <c r="L445" s="12" t="str">
        <f>IF(OR(D445="",E445=""),"",IF(IFERROR(INDEX(Stats!$D:$D,MATCH($C445,Stats!$A:$A,0)),FALSE),ROUND(D445+(E445-D445)*(1+G445)*((5-1)/(MaxLevel-1))^(2^F445),0),D445+(E445-D445)*(1+G445)*((5-1)/(MaxLevel-1))^(2^F445)))</f>
        <v/>
      </c>
      <c r="M445" s="12" t="str">
        <f>IF(OR(D445="",E445=""),"",IF(IFERROR(INDEX(Stats!$D:$D,MATCH($C445,Stats!$A:$A,0)),FALSE),ROUND(D445+(E445-D445)*(1+G445)*((6-1)/(MaxLevel-1))^(2^F445),0),D445+(E445-D445)*(1+G445)*((6-1)/(MaxLevel-1))^(2^F445)))</f>
        <v/>
      </c>
      <c r="N445" s="12" t="str">
        <f>IF(OR(D445="",E445=""),"",IF(IFERROR(INDEX(Stats!$D:$D,MATCH($C445,Stats!$A:$A,0)),FALSE),ROUND(D445+(E445-D445)*(1+G445)*((7-1)/(MaxLevel-1))^(2^F445),0),D445+(E445-D445)*(1+G445)*((7-1)/(MaxLevel-1))^(2^F445)))</f>
        <v/>
      </c>
      <c r="O445" s="12" t="str">
        <f>IF(OR(D445="",E445=""),"",IF(IFERROR(INDEX(Stats!$D:$D,MATCH($C445,Stats!$A:$A,0)),FALSE),ROUND(D445+(E445-D445)*(1+G445)*((8-1)/(MaxLevel-1))^(2^F445),0),D445+(E445-D445)*(1+G445)*((8-1)/(MaxLevel-1))^(2^F445)))</f>
        <v/>
      </c>
      <c r="P445" s="12" t="str">
        <f>IF(OR(D445="",E445=""),"",IF(IFERROR(INDEX(Stats!$D:$D,MATCH($C445,Stats!$A:$A,0)),FALSE),ROUND(D445+(E445-D445)*(1+G445)*((9-1)/(MaxLevel-1))^(2^F445),0),D445+(E445-D445)*(1+G445)*((9-1)/(MaxLevel-1))^(2^F445)))</f>
        <v/>
      </c>
      <c r="Q445" s="12" t="str">
        <f>IF(OR(D445="",E445=""),"",IF(IFERROR(INDEX(Stats!$D:$D,MATCH($C445,Stats!$A:$A,0)),FALSE),ROUND(D445+(E445-D445)*(1+G445)*((10-1)/(MaxLevel-1))^(2^F445),0),D445+(E445-D445)*(1+G445)*((10-1)/(MaxLevel-1))^(2^F445)))</f>
        <v/>
      </c>
    </row>
    <row r="446" spans="1:17" x14ac:dyDescent="0.25">
      <c r="A446" s="4" t="s">
        <v>185</v>
      </c>
      <c r="B446" s="19" t="s">
        <v>237</v>
      </c>
      <c r="C446" s="4" t="s">
        <v>38</v>
      </c>
      <c r="D446" s="5"/>
      <c r="E446" s="5"/>
      <c r="F446" s="5"/>
      <c r="G446" s="5"/>
      <c r="H446" s="12" t="str">
        <f>IF(OR(D446="",E446=""),"",IF(IFERROR(INDEX(Stats!$D:$D,MATCH($C446,Stats!$A:$A,0)),FALSE),ROUND(D446+(E446-D446)*(1+G446)*((1-1)/(MaxLevel-1))^(2^F446),0),D446+(E446-D446)*(1+G446)*((1-1)/(MaxLevel-1))^(2^F446)))</f>
        <v/>
      </c>
      <c r="I446" s="12" t="str">
        <f>IF(OR(D446="",E446=""),"",IF(IFERROR(INDEX(Stats!$D:$D,MATCH($C446,Stats!$A:$A,0)),FALSE),ROUND(D446+(E446-D446)*(1+G446)*((2-1)/(MaxLevel-1))^(2^F446),0),D446+(E446-D446)*(1+G446)*((2-1)/(MaxLevel-1))^(2^F446)))</f>
        <v/>
      </c>
      <c r="J446" s="12" t="str">
        <f>IF(OR(D446="",E446=""),"",IF(IFERROR(INDEX(Stats!$D:$D,MATCH($C446,Stats!$A:$A,0)),FALSE),ROUND(D446+(E446-D446)*(1+G446)*((3-1)/(MaxLevel-1))^(2^F446),0),D446+(E446-D446)*(1+G446)*((3-1)/(MaxLevel-1))^(2^F446)))</f>
        <v/>
      </c>
      <c r="K446" s="12" t="str">
        <f>IF(OR(D446="",E446=""),"",IF(IFERROR(INDEX(Stats!$D:$D,MATCH($C446,Stats!$A:$A,0)),FALSE),ROUND(D446+(E446-D446)*(1+G446)*((4-1)/(MaxLevel-1))^(2^F446),0),D446+(E446-D446)*(1+G446)*((4-1)/(MaxLevel-1))^(2^F446)))</f>
        <v/>
      </c>
      <c r="L446" s="12" t="str">
        <f>IF(OR(D446="",E446=""),"",IF(IFERROR(INDEX(Stats!$D:$D,MATCH($C446,Stats!$A:$A,0)),FALSE),ROUND(D446+(E446-D446)*(1+G446)*((5-1)/(MaxLevel-1))^(2^F446),0),D446+(E446-D446)*(1+G446)*((5-1)/(MaxLevel-1))^(2^F446)))</f>
        <v/>
      </c>
      <c r="M446" s="12" t="str">
        <f>IF(OR(D446="",E446=""),"",IF(IFERROR(INDEX(Stats!$D:$D,MATCH($C446,Stats!$A:$A,0)),FALSE),ROUND(D446+(E446-D446)*(1+G446)*((6-1)/(MaxLevel-1))^(2^F446),0),D446+(E446-D446)*(1+G446)*((6-1)/(MaxLevel-1))^(2^F446)))</f>
        <v/>
      </c>
      <c r="N446" s="12" t="str">
        <f>IF(OR(D446="",E446=""),"",IF(IFERROR(INDEX(Stats!$D:$D,MATCH($C446,Stats!$A:$A,0)),FALSE),ROUND(D446+(E446-D446)*(1+G446)*((7-1)/(MaxLevel-1))^(2^F446),0),D446+(E446-D446)*(1+G446)*((7-1)/(MaxLevel-1))^(2^F446)))</f>
        <v/>
      </c>
      <c r="O446" s="12" t="str">
        <f>IF(OR(D446="",E446=""),"",IF(IFERROR(INDEX(Stats!$D:$D,MATCH($C446,Stats!$A:$A,0)),FALSE),ROUND(D446+(E446-D446)*(1+G446)*((8-1)/(MaxLevel-1))^(2^F446),0),D446+(E446-D446)*(1+G446)*((8-1)/(MaxLevel-1))^(2^F446)))</f>
        <v/>
      </c>
      <c r="P446" s="12" t="str">
        <f>IF(OR(D446="",E446=""),"",IF(IFERROR(INDEX(Stats!$D:$D,MATCH($C446,Stats!$A:$A,0)),FALSE),ROUND(D446+(E446-D446)*(1+G446)*((9-1)/(MaxLevel-1))^(2^F446),0),D446+(E446-D446)*(1+G446)*((9-1)/(MaxLevel-1))^(2^F446)))</f>
        <v/>
      </c>
      <c r="Q446" s="12" t="str">
        <f>IF(OR(D446="",E446=""),"",IF(IFERROR(INDEX(Stats!$D:$D,MATCH($C446,Stats!$A:$A,0)),FALSE),ROUND(D446+(E446-D446)*(1+G446)*((10-1)/(MaxLevel-1))^(2^F446),0),D446+(E446-D446)*(1+G446)*((10-1)/(MaxLevel-1))^(2^F446)))</f>
        <v/>
      </c>
    </row>
    <row r="447" spans="1:17" x14ac:dyDescent="0.25">
      <c r="A447" s="4" t="s">
        <v>185</v>
      </c>
      <c r="B447" s="19" t="s">
        <v>237</v>
      </c>
      <c r="C447" s="4" t="s">
        <v>40</v>
      </c>
      <c r="D447" s="5"/>
      <c r="E447" s="5"/>
      <c r="F447" s="5"/>
      <c r="G447" s="5"/>
      <c r="H447" s="12" t="str">
        <f>IF(OR(D447="",E447=""),"",IF(IFERROR(INDEX(Stats!$D:$D,MATCH($C447,Stats!$A:$A,0)),FALSE),ROUND(D447+(E447-D447)*(1+G447)*((1-1)/(MaxLevel-1))^(2^F447),0),D447+(E447-D447)*(1+G447)*((1-1)/(MaxLevel-1))^(2^F447)))</f>
        <v/>
      </c>
      <c r="I447" s="12" t="str">
        <f>IF(OR(D447="",E447=""),"",IF(IFERROR(INDEX(Stats!$D:$D,MATCH($C447,Stats!$A:$A,0)),FALSE),ROUND(D447+(E447-D447)*(1+G447)*((2-1)/(MaxLevel-1))^(2^F447),0),D447+(E447-D447)*(1+G447)*((2-1)/(MaxLevel-1))^(2^F447)))</f>
        <v/>
      </c>
      <c r="J447" s="12" t="str">
        <f>IF(OR(D447="",E447=""),"",IF(IFERROR(INDEX(Stats!$D:$D,MATCH($C447,Stats!$A:$A,0)),FALSE),ROUND(D447+(E447-D447)*(1+G447)*((3-1)/(MaxLevel-1))^(2^F447),0),D447+(E447-D447)*(1+G447)*((3-1)/(MaxLevel-1))^(2^F447)))</f>
        <v/>
      </c>
      <c r="K447" s="12" t="str">
        <f>IF(OR(D447="",E447=""),"",IF(IFERROR(INDEX(Stats!$D:$D,MATCH($C447,Stats!$A:$A,0)),FALSE),ROUND(D447+(E447-D447)*(1+G447)*((4-1)/(MaxLevel-1))^(2^F447),0),D447+(E447-D447)*(1+G447)*((4-1)/(MaxLevel-1))^(2^F447)))</f>
        <v/>
      </c>
      <c r="L447" s="12" t="str">
        <f>IF(OR(D447="",E447=""),"",IF(IFERROR(INDEX(Stats!$D:$D,MATCH($C447,Stats!$A:$A,0)),FALSE),ROUND(D447+(E447-D447)*(1+G447)*((5-1)/(MaxLevel-1))^(2^F447),0),D447+(E447-D447)*(1+G447)*((5-1)/(MaxLevel-1))^(2^F447)))</f>
        <v/>
      </c>
      <c r="M447" s="12" t="str">
        <f>IF(OR(D447="",E447=""),"",IF(IFERROR(INDEX(Stats!$D:$D,MATCH($C447,Stats!$A:$A,0)),FALSE),ROUND(D447+(E447-D447)*(1+G447)*((6-1)/(MaxLevel-1))^(2^F447),0),D447+(E447-D447)*(1+G447)*((6-1)/(MaxLevel-1))^(2^F447)))</f>
        <v/>
      </c>
      <c r="N447" s="12" t="str">
        <f>IF(OR(D447="",E447=""),"",IF(IFERROR(INDEX(Stats!$D:$D,MATCH($C447,Stats!$A:$A,0)),FALSE),ROUND(D447+(E447-D447)*(1+G447)*((7-1)/(MaxLevel-1))^(2^F447),0),D447+(E447-D447)*(1+G447)*((7-1)/(MaxLevel-1))^(2^F447)))</f>
        <v/>
      </c>
      <c r="O447" s="12" t="str">
        <f>IF(OR(D447="",E447=""),"",IF(IFERROR(INDEX(Stats!$D:$D,MATCH($C447,Stats!$A:$A,0)),FALSE),ROUND(D447+(E447-D447)*(1+G447)*((8-1)/(MaxLevel-1))^(2^F447),0),D447+(E447-D447)*(1+G447)*((8-1)/(MaxLevel-1))^(2^F447)))</f>
        <v/>
      </c>
      <c r="P447" s="12" t="str">
        <f>IF(OR(D447="",E447=""),"",IF(IFERROR(INDEX(Stats!$D:$D,MATCH($C447,Stats!$A:$A,0)),FALSE),ROUND(D447+(E447-D447)*(1+G447)*((9-1)/(MaxLevel-1))^(2^F447),0),D447+(E447-D447)*(1+G447)*((9-1)/(MaxLevel-1))^(2^F447)))</f>
        <v/>
      </c>
      <c r="Q447" s="12" t="str">
        <f>IF(OR(D447="",E447=""),"",IF(IFERROR(INDEX(Stats!$D:$D,MATCH($C447,Stats!$A:$A,0)),FALSE),ROUND(D447+(E447-D447)*(1+G447)*((10-1)/(MaxLevel-1))^(2^F447),0),D447+(E447-D447)*(1+G447)*((10-1)/(MaxLevel-1))^(2^F447)))</f>
        <v/>
      </c>
    </row>
    <row r="448" spans="1:17" x14ac:dyDescent="0.25">
      <c r="A448" s="4" t="s">
        <v>185</v>
      </c>
      <c r="B448" s="19" t="s">
        <v>237</v>
      </c>
      <c r="C448" s="4" t="s">
        <v>42</v>
      </c>
      <c r="D448" s="5"/>
      <c r="E448" s="5"/>
      <c r="F448" s="5"/>
      <c r="G448" s="5"/>
      <c r="H448" s="12" t="str">
        <f>IF(OR(D448="",E448=""),"",IF(IFERROR(INDEX(Stats!$D:$D,MATCH($C448,Stats!$A:$A,0)),FALSE),ROUND(D448+(E448-D448)*(1+G448)*((1-1)/(MaxLevel-1))^(2^F448),0),D448+(E448-D448)*(1+G448)*((1-1)/(MaxLevel-1))^(2^F448)))</f>
        <v/>
      </c>
      <c r="I448" s="12" t="str">
        <f>IF(OR(D448="",E448=""),"",IF(IFERROR(INDEX(Stats!$D:$D,MATCH($C448,Stats!$A:$A,0)),FALSE),ROUND(D448+(E448-D448)*(1+G448)*((2-1)/(MaxLevel-1))^(2^F448),0),D448+(E448-D448)*(1+G448)*((2-1)/(MaxLevel-1))^(2^F448)))</f>
        <v/>
      </c>
      <c r="J448" s="12" t="str">
        <f>IF(OR(D448="",E448=""),"",IF(IFERROR(INDEX(Stats!$D:$D,MATCH($C448,Stats!$A:$A,0)),FALSE),ROUND(D448+(E448-D448)*(1+G448)*((3-1)/(MaxLevel-1))^(2^F448),0),D448+(E448-D448)*(1+G448)*((3-1)/(MaxLevel-1))^(2^F448)))</f>
        <v/>
      </c>
      <c r="K448" s="12" t="str">
        <f>IF(OR(D448="",E448=""),"",IF(IFERROR(INDEX(Stats!$D:$D,MATCH($C448,Stats!$A:$A,0)),FALSE),ROUND(D448+(E448-D448)*(1+G448)*((4-1)/(MaxLevel-1))^(2^F448),0),D448+(E448-D448)*(1+G448)*((4-1)/(MaxLevel-1))^(2^F448)))</f>
        <v/>
      </c>
      <c r="L448" s="12" t="str">
        <f>IF(OR(D448="",E448=""),"",IF(IFERROR(INDEX(Stats!$D:$D,MATCH($C448,Stats!$A:$A,0)),FALSE),ROUND(D448+(E448-D448)*(1+G448)*((5-1)/(MaxLevel-1))^(2^F448),0),D448+(E448-D448)*(1+G448)*((5-1)/(MaxLevel-1))^(2^F448)))</f>
        <v/>
      </c>
      <c r="M448" s="12" t="str">
        <f>IF(OR(D448="",E448=""),"",IF(IFERROR(INDEX(Stats!$D:$D,MATCH($C448,Stats!$A:$A,0)),FALSE),ROUND(D448+(E448-D448)*(1+G448)*((6-1)/(MaxLevel-1))^(2^F448),0),D448+(E448-D448)*(1+G448)*((6-1)/(MaxLevel-1))^(2^F448)))</f>
        <v/>
      </c>
      <c r="N448" s="12" t="str">
        <f>IF(OR(D448="",E448=""),"",IF(IFERROR(INDEX(Stats!$D:$D,MATCH($C448,Stats!$A:$A,0)),FALSE),ROUND(D448+(E448-D448)*(1+G448)*((7-1)/(MaxLevel-1))^(2^F448),0),D448+(E448-D448)*(1+G448)*((7-1)/(MaxLevel-1))^(2^F448)))</f>
        <v/>
      </c>
      <c r="O448" s="12" t="str">
        <f>IF(OR(D448="",E448=""),"",IF(IFERROR(INDEX(Stats!$D:$D,MATCH($C448,Stats!$A:$A,0)),FALSE),ROUND(D448+(E448-D448)*(1+G448)*((8-1)/(MaxLevel-1))^(2^F448),0),D448+(E448-D448)*(1+G448)*((8-1)/(MaxLevel-1))^(2^F448)))</f>
        <v/>
      </c>
      <c r="P448" s="12" t="str">
        <f>IF(OR(D448="",E448=""),"",IF(IFERROR(INDEX(Stats!$D:$D,MATCH($C448,Stats!$A:$A,0)),FALSE),ROUND(D448+(E448-D448)*(1+G448)*((9-1)/(MaxLevel-1))^(2^F448),0),D448+(E448-D448)*(1+G448)*((9-1)/(MaxLevel-1))^(2^F448)))</f>
        <v/>
      </c>
      <c r="Q448" s="12" t="str">
        <f>IF(OR(D448="",E448=""),"",IF(IFERROR(INDEX(Stats!$D:$D,MATCH($C448,Stats!$A:$A,0)),FALSE),ROUND(D448+(E448-D448)*(1+G448)*((10-1)/(MaxLevel-1))^(2^F448),0),D448+(E448-D448)*(1+G448)*((10-1)/(MaxLevel-1))^(2^F448)))</f>
        <v/>
      </c>
    </row>
    <row r="449" spans="1:17" x14ac:dyDescent="0.25">
      <c r="A449" s="4" t="s">
        <v>185</v>
      </c>
      <c r="B449" s="19" t="s">
        <v>237</v>
      </c>
      <c r="C449" s="4" t="s">
        <v>44</v>
      </c>
      <c r="D449" s="5"/>
      <c r="E449" s="5"/>
      <c r="F449" s="5"/>
      <c r="G449" s="5"/>
      <c r="H449" s="12" t="str">
        <f>IF(OR(D449="",E449=""),"",IF(IFERROR(INDEX(Stats!$D:$D,MATCH($C449,Stats!$A:$A,0)),FALSE),ROUND(D449+(E449-D449)*(1+G449)*((1-1)/(MaxLevel-1))^(2^F449),0),D449+(E449-D449)*(1+G449)*((1-1)/(MaxLevel-1))^(2^F449)))</f>
        <v/>
      </c>
      <c r="I449" s="12" t="str">
        <f>IF(OR(D449="",E449=""),"",IF(IFERROR(INDEX(Stats!$D:$D,MATCH($C449,Stats!$A:$A,0)),FALSE),ROUND(D449+(E449-D449)*(1+G449)*((2-1)/(MaxLevel-1))^(2^F449),0),D449+(E449-D449)*(1+G449)*((2-1)/(MaxLevel-1))^(2^F449)))</f>
        <v/>
      </c>
      <c r="J449" s="12" t="str">
        <f>IF(OR(D449="",E449=""),"",IF(IFERROR(INDEX(Stats!$D:$D,MATCH($C449,Stats!$A:$A,0)),FALSE),ROUND(D449+(E449-D449)*(1+G449)*((3-1)/(MaxLevel-1))^(2^F449),0),D449+(E449-D449)*(1+G449)*((3-1)/(MaxLevel-1))^(2^F449)))</f>
        <v/>
      </c>
      <c r="K449" s="12" t="str">
        <f>IF(OR(D449="",E449=""),"",IF(IFERROR(INDEX(Stats!$D:$D,MATCH($C449,Stats!$A:$A,0)),FALSE),ROUND(D449+(E449-D449)*(1+G449)*((4-1)/(MaxLevel-1))^(2^F449),0),D449+(E449-D449)*(1+G449)*((4-1)/(MaxLevel-1))^(2^F449)))</f>
        <v/>
      </c>
      <c r="L449" s="12" t="str">
        <f>IF(OR(D449="",E449=""),"",IF(IFERROR(INDEX(Stats!$D:$D,MATCH($C449,Stats!$A:$A,0)),FALSE),ROUND(D449+(E449-D449)*(1+G449)*((5-1)/(MaxLevel-1))^(2^F449),0),D449+(E449-D449)*(1+G449)*((5-1)/(MaxLevel-1))^(2^F449)))</f>
        <v/>
      </c>
      <c r="M449" s="12" t="str">
        <f>IF(OR(D449="",E449=""),"",IF(IFERROR(INDEX(Stats!$D:$D,MATCH($C449,Stats!$A:$A,0)),FALSE),ROUND(D449+(E449-D449)*(1+G449)*((6-1)/(MaxLevel-1))^(2^F449),0),D449+(E449-D449)*(1+G449)*((6-1)/(MaxLevel-1))^(2^F449)))</f>
        <v/>
      </c>
      <c r="N449" s="12" t="str">
        <f>IF(OR(D449="",E449=""),"",IF(IFERROR(INDEX(Stats!$D:$D,MATCH($C449,Stats!$A:$A,0)),FALSE),ROUND(D449+(E449-D449)*(1+G449)*((7-1)/(MaxLevel-1))^(2^F449),0),D449+(E449-D449)*(1+G449)*((7-1)/(MaxLevel-1))^(2^F449)))</f>
        <v/>
      </c>
      <c r="O449" s="12" t="str">
        <f>IF(OR(D449="",E449=""),"",IF(IFERROR(INDEX(Stats!$D:$D,MATCH($C449,Stats!$A:$A,0)),FALSE),ROUND(D449+(E449-D449)*(1+G449)*((8-1)/(MaxLevel-1))^(2^F449),0),D449+(E449-D449)*(1+G449)*((8-1)/(MaxLevel-1))^(2^F449)))</f>
        <v/>
      </c>
      <c r="P449" s="12" t="str">
        <f>IF(OR(D449="",E449=""),"",IF(IFERROR(INDEX(Stats!$D:$D,MATCH($C449,Stats!$A:$A,0)),FALSE),ROUND(D449+(E449-D449)*(1+G449)*((9-1)/(MaxLevel-1))^(2^F449),0),D449+(E449-D449)*(1+G449)*((9-1)/(MaxLevel-1))^(2^F449)))</f>
        <v/>
      </c>
      <c r="Q449" s="12" t="str">
        <f>IF(OR(D449="",E449=""),"",IF(IFERROR(INDEX(Stats!$D:$D,MATCH($C449,Stats!$A:$A,0)),FALSE),ROUND(D449+(E449-D449)*(1+G449)*((10-1)/(MaxLevel-1))^(2^F449),0),D449+(E449-D449)*(1+G449)*((10-1)/(MaxLevel-1))^(2^F449)))</f>
        <v/>
      </c>
    </row>
    <row r="450" spans="1:17" x14ac:dyDescent="0.25">
      <c r="A450" s="4" t="s">
        <v>185</v>
      </c>
      <c r="B450" s="19" t="s">
        <v>237</v>
      </c>
      <c r="C450" s="4" t="s">
        <v>46</v>
      </c>
      <c r="D450" s="5"/>
      <c r="E450" s="5"/>
      <c r="F450" s="5"/>
      <c r="G450" s="5"/>
      <c r="H450" s="12" t="str">
        <f>IF(OR(D450="",E450=""),"",IF(IFERROR(INDEX(Stats!$D:$D,MATCH($C450,Stats!$A:$A,0)),FALSE),ROUND(D450+(E450-D450)*(1+G450)*((1-1)/(MaxLevel-1))^(2^F450),0),D450+(E450-D450)*(1+G450)*((1-1)/(MaxLevel-1))^(2^F450)))</f>
        <v/>
      </c>
      <c r="I450" s="12" t="str">
        <f>IF(OR(D450="",E450=""),"",IF(IFERROR(INDEX(Stats!$D:$D,MATCH($C450,Stats!$A:$A,0)),FALSE),ROUND(D450+(E450-D450)*(1+G450)*((2-1)/(MaxLevel-1))^(2^F450),0),D450+(E450-D450)*(1+G450)*((2-1)/(MaxLevel-1))^(2^F450)))</f>
        <v/>
      </c>
      <c r="J450" s="12" t="str">
        <f>IF(OR(D450="",E450=""),"",IF(IFERROR(INDEX(Stats!$D:$D,MATCH($C450,Stats!$A:$A,0)),FALSE),ROUND(D450+(E450-D450)*(1+G450)*((3-1)/(MaxLevel-1))^(2^F450),0),D450+(E450-D450)*(1+G450)*((3-1)/(MaxLevel-1))^(2^F450)))</f>
        <v/>
      </c>
      <c r="K450" s="12" t="str">
        <f>IF(OR(D450="",E450=""),"",IF(IFERROR(INDEX(Stats!$D:$D,MATCH($C450,Stats!$A:$A,0)),FALSE),ROUND(D450+(E450-D450)*(1+G450)*((4-1)/(MaxLevel-1))^(2^F450),0),D450+(E450-D450)*(1+G450)*((4-1)/(MaxLevel-1))^(2^F450)))</f>
        <v/>
      </c>
      <c r="L450" s="12" t="str">
        <f>IF(OR(D450="",E450=""),"",IF(IFERROR(INDEX(Stats!$D:$D,MATCH($C450,Stats!$A:$A,0)),FALSE),ROUND(D450+(E450-D450)*(1+G450)*((5-1)/(MaxLevel-1))^(2^F450),0),D450+(E450-D450)*(1+G450)*((5-1)/(MaxLevel-1))^(2^F450)))</f>
        <v/>
      </c>
      <c r="M450" s="12" t="str">
        <f>IF(OR(D450="",E450=""),"",IF(IFERROR(INDEX(Stats!$D:$D,MATCH($C450,Stats!$A:$A,0)),FALSE),ROUND(D450+(E450-D450)*(1+G450)*((6-1)/(MaxLevel-1))^(2^F450),0),D450+(E450-D450)*(1+G450)*((6-1)/(MaxLevel-1))^(2^F450)))</f>
        <v/>
      </c>
      <c r="N450" s="12" t="str">
        <f>IF(OR(D450="",E450=""),"",IF(IFERROR(INDEX(Stats!$D:$D,MATCH($C450,Stats!$A:$A,0)),FALSE),ROUND(D450+(E450-D450)*(1+G450)*((7-1)/(MaxLevel-1))^(2^F450),0),D450+(E450-D450)*(1+G450)*((7-1)/(MaxLevel-1))^(2^F450)))</f>
        <v/>
      </c>
      <c r="O450" s="12" t="str">
        <f>IF(OR(D450="",E450=""),"",IF(IFERROR(INDEX(Stats!$D:$D,MATCH($C450,Stats!$A:$A,0)),FALSE),ROUND(D450+(E450-D450)*(1+G450)*((8-1)/(MaxLevel-1))^(2^F450),0),D450+(E450-D450)*(1+G450)*((8-1)/(MaxLevel-1))^(2^F450)))</f>
        <v/>
      </c>
      <c r="P450" s="12" t="str">
        <f>IF(OR(D450="",E450=""),"",IF(IFERROR(INDEX(Stats!$D:$D,MATCH($C450,Stats!$A:$A,0)),FALSE),ROUND(D450+(E450-D450)*(1+G450)*((9-1)/(MaxLevel-1))^(2^F450),0),D450+(E450-D450)*(1+G450)*((9-1)/(MaxLevel-1))^(2^F450)))</f>
        <v/>
      </c>
      <c r="Q450" s="12" t="str">
        <f>IF(OR(D450="",E450=""),"",IF(IFERROR(INDEX(Stats!$D:$D,MATCH($C450,Stats!$A:$A,0)),FALSE),ROUND(D450+(E450-D450)*(1+G450)*((10-1)/(MaxLevel-1))^(2^F450),0),D450+(E450-D450)*(1+G450)*((10-1)/(MaxLevel-1))^(2^F450)))</f>
        <v/>
      </c>
    </row>
    <row r="451" spans="1:17" x14ac:dyDescent="0.25">
      <c r="A451" s="4" t="s">
        <v>185</v>
      </c>
      <c r="B451" s="19" t="s">
        <v>237</v>
      </c>
      <c r="C451" s="4" t="s">
        <v>48</v>
      </c>
      <c r="D451" s="5"/>
      <c r="E451" s="5"/>
      <c r="F451" s="5"/>
      <c r="G451" s="5"/>
      <c r="H451" s="12" t="str">
        <f>IF(OR(D451="",E451=""),"",IF(IFERROR(INDEX(Stats!$D:$D,MATCH($C451,Stats!$A:$A,0)),FALSE),ROUND(D451+(E451-D451)*(1+G451)*((1-1)/(MaxLevel-1))^(2^F451),0),D451+(E451-D451)*(1+G451)*((1-1)/(MaxLevel-1))^(2^F451)))</f>
        <v/>
      </c>
      <c r="I451" s="12" t="str">
        <f>IF(OR(D451="",E451=""),"",IF(IFERROR(INDEX(Stats!$D:$D,MATCH($C451,Stats!$A:$A,0)),FALSE),ROUND(D451+(E451-D451)*(1+G451)*((2-1)/(MaxLevel-1))^(2^F451),0),D451+(E451-D451)*(1+G451)*((2-1)/(MaxLevel-1))^(2^F451)))</f>
        <v/>
      </c>
      <c r="J451" s="12" t="str">
        <f>IF(OR(D451="",E451=""),"",IF(IFERROR(INDEX(Stats!$D:$D,MATCH($C451,Stats!$A:$A,0)),FALSE),ROUND(D451+(E451-D451)*(1+G451)*((3-1)/(MaxLevel-1))^(2^F451),0),D451+(E451-D451)*(1+G451)*((3-1)/(MaxLevel-1))^(2^F451)))</f>
        <v/>
      </c>
      <c r="K451" s="12" t="str">
        <f>IF(OR(D451="",E451=""),"",IF(IFERROR(INDEX(Stats!$D:$D,MATCH($C451,Stats!$A:$A,0)),FALSE),ROUND(D451+(E451-D451)*(1+G451)*((4-1)/(MaxLevel-1))^(2^F451),0),D451+(E451-D451)*(1+G451)*((4-1)/(MaxLevel-1))^(2^F451)))</f>
        <v/>
      </c>
      <c r="L451" s="12" t="str">
        <f>IF(OR(D451="",E451=""),"",IF(IFERROR(INDEX(Stats!$D:$D,MATCH($C451,Stats!$A:$A,0)),FALSE),ROUND(D451+(E451-D451)*(1+G451)*((5-1)/(MaxLevel-1))^(2^F451),0),D451+(E451-D451)*(1+G451)*((5-1)/(MaxLevel-1))^(2^F451)))</f>
        <v/>
      </c>
      <c r="M451" s="12" t="str">
        <f>IF(OR(D451="",E451=""),"",IF(IFERROR(INDEX(Stats!$D:$D,MATCH($C451,Stats!$A:$A,0)),FALSE),ROUND(D451+(E451-D451)*(1+G451)*((6-1)/(MaxLevel-1))^(2^F451),0),D451+(E451-D451)*(1+G451)*((6-1)/(MaxLevel-1))^(2^F451)))</f>
        <v/>
      </c>
      <c r="N451" s="12" t="str">
        <f>IF(OR(D451="",E451=""),"",IF(IFERROR(INDEX(Stats!$D:$D,MATCH($C451,Stats!$A:$A,0)),FALSE),ROUND(D451+(E451-D451)*(1+G451)*((7-1)/(MaxLevel-1))^(2^F451),0),D451+(E451-D451)*(1+G451)*((7-1)/(MaxLevel-1))^(2^F451)))</f>
        <v/>
      </c>
      <c r="O451" s="12" t="str">
        <f>IF(OR(D451="",E451=""),"",IF(IFERROR(INDEX(Stats!$D:$D,MATCH($C451,Stats!$A:$A,0)),FALSE),ROUND(D451+(E451-D451)*(1+G451)*((8-1)/(MaxLevel-1))^(2^F451),0),D451+(E451-D451)*(1+G451)*((8-1)/(MaxLevel-1))^(2^F451)))</f>
        <v/>
      </c>
      <c r="P451" s="12" t="str">
        <f>IF(OR(D451="",E451=""),"",IF(IFERROR(INDEX(Stats!$D:$D,MATCH($C451,Stats!$A:$A,0)),FALSE),ROUND(D451+(E451-D451)*(1+G451)*((9-1)/(MaxLevel-1))^(2^F451),0),D451+(E451-D451)*(1+G451)*((9-1)/(MaxLevel-1))^(2^F451)))</f>
        <v/>
      </c>
      <c r="Q451" s="12" t="str">
        <f>IF(OR(D451="",E451=""),"",IF(IFERROR(INDEX(Stats!$D:$D,MATCH($C451,Stats!$A:$A,0)),FALSE),ROUND(D451+(E451-D451)*(1+G451)*((10-1)/(MaxLevel-1))^(2^F451),0),D451+(E451-D451)*(1+G451)*((10-1)/(MaxLevel-1))^(2^F451)))</f>
        <v/>
      </c>
    </row>
    <row r="452" spans="1:17" x14ac:dyDescent="0.25">
      <c r="A452" s="4" t="s">
        <v>185</v>
      </c>
      <c r="B452" s="19" t="s">
        <v>237</v>
      </c>
      <c r="C452" s="4" t="s">
        <v>50</v>
      </c>
      <c r="D452" s="5"/>
      <c r="E452" s="5"/>
      <c r="F452" s="5"/>
      <c r="G452" s="5"/>
      <c r="H452" s="12" t="str">
        <f>IF(OR(D452="",E452=""),"",IF(IFERROR(INDEX(Stats!$D:$D,MATCH($C452,Stats!$A:$A,0)),FALSE),ROUND(D452+(E452-D452)*(1+G452)*((1-1)/(MaxLevel-1))^(2^F452),0),D452+(E452-D452)*(1+G452)*((1-1)/(MaxLevel-1))^(2^F452)))</f>
        <v/>
      </c>
      <c r="I452" s="12" t="str">
        <f>IF(OR(D452="",E452=""),"",IF(IFERROR(INDEX(Stats!$D:$D,MATCH($C452,Stats!$A:$A,0)),FALSE),ROUND(D452+(E452-D452)*(1+G452)*((2-1)/(MaxLevel-1))^(2^F452),0),D452+(E452-D452)*(1+G452)*((2-1)/(MaxLevel-1))^(2^F452)))</f>
        <v/>
      </c>
      <c r="J452" s="12" t="str">
        <f>IF(OR(D452="",E452=""),"",IF(IFERROR(INDEX(Stats!$D:$D,MATCH($C452,Stats!$A:$A,0)),FALSE),ROUND(D452+(E452-D452)*(1+G452)*((3-1)/(MaxLevel-1))^(2^F452),0),D452+(E452-D452)*(1+G452)*((3-1)/(MaxLevel-1))^(2^F452)))</f>
        <v/>
      </c>
      <c r="K452" s="12" t="str">
        <f>IF(OR(D452="",E452=""),"",IF(IFERROR(INDEX(Stats!$D:$D,MATCH($C452,Stats!$A:$A,0)),FALSE),ROUND(D452+(E452-D452)*(1+G452)*((4-1)/(MaxLevel-1))^(2^F452),0),D452+(E452-D452)*(1+G452)*((4-1)/(MaxLevel-1))^(2^F452)))</f>
        <v/>
      </c>
      <c r="L452" s="12" t="str">
        <f>IF(OR(D452="",E452=""),"",IF(IFERROR(INDEX(Stats!$D:$D,MATCH($C452,Stats!$A:$A,0)),FALSE),ROUND(D452+(E452-D452)*(1+G452)*((5-1)/(MaxLevel-1))^(2^F452),0),D452+(E452-D452)*(1+G452)*((5-1)/(MaxLevel-1))^(2^F452)))</f>
        <v/>
      </c>
      <c r="M452" s="12" t="str">
        <f>IF(OR(D452="",E452=""),"",IF(IFERROR(INDEX(Stats!$D:$D,MATCH($C452,Stats!$A:$A,0)),FALSE),ROUND(D452+(E452-D452)*(1+G452)*((6-1)/(MaxLevel-1))^(2^F452),0),D452+(E452-D452)*(1+G452)*((6-1)/(MaxLevel-1))^(2^F452)))</f>
        <v/>
      </c>
      <c r="N452" s="12" t="str">
        <f>IF(OR(D452="",E452=""),"",IF(IFERROR(INDEX(Stats!$D:$D,MATCH($C452,Stats!$A:$A,0)),FALSE),ROUND(D452+(E452-D452)*(1+G452)*((7-1)/(MaxLevel-1))^(2^F452),0),D452+(E452-D452)*(1+G452)*((7-1)/(MaxLevel-1))^(2^F452)))</f>
        <v/>
      </c>
      <c r="O452" s="12" t="str">
        <f>IF(OR(D452="",E452=""),"",IF(IFERROR(INDEX(Stats!$D:$D,MATCH($C452,Stats!$A:$A,0)),FALSE),ROUND(D452+(E452-D452)*(1+G452)*((8-1)/(MaxLevel-1))^(2^F452),0),D452+(E452-D452)*(1+G452)*((8-1)/(MaxLevel-1))^(2^F452)))</f>
        <v/>
      </c>
      <c r="P452" s="12" t="str">
        <f>IF(OR(D452="",E452=""),"",IF(IFERROR(INDEX(Stats!$D:$D,MATCH($C452,Stats!$A:$A,0)),FALSE),ROUND(D452+(E452-D452)*(1+G452)*((9-1)/(MaxLevel-1))^(2^F452),0),D452+(E452-D452)*(1+G452)*((9-1)/(MaxLevel-1))^(2^F452)))</f>
        <v/>
      </c>
      <c r="Q452" s="12" t="str">
        <f>IF(OR(D452="",E452=""),"",IF(IFERROR(INDEX(Stats!$D:$D,MATCH($C452,Stats!$A:$A,0)),FALSE),ROUND(D452+(E452-D452)*(1+G452)*((10-1)/(MaxLevel-1))^(2^F452),0),D452+(E452-D452)*(1+G452)*((10-1)/(MaxLevel-1))^(2^F452)))</f>
        <v/>
      </c>
    </row>
    <row r="453" spans="1:17" x14ac:dyDescent="0.25">
      <c r="A453" s="4" t="s">
        <v>185</v>
      </c>
      <c r="B453" s="19" t="s">
        <v>237</v>
      </c>
      <c r="C453" s="4" t="s">
        <v>52</v>
      </c>
      <c r="D453" s="5"/>
      <c r="E453" s="5"/>
      <c r="F453" s="5"/>
      <c r="G453" s="5"/>
      <c r="H453" s="12" t="str">
        <f>IF(OR(D453="",E453=""),"",IF(IFERROR(INDEX(Stats!$D:$D,MATCH($C453,Stats!$A:$A,0)),FALSE),ROUND(D453+(E453-D453)*(1+G453)*((1-1)/(MaxLevel-1))^(2^F453),0),D453+(E453-D453)*(1+G453)*((1-1)/(MaxLevel-1))^(2^F453)))</f>
        <v/>
      </c>
      <c r="I453" s="12" t="str">
        <f>IF(OR(D453="",E453=""),"",IF(IFERROR(INDEX(Stats!$D:$D,MATCH($C453,Stats!$A:$A,0)),FALSE),ROUND(D453+(E453-D453)*(1+G453)*((2-1)/(MaxLevel-1))^(2^F453),0),D453+(E453-D453)*(1+G453)*((2-1)/(MaxLevel-1))^(2^F453)))</f>
        <v/>
      </c>
      <c r="J453" s="12" t="str">
        <f>IF(OR(D453="",E453=""),"",IF(IFERROR(INDEX(Stats!$D:$D,MATCH($C453,Stats!$A:$A,0)),FALSE),ROUND(D453+(E453-D453)*(1+G453)*((3-1)/(MaxLevel-1))^(2^F453),0),D453+(E453-D453)*(1+G453)*((3-1)/(MaxLevel-1))^(2^F453)))</f>
        <v/>
      </c>
      <c r="K453" s="12" t="str">
        <f>IF(OR(D453="",E453=""),"",IF(IFERROR(INDEX(Stats!$D:$D,MATCH($C453,Stats!$A:$A,0)),FALSE),ROUND(D453+(E453-D453)*(1+G453)*((4-1)/(MaxLevel-1))^(2^F453),0),D453+(E453-D453)*(1+G453)*((4-1)/(MaxLevel-1))^(2^F453)))</f>
        <v/>
      </c>
      <c r="L453" s="12" t="str">
        <f>IF(OR(D453="",E453=""),"",IF(IFERROR(INDEX(Stats!$D:$D,MATCH($C453,Stats!$A:$A,0)),FALSE),ROUND(D453+(E453-D453)*(1+G453)*((5-1)/(MaxLevel-1))^(2^F453),0),D453+(E453-D453)*(1+G453)*((5-1)/(MaxLevel-1))^(2^F453)))</f>
        <v/>
      </c>
      <c r="M453" s="12" t="str">
        <f>IF(OR(D453="",E453=""),"",IF(IFERROR(INDEX(Stats!$D:$D,MATCH($C453,Stats!$A:$A,0)),FALSE),ROUND(D453+(E453-D453)*(1+G453)*((6-1)/(MaxLevel-1))^(2^F453),0),D453+(E453-D453)*(1+G453)*((6-1)/(MaxLevel-1))^(2^F453)))</f>
        <v/>
      </c>
      <c r="N453" s="12" t="str">
        <f>IF(OR(D453="",E453=""),"",IF(IFERROR(INDEX(Stats!$D:$D,MATCH($C453,Stats!$A:$A,0)),FALSE),ROUND(D453+(E453-D453)*(1+G453)*((7-1)/(MaxLevel-1))^(2^F453),0),D453+(E453-D453)*(1+G453)*((7-1)/(MaxLevel-1))^(2^F453)))</f>
        <v/>
      </c>
      <c r="O453" s="12" t="str">
        <f>IF(OR(D453="",E453=""),"",IF(IFERROR(INDEX(Stats!$D:$D,MATCH($C453,Stats!$A:$A,0)),FALSE),ROUND(D453+(E453-D453)*(1+G453)*((8-1)/(MaxLevel-1))^(2^F453),0),D453+(E453-D453)*(1+G453)*((8-1)/(MaxLevel-1))^(2^F453)))</f>
        <v/>
      </c>
      <c r="P453" s="12" t="str">
        <f>IF(OR(D453="",E453=""),"",IF(IFERROR(INDEX(Stats!$D:$D,MATCH($C453,Stats!$A:$A,0)),FALSE),ROUND(D453+(E453-D453)*(1+G453)*((9-1)/(MaxLevel-1))^(2^F453),0),D453+(E453-D453)*(1+G453)*((9-1)/(MaxLevel-1))^(2^F453)))</f>
        <v/>
      </c>
      <c r="Q453" s="12" t="str">
        <f>IF(OR(D453="",E453=""),"",IF(IFERROR(INDEX(Stats!$D:$D,MATCH($C453,Stats!$A:$A,0)),FALSE),ROUND(D453+(E453-D453)*(1+G453)*((10-1)/(MaxLevel-1))^(2^F453),0),D453+(E453-D453)*(1+G453)*((10-1)/(MaxLevel-1))^(2^F453)))</f>
        <v/>
      </c>
    </row>
    <row r="454" spans="1:17" x14ac:dyDescent="0.25">
      <c r="A454" s="4" t="s">
        <v>185</v>
      </c>
      <c r="B454" s="19" t="s">
        <v>237</v>
      </c>
      <c r="C454" s="4" t="s">
        <v>54</v>
      </c>
      <c r="D454" s="5"/>
      <c r="E454" s="5"/>
      <c r="F454" s="5"/>
      <c r="G454" s="5"/>
      <c r="H454" s="12" t="str">
        <f>IF(OR(D454="",E454=""),"",IF(IFERROR(INDEX(Stats!$D:$D,MATCH($C454,Stats!$A:$A,0)),FALSE),ROUND(D454+(E454-D454)*(1+G454)*((1-1)/(MaxLevel-1))^(2^F454),0),D454+(E454-D454)*(1+G454)*((1-1)/(MaxLevel-1))^(2^F454)))</f>
        <v/>
      </c>
      <c r="I454" s="12" t="str">
        <f>IF(OR(D454="",E454=""),"",IF(IFERROR(INDEX(Stats!$D:$D,MATCH($C454,Stats!$A:$A,0)),FALSE),ROUND(D454+(E454-D454)*(1+G454)*((2-1)/(MaxLevel-1))^(2^F454),0),D454+(E454-D454)*(1+G454)*((2-1)/(MaxLevel-1))^(2^F454)))</f>
        <v/>
      </c>
      <c r="J454" s="12" t="str">
        <f>IF(OR(D454="",E454=""),"",IF(IFERROR(INDEX(Stats!$D:$D,MATCH($C454,Stats!$A:$A,0)),FALSE),ROUND(D454+(E454-D454)*(1+G454)*((3-1)/(MaxLevel-1))^(2^F454),0),D454+(E454-D454)*(1+G454)*((3-1)/(MaxLevel-1))^(2^F454)))</f>
        <v/>
      </c>
      <c r="K454" s="12" t="str">
        <f>IF(OR(D454="",E454=""),"",IF(IFERROR(INDEX(Stats!$D:$D,MATCH($C454,Stats!$A:$A,0)),FALSE),ROUND(D454+(E454-D454)*(1+G454)*((4-1)/(MaxLevel-1))^(2^F454),0),D454+(E454-D454)*(1+G454)*((4-1)/(MaxLevel-1))^(2^F454)))</f>
        <v/>
      </c>
      <c r="L454" s="12" t="str">
        <f>IF(OR(D454="",E454=""),"",IF(IFERROR(INDEX(Stats!$D:$D,MATCH($C454,Stats!$A:$A,0)),FALSE),ROUND(D454+(E454-D454)*(1+G454)*((5-1)/(MaxLevel-1))^(2^F454),0),D454+(E454-D454)*(1+G454)*((5-1)/(MaxLevel-1))^(2^F454)))</f>
        <v/>
      </c>
      <c r="M454" s="12" t="str">
        <f>IF(OR(D454="",E454=""),"",IF(IFERROR(INDEX(Stats!$D:$D,MATCH($C454,Stats!$A:$A,0)),FALSE),ROUND(D454+(E454-D454)*(1+G454)*((6-1)/(MaxLevel-1))^(2^F454),0),D454+(E454-D454)*(1+G454)*((6-1)/(MaxLevel-1))^(2^F454)))</f>
        <v/>
      </c>
      <c r="N454" s="12" t="str">
        <f>IF(OR(D454="",E454=""),"",IF(IFERROR(INDEX(Stats!$D:$D,MATCH($C454,Stats!$A:$A,0)),FALSE),ROUND(D454+(E454-D454)*(1+G454)*((7-1)/(MaxLevel-1))^(2^F454),0),D454+(E454-D454)*(1+G454)*((7-1)/(MaxLevel-1))^(2^F454)))</f>
        <v/>
      </c>
      <c r="O454" s="12" t="str">
        <f>IF(OR(D454="",E454=""),"",IF(IFERROR(INDEX(Stats!$D:$D,MATCH($C454,Stats!$A:$A,0)),FALSE),ROUND(D454+(E454-D454)*(1+G454)*((8-1)/(MaxLevel-1))^(2^F454),0),D454+(E454-D454)*(1+G454)*((8-1)/(MaxLevel-1))^(2^F454)))</f>
        <v/>
      </c>
      <c r="P454" s="12" t="str">
        <f>IF(OR(D454="",E454=""),"",IF(IFERROR(INDEX(Stats!$D:$D,MATCH($C454,Stats!$A:$A,0)),FALSE),ROUND(D454+(E454-D454)*(1+G454)*((9-1)/(MaxLevel-1))^(2^F454),0),D454+(E454-D454)*(1+G454)*((9-1)/(MaxLevel-1))^(2^F454)))</f>
        <v/>
      </c>
      <c r="Q454" s="12" t="str">
        <f>IF(OR(D454="",E454=""),"",IF(IFERROR(INDEX(Stats!$D:$D,MATCH($C454,Stats!$A:$A,0)),FALSE),ROUND(D454+(E454-D454)*(1+G454)*((10-1)/(MaxLevel-1))^(2^F454),0),D454+(E454-D454)*(1+G454)*((10-1)/(MaxLevel-1))^(2^F454)))</f>
        <v/>
      </c>
    </row>
    <row r="455" spans="1:17" x14ac:dyDescent="0.25">
      <c r="A455" s="4" t="s">
        <v>185</v>
      </c>
      <c r="B455" s="19" t="s">
        <v>237</v>
      </c>
      <c r="C455" s="4" t="s">
        <v>56</v>
      </c>
      <c r="D455" s="5"/>
      <c r="E455" s="5"/>
      <c r="F455" s="5"/>
      <c r="G455" s="5"/>
      <c r="H455" s="12" t="str">
        <f>IF(OR(D455="",E455=""),"",IF(IFERROR(INDEX(Stats!$D:$D,MATCH($C455,Stats!$A:$A,0)),FALSE),ROUND(D455+(E455-D455)*(1+G455)*((1-1)/(MaxLevel-1))^(2^F455),0),D455+(E455-D455)*(1+G455)*((1-1)/(MaxLevel-1))^(2^F455)))</f>
        <v/>
      </c>
      <c r="I455" s="12" t="str">
        <f>IF(OR(D455="",E455=""),"",IF(IFERROR(INDEX(Stats!$D:$D,MATCH($C455,Stats!$A:$A,0)),FALSE),ROUND(D455+(E455-D455)*(1+G455)*((2-1)/(MaxLevel-1))^(2^F455),0),D455+(E455-D455)*(1+G455)*((2-1)/(MaxLevel-1))^(2^F455)))</f>
        <v/>
      </c>
      <c r="J455" s="12" t="str">
        <f>IF(OR(D455="",E455=""),"",IF(IFERROR(INDEX(Stats!$D:$D,MATCH($C455,Stats!$A:$A,0)),FALSE),ROUND(D455+(E455-D455)*(1+G455)*((3-1)/(MaxLevel-1))^(2^F455),0),D455+(E455-D455)*(1+G455)*((3-1)/(MaxLevel-1))^(2^F455)))</f>
        <v/>
      </c>
      <c r="K455" s="12" t="str">
        <f>IF(OR(D455="",E455=""),"",IF(IFERROR(INDEX(Stats!$D:$D,MATCH($C455,Stats!$A:$A,0)),FALSE),ROUND(D455+(E455-D455)*(1+G455)*((4-1)/(MaxLevel-1))^(2^F455),0),D455+(E455-D455)*(1+G455)*((4-1)/(MaxLevel-1))^(2^F455)))</f>
        <v/>
      </c>
      <c r="L455" s="12" t="str">
        <f>IF(OR(D455="",E455=""),"",IF(IFERROR(INDEX(Stats!$D:$D,MATCH($C455,Stats!$A:$A,0)),FALSE),ROUND(D455+(E455-D455)*(1+G455)*((5-1)/(MaxLevel-1))^(2^F455),0),D455+(E455-D455)*(1+G455)*((5-1)/(MaxLevel-1))^(2^F455)))</f>
        <v/>
      </c>
      <c r="M455" s="12" t="str">
        <f>IF(OR(D455="",E455=""),"",IF(IFERROR(INDEX(Stats!$D:$D,MATCH($C455,Stats!$A:$A,0)),FALSE),ROUND(D455+(E455-D455)*(1+G455)*((6-1)/(MaxLevel-1))^(2^F455),0),D455+(E455-D455)*(1+G455)*((6-1)/(MaxLevel-1))^(2^F455)))</f>
        <v/>
      </c>
      <c r="N455" s="12" t="str">
        <f>IF(OR(D455="",E455=""),"",IF(IFERROR(INDEX(Stats!$D:$D,MATCH($C455,Stats!$A:$A,0)),FALSE),ROUND(D455+(E455-D455)*(1+G455)*((7-1)/(MaxLevel-1))^(2^F455),0),D455+(E455-D455)*(1+G455)*((7-1)/(MaxLevel-1))^(2^F455)))</f>
        <v/>
      </c>
      <c r="O455" s="12" t="str">
        <f>IF(OR(D455="",E455=""),"",IF(IFERROR(INDEX(Stats!$D:$D,MATCH($C455,Stats!$A:$A,0)),FALSE),ROUND(D455+(E455-D455)*(1+G455)*((8-1)/(MaxLevel-1))^(2^F455),0),D455+(E455-D455)*(1+G455)*((8-1)/(MaxLevel-1))^(2^F455)))</f>
        <v/>
      </c>
      <c r="P455" s="12" t="str">
        <f>IF(OR(D455="",E455=""),"",IF(IFERROR(INDEX(Stats!$D:$D,MATCH($C455,Stats!$A:$A,0)),FALSE),ROUND(D455+(E455-D455)*(1+G455)*((9-1)/(MaxLevel-1))^(2^F455),0),D455+(E455-D455)*(1+G455)*((9-1)/(MaxLevel-1))^(2^F455)))</f>
        <v/>
      </c>
      <c r="Q455" s="12" t="str">
        <f>IF(OR(D455="",E455=""),"",IF(IFERROR(INDEX(Stats!$D:$D,MATCH($C455,Stats!$A:$A,0)),FALSE),ROUND(D455+(E455-D455)*(1+G455)*((10-1)/(MaxLevel-1))^(2^F455),0),D455+(E455-D455)*(1+G455)*((10-1)/(MaxLevel-1))^(2^F455)))</f>
        <v/>
      </c>
    </row>
    <row r="456" spans="1:17" x14ac:dyDescent="0.25">
      <c r="A456" s="4" t="s">
        <v>185</v>
      </c>
      <c r="B456" s="19" t="s">
        <v>237</v>
      </c>
      <c r="C456" s="4" t="s">
        <v>58</v>
      </c>
      <c r="D456" s="5"/>
      <c r="E456" s="5"/>
      <c r="F456" s="5"/>
      <c r="G456" s="5"/>
      <c r="H456" s="12" t="str">
        <f>IF(OR(D456="",E456=""),"",IF(IFERROR(INDEX(Stats!$D:$D,MATCH($C456,Stats!$A:$A,0)),FALSE),ROUND(D456+(E456-D456)*(1+G456)*((1-1)/(MaxLevel-1))^(2^F456),0),D456+(E456-D456)*(1+G456)*((1-1)/(MaxLevel-1))^(2^F456)))</f>
        <v/>
      </c>
      <c r="I456" s="12" t="str">
        <f>IF(OR(D456="",E456=""),"",IF(IFERROR(INDEX(Stats!$D:$D,MATCH($C456,Stats!$A:$A,0)),FALSE),ROUND(D456+(E456-D456)*(1+G456)*((2-1)/(MaxLevel-1))^(2^F456),0),D456+(E456-D456)*(1+G456)*((2-1)/(MaxLevel-1))^(2^F456)))</f>
        <v/>
      </c>
      <c r="J456" s="12" t="str">
        <f>IF(OR(D456="",E456=""),"",IF(IFERROR(INDEX(Stats!$D:$D,MATCH($C456,Stats!$A:$A,0)),FALSE),ROUND(D456+(E456-D456)*(1+G456)*((3-1)/(MaxLevel-1))^(2^F456),0),D456+(E456-D456)*(1+G456)*((3-1)/(MaxLevel-1))^(2^F456)))</f>
        <v/>
      </c>
      <c r="K456" s="12" t="str">
        <f>IF(OR(D456="",E456=""),"",IF(IFERROR(INDEX(Stats!$D:$D,MATCH($C456,Stats!$A:$A,0)),FALSE),ROUND(D456+(E456-D456)*(1+G456)*((4-1)/(MaxLevel-1))^(2^F456),0),D456+(E456-D456)*(1+G456)*((4-1)/(MaxLevel-1))^(2^F456)))</f>
        <v/>
      </c>
      <c r="L456" s="12" t="str">
        <f>IF(OR(D456="",E456=""),"",IF(IFERROR(INDEX(Stats!$D:$D,MATCH($C456,Stats!$A:$A,0)),FALSE),ROUND(D456+(E456-D456)*(1+G456)*((5-1)/(MaxLevel-1))^(2^F456),0),D456+(E456-D456)*(1+G456)*((5-1)/(MaxLevel-1))^(2^F456)))</f>
        <v/>
      </c>
      <c r="M456" s="12" t="str">
        <f>IF(OR(D456="",E456=""),"",IF(IFERROR(INDEX(Stats!$D:$D,MATCH($C456,Stats!$A:$A,0)),FALSE),ROUND(D456+(E456-D456)*(1+G456)*((6-1)/(MaxLevel-1))^(2^F456),0),D456+(E456-D456)*(1+G456)*((6-1)/(MaxLevel-1))^(2^F456)))</f>
        <v/>
      </c>
      <c r="N456" s="12" t="str">
        <f>IF(OR(D456="",E456=""),"",IF(IFERROR(INDEX(Stats!$D:$D,MATCH($C456,Stats!$A:$A,0)),FALSE),ROUND(D456+(E456-D456)*(1+G456)*((7-1)/(MaxLevel-1))^(2^F456),0),D456+(E456-D456)*(1+G456)*((7-1)/(MaxLevel-1))^(2^F456)))</f>
        <v/>
      </c>
      <c r="O456" s="12" t="str">
        <f>IF(OR(D456="",E456=""),"",IF(IFERROR(INDEX(Stats!$D:$D,MATCH($C456,Stats!$A:$A,0)),FALSE),ROUND(D456+(E456-D456)*(1+G456)*((8-1)/(MaxLevel-1))^(2^F456),0),D456+(E456-D456)*(1+G456)*((8-1)/(MaxLevel-1))^(2^F456)))</f>
        <v/>
      </c>
      <c r="P456" s="12" t="str">
        <f>IF(OR(D456="",E456=""),"",IF(IFERROR(INDEX(Stats!$D:$D,MATCH($C456,Stats!$A:$A,0)),FALSE),ROUND(D456+(E456-D456)*(1+G456)*((9-1)/(MaxLevel-1))^(2^F456),0),D456+(E456-D456)*(1+G456)*((9-1)/(MaxLevel-1))^(2^F456)))</f>
        <v/>
      </c>
      <c r="Q456" s="12" t="str">
        <f>IF(OR(D456="",E456=""),"",IF(IFERROR(INDEX(Stats!$D:$D,MATCH($C456,Stats!$A:$A,0)),FALSE),ROUND(D456+(E456-D456)*(1+G456)*((10-1)/(MaxLevel-1))^(2^F456),0),D456+(E456-D456)*(1+G456)*((10-1)/(MaxLevel-1))^(2^F456)))</f>
        <v/>
      </c>
    </row>
    <row r="457" spans="1:17" x14ac:dyDescent="0.25">
      <c r="A457" s="4" t="s">
        <v>185</v>
      </c>
      <c r="B457" s="19" t="s">
        <v>237</v>
      </c>
      <c r="C457" s="4" t="s">
        <v>60</v>
      </c>
      <c r="D457" s="5">
        <v>0.3</v>
      </c>
      <c r="E457" s="5">
        <v>0.1</v>
      </c>
      <c r="F457" s="5">
        <v>0</v>
      </c>
      <c r="G457" s="5">
        <v>0</v>
      </c>
      <c r="H457" s="12">
        <f>IF(OR(D457="",E457=""),"",IF(IFERROR(INDEX(Stats!$D:$D,MATCH($C457,Stats!$A:$A,0)),FALSE),ROUND(D457+(E457-D457)*(1+G457)*((1-1)/(MaxLevel-1))^(2^F457),0),D457+(E457-D457)*(1+G457)*((1-1)/(MaxLevel-1))^(2^F457)))</f>
        <v>0.3</v>
      </c>
      <c r="I457" s="12">
        <f>IF(OR(D457="",E457=""),"",IF(IFERROR(INDEX(Stats!$D:$D,MATCH($C457,Stats!$A:$A,0)),FALSE),ROUND(D457+(E457-D457)*(1+G457)*((2-1)/(MaxLevel-1))^(2^F457),0),D457+(E457-D457)*(1+G457)*((2-1)/(MaxLevel-1))^(2^F457)))</f>
        <v>0.27777777777777779</v>
      </c>
      <c r="J457" s="12">
        <f>IF(OR(D457="",E457=""),"",IF(IFERROR(INDEX(Stats!$D:$D,MATCH($C457,Stats!$A:$A,0)),FALSE),ROUND(D457+(E457-D457)*(1+G457)*((3-1)/(MaxLevel-1))^(2^F457),0),D457+(E457-D457)*(1+G457)*((3-1)/(MaxLevel-1))^(2^F457)))</f>
        <v>0.25555555555555554</v>
      </c>
      <c r="K457" s="12">
        <f>IF(OR(D457="",E457=""),"",IF(IFERROR(INDEX(Stats!$D:$D,MATCH($C457,Stats!$A:$A,0)),FALSE),ROUND(D457+(E457-D457)*(1+G457)*((4-1)/(MaxLevel-1))^(2^F457),0),D457+(E457-D457)*(1+G457)*((4-1)/(MaxLevel-1))^(2^F457)))</f>
        <v>0.23333333333333334</v>
      </c>
      <c r="L457" s="12">
        <f>IF(OR(D457="",E457=""),"",IF(IFERROR(INDEX(Stats!$D:$D,MATCH($C457,Stats!$A:$A,0)),FALSE),ROUND(D457+(E457-D457)*(1+G457)*((5-1)/(MaxLevel-1))^(2^F457),0),D457+(E457-D457)*(1+G457)*((5-1)/(MaxLevel-1))^(2^F457)))</f>
        <v>0.21111111111111111</v>
      </c>
      <c r="M457" s="12">
        <f>IF(OR(D457="",E457=""),"",IF(IFERROR(INDEX(Stats!$D:$D,MATCH($C457,Stats!$A:$A,0)),FALSE),ROUND(D457+(E457-D457)*(1+G457)*((6-1)/(MaxLevel-1))^(2^F457),0),D457+(E457-D457)*(1+G457)*((6-1)/(MaxLevel-1))^(2^F457)))</f>
        <v>0.18888888888888888</v>
      </c>
      <c r="N457" s="12">
        <f>IF(OR(D457="",E457=""),"",IF(IFERROR(INDEX(Stats!$D:$D,MATCH($C457,Stats!$A:$A,0)),FALSE),ROUND(D457+(E457-D457)*(1+G457)*((7-1)/(MaxLevel-1))^(2^F457),0),D457+(E457-D457)*(1+G457)*((7-1)/(MaxLevel-1))^(2^F457)))</f>
        <v>0.16666666666666669</v>
      </c>
      <c r="O457" s="12">
        <f>IF(OR(D457="",E457=""),"",IF(IFERROR(INDEX(Stats!$D:$D,MATCH($C457,Stats!$A:$A,0)),FALSE),ROUND(D457+(E457-D457)*(1+G457)*((8-1)/(MaxLevel-1))^(2^F457),0),D457+(E457-D457)*(1+G457)*((8-1)/(MaxLevel-1))^(2^F457)))</f>
        <v>0.14444444444444443</v>
      </c>
      <c r="P457" s="12">
        <f>IF(OR(D457="",E457=""),"",IF(IFERROR(INDEX(Stats!$D:$D,MATCH($C457,Stats!$A:$A,0)),FALSE),ROUND(D457+(E457-D457)*(1+G457)*((9-1)/(MaxLevel-1))^(2^F457),0),D457+(E457-D457)*(1+G457)*((9-1)/(MaxLevel-1))^(2^F457)))</f>
        <v>0.12222222222222223</v>
      </c>
      <c r="Q457" s="12">
        <f>IF(OR(D457="",E457=""),"",IF(IFERROR(INDEX(Stats!$D:$D,MATCH($C457,Stats!$A:$A,0)),FALSE),ROUND(D457+(E457-D457)*(1+G457)*((10-1)/(MaxLevel-1))^(2^F457),0),D457+(E457-D457)*(1+G457)*((10-1)/(MaxLevel-1))^(2^F457)))</f>
        <v>0.1</v>
      </c>
    </row>
  </sheetData>
  <phoneticPr fontId="13" type="noConversion"/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Stats!$A$2:$A$200</xm:f>
          </x14:formula1>
          <xm:sqref>C2:C1981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26"/>
  <sheetViews>
    <sheetView workbookViewId="0">
      <pane xSplit="1" ySplit="2" topLeftCell="B3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RowHeight="15" x14ac:dyDescent="0.25"/>
  <cols>
    <col min="1" max="1" width="12" customWidth="1"/>
    <col min="2" max="25" width="6" customWidth="1"/>
  </cols>
  <sheetData>
    <row r="1" spans="1:25" x14ac:dyDescent="0.25">
      <c r="A1" s="13" t="s">
        <v>217</v>
      </c>
    </row>
    <row r="2" spans="1:25" x14ac:dyDescent="0.25">
      <c r="A2" s="14" t="s">
        <v>150</v>
      </c>
      <c r="B2" s="14" t="s">
        <v>186</v>
      </c>
      <c r="C2" s="14" t="s">
        <v>218</v>
      </c>
      <c r="D2" s="14" t="s">
        <v>219</v>
      </c>
      <c r="E2" s="14" t="s">
        <v>220</v>
      </c>
      <c r="F2" s="14" t="s">
        <v>221</v>
      </c>
      <c r="G2" s="14" t="s">
        <v>190</v>
      </c>
      <c r="H2" s="14" t="s">
        <v>222</v>
      </c>
      <c r="I2" s="14" t="s">
        <v>223</v>
      </c>
      <c r="J2" s="14" t="s">
        <v>224</v>
      </c>
      <c r="K2" s="14" t="s">
        <v>195</v>
      </c>
      <c r="L2" s="14" t="s">
        <v>225</v>
      </c>
      <c r="M2" s="14" t="s">
        <v>226</v>
      </c>
      <c r="N2" s="14" t="s">
        <v>227</v>
      </c>
      <c r="O2" s="14" t="s">
        <v>228</v>
      </c>
      <c r="P2" s="14" t="s">
        <v>229</v>
      </c>
      <c r="Q2" s="14" t="s">
        <v>230</v>
      </c>
      <c r="R2" s="14" t="s">
        <v>231</v>
      </c>
      <c r="S2" s="14" t="s">
        <v>232</v>
      </c>
      <c r="T2" s="14" t="s">
        <v>233</v>
      </c>
      <c r="U2" s="14" t="s">
        <v>234</v>
      </c>
      <c r="V2" s="14" t="s">
        <v>235</v>
      </c>
      <c r="W2" s="14" t="s">
        <v>236</v>
      </c>
      <c r="X2" s="14" t="s">
        <v>201</v>
      </c>
      <c r="Y2" s="14" t="s">
        <v>237</v>
      </c>
    </row>
    <row r="3" spans="1:25" x14ac:dyDescent="0.25">
      <c r="A3" s="14" t="s">
        <v>186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spans="1:25" x14ac:dyDescent="0.25">
      <c r="A4" s="14" t="s">
        <v>218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5" x14ac:dyDescent="0.25">
      <c r="A5" s="14" t="s">
        <v>219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 x14ac:dyDescent="0.25">
      <c r="A6" s="14" t="s">
        <v>220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spans="1:25" x14ac:dyDescent="0.25">
      <c r="A7" s="14" t="s">
        <v>221</v>
      </c>
      <c r="B7" s="17"/>
      <c r="C7" s="17"/>
      <c r="D7" s="17"/>
      <c r="E7" s="17"/>
      <c r="F7" s="17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7"/>
    </row>
    <row r="8" spans="1:25" x14ac:dyDescent="0.25">
      <c r="A8" s="14" t="s">
        <v>190</v>
      </c>
      <c r="B8" s="17"/>
      <c r="C8" s="17"/>
      <c r="D8" s="17"/>
      <c r="E8" s="17"/>
      <c r="G8" s="15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7"/>
    </row>
    <row r="9" spans="1:25" x14ac:dyDescent="0.25">
      <c r="A9" s="14" t="s">
        <v>222</v>
      </c>
      <c r="B9" s="17"/>
      <c r="C9" s="17"/>
      <c r="D9" s="17"/>
      <c r="E9" s="17"/>
      <c r="G9" s="16"/>
      <c r="H9" s="15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7"/>
    </row>
    <row r="10" spans="1:25" x14ac:dyDescent="0.25">
      <c r="A10" s="14" t="s">
        <v>223</v>
      </c>
      <c r="B10" s="17"/>
      <c r="C10" s="17"/>
      <c r="D10" s="17"/>
      <c r="E10" s="17"/>
      <c r="G10" s="16"/>
      <c r="H10" s="16"/>
      <c r="I10" s="15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7"/>
    </row>
    <row r="11" spans="1:25" x14ac:dyDescent="0.25">
      <c r="A11" s="14" t="s">
        <v>224</v>
      </c>
      <c r="B11" s="17"/>
      <c r="C11" s="17"/>
      <c r="D11" s="17"/>
      <c r="E11" s="17"/>
      <c r="G11" s="16"/>
      <c r="H11" s="16"/>
      <c r="I11" s="16"/>
      <c r="J11" s="15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7"/>
    </row>
    <row r="12" spans="1:25" x14ac:dyDescent="0.25">
      <c r="A12" s="14" t="s">
        <v>195</v>
      </c>
      <c r="B12" s="17"/>
      <c r="C12" s="17"/>
      <c r="D12" s="17"/>
      <c r="E12" s="17"/>
      <c r="H12" s="16"/>
      <c r="I12" s="16"/>
      <c r="J12" s="16"/>
      <c r="K12" s="15"/>
      <c r="L12" s="16"/>
      <c r="M12" s="16"/>
      <c r="N12" s="16"/>
      <c r="O12" s="16">
        <v>0.5</v>
      </c>
      <c r="P12" s="16"/>
      <c r="Q12" s="16"/>
      <c r="R12" s="16"/>
      <c r="S12" s="16"/>
      <c r="T12" s="16"/>
      <c r="U12" s="16"/>
      <c r="V12" s="16"/>
      <c r="W12" s="16"/>
      <c r="X12" s="16"/>
      <c r="Y12" s="17"/>
    </row>
    <row r="13" spans="1:25" x14ac:dyDescent="0.25">
      <c r="A13" s="14" t="s">
        <v>225</v>
      </c>
      <c r="B13" s="17"/>
      <c r="C13" s="17"/>
      <c r="D13" s="17"/>
      <c r="E13" s="17"/>
      <c r="G13" s="16"/>
      <c r="H13" s="16"/>
      <c r="I13" s="16"/>
      <c r="J13" s="16"/>
      <c r="K13" s="16"/>
      <c r="L13" s="15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7"/>
    </row>
    <row r="14" spans="1:25" x14ac:dyDescent="0.25">
      <c r="A14" s="14" t="s">
        <v>226</v>
      </c>
      <c r="B14" s="17"/>
      <c r="C14" s="17"/>
      <c r="D14" s="17"/>
      <c r="E14" s="17"/>
      <c r="G14" s="16"/>
      <c r="H14" s="16"/>
      <c r="I14" s="16"/>
      <c r="J14" s="16"/>
      <c r="K14" s="16"/>
      <c r="L14" s="16"/>
      <c r="M14" s="15"/>
      <c r="N14" s="16"/>
      <c r="O14" s="16"/>
      <c r="P14" s="16"/>
      <c r="Q14" s="16"/>
      <c r="R14" s="16">
        <v>2</v>
      </c>
      <c r="S14" s="16"/>
      <c r="T14" s="16"/>
      <c r="U14" s="16"/>
      <c r="V14" s="16"/>
      <c r="W14" s="16"/>
      <c r="X14" s="16"/>
      <c r="Y14" s="17"/>
    </row>
    <row r="15" spans="1:25" x14ac:dyDescent="0.25">
      <c r="A15" s="14" t="s">
        <v>227</v>
      </c>
      <c r="B15" s="17"/>
      <c r="C15" s="17"/>
      <c r="D15" s="17"/>
      <c r="E15" s="17"/>
      <c r="G15" s="16"/>
      <c r="H15" s="16"/>
      <c r="I15" s="16"/>
      <c r="J15" s="16"/>
      <c r="K15" s="16"/>
      <c r="L15" s="16"/>
      <c r="M15" s="16"/>
      <c r="N15" s="15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7"/>
    </row>
    <row r="16" spans="1:25" x14ac:dyDescent="0.25">
      <c r="A16" s="14" t="s">
        <v>228</v>
      </c>
      <c r="B16" s="17"/>
      <c r="C16" s="17"/>
      <c r="D16" s="17"/>
      <c r="E16" s="17"/>
      <c r="G16" s="16"/>
      <c r="H16" s="16"/>
      <c r="I16" s="16"/>
      <c r="J16" s="16"/>
      <c r="K16" s="16">
        <v>0.5</v>
      </c>
      <c r="L16" s="16"/>
      <c r="M16" s="16"/>
      <c r="N16" s="16"/>
      <c r="O16" s="15"/>
      <c r="P16" s="16"/>
      <c r="Q16" s="16"/>
      <c r="R16" s="16"/>
      <c r="S16" s="16"/>
      <c r="T16" s="16"/>
      <c r="U16" s="16"/>
      <c r="V16" s="16"/>
      <c r="W16" s="16"/>
      <c r="X16" s="16"/>
      <c r="Y16" s="17"/>
    </row>
    <row r="17" spans="1:25" x14ac:dyDescent="0.25">
      <c r="A17" s="14" t="s">
        <v>229</v>
      </c>
      <c r="B17" s="17"/>
      <c r="C17" s="17"/>
      <c r="D17" s="17"/>
      <c r="E17" s="17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6"/>
      <c r="R17" s="16"/>
      <c r="S17" s="16"/>
      <c r="T17" s="16"/>
      <c r="U17" s="16"/>
      <c r="V17" s="16"/>
      <c r="W17" s="16"/>
      <c r="X17" s="16"/>
      <c r="Y17" s="17"/>
    </row>
    <row r="18" spans="1:25" x14ac:dyDescent="0.25">
      <c r="A18" s="14" t="s">
        <v>230</v>
      </c>
      <c r="B18" s="17"/>
      <c r="C18" s="17"/>
      <c r="D18" s="17"/>
      <c r="E18" s="17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5"/>
      <c r="R18" s="16"/>
      <c r="S18" s="16"/>
      <c r="T18" s="16"/>
      <c r="U18" s="16"/>
      <c r="V18" s="16"/>
      <c r="W18" s="16"/>
      <c r="X18" s="16"/>
      <c r="Y18" s="17"/>
    </row>
    <row r="19" spans="1:25" x14ac:dyDescent="0.25">
      <c r="A19" s="14" t="s">
        <v>231</v>
      </c>
      <c r="B19" s="17"/>
      <c r="C19" s="17"/>
      <c r="D19" s="17"/>
      <c r="E19" s="17"/>
      <c r="G19" s="16"/>
      <c r="H19" s="16"/>
      <c r="I19" s="16"/>
      <c r="J19" s="16"/>
      <c r="K19" s="16"/>
      <c r="L19" s="16"/>
      <c r="M19" s="16">
        <v>2</v>
      </c>
      <c r="N19" s="16"/>
      <c r="O19" s="16"/>
      <c r="P19" s="16"/>
      <c r="Q19" s="16"/>
      <c r="R19" s="15"/>
      <c r="S19" s="16"/>
      <c r="T19" s="16"/>
      <c r="U19" s="16"/>
      <c r="V19" s="16"/>
      <c r="W19" s="16"/>
      <c r="X19" s="16"/>
      <c r="Y19" s="17"/>
    </row>
    <row r="20" spans="1:25" x14ac:dyDescent="0.25">
      <c r="A20" s="14" t="s">
        <v>232</v>
      </c>
      <c r="B20" s="17"/>
      <c r="C20" s="17"/>
      <c r="D20" s="17"/>
      <c r="E20" s="17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5"/>
      <c r="T20" s="16"/>
      <c r="U20" s="16"/>
      <c r="V20" s="16"/>
      <c r="W20" s="16"/>
      <c r="X20" s="16"/>
      <c r="Y20" s="17"/>
    </row>
    <row r="21" spans="1:25" x14ac:dyDescent="0.25">
      <c r="A21" s="14" t="s">
        <v>233</v>
      </c>
      <c r="B21" s="17"/>
      <c r="C21" s="17"/>
      <c r="D21" s="17"/>
      <c r="E21" s="17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5"/>
      <c r="U21" s="16"/>
      <c r="V21" s="16"/>
      <c r="W21" s="16"/>
      <c r="X21" s="16"/>
      <c r="Y21" s="17"/>
    </row>
    <row r="22" spans="1:25" x14ac:dyDescent="0.25">
      <c r="A22" s="14" t="s">
        <v>234</v>
      </c>
      <c r="B22" s="17"/>
      <c r="C22" s="17"/>
      <c r="D22" s="17"/>
      <c r="E22" s="17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5"/>
      <c r="V22" s="16"/>
      <c r="W22" s="16"/>
      <c r="X22" s="16"/>
      <c r="Y22" s="17"/>
    </row>
    <row r="23" spans="1:25" x14ac:dyDescent="0.25">
      <c r="A23" s="14" t="s">
        <v>235</v>
      </c>
      <c r="B23" s="17"/>
      <c r="C23" s="17"/>
      <c r="D23" s="17"/>
      <c r="E23" s="17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5"/>
      <c r="W23" s="16"/>
      <c r="X23" s="16"/>
      <c r="Y23" s="17"/>
    </row>
    <row r="24" spans="1:25" x14ac:dyDescent="0.25">
      <c r="A24" s="14" t="s">
        <v>236</v>
      </c>
      <c r="B24" s="17"/>
      <c r="C24" s="17"/>
      <c r="D24" s="17"/>
      <c r="E24" s="17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5"/>
      <c r="X24" s="16"/>
      <c r="Y24" s="17"/>
    </row>
    <row r="25" spans="1:25" x14ac:dyDescent="0.25">
      <c r="A25" s="14" t="s">
        <v>201</v>
      </c>
      <c r="B25" s="17"/>
      <c r="C25" s="17"/>
      <c r="D25" s="17"/>
      <c r="E25" s="17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5"/>
      <c r="Y25" s="17"/>
    </row>
    <row r="26" spans="1:25" x14ac:dyDescent="0.25">
      <c r="A26" s="14" t="s">
        <v>237</v>
      </c>
      <c r="B26" s="17"/>
      <c r="C26" s="17"/>
      <c r="D26" s="17"/>
      <c r="E26" s="17"/>
      <c r="F26" s="18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5"/>
    </row>
  </sheetData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50CF0-50D4-435D-B036-DEC84F3EB44D}">
  <dimension ref="A1:AJ25"/>
  <sheetViews>
    <sheetView workbookViewId="0">
      <pane xSplit="2" ySplit="1" topLeftCell="C2" activePane="bottomRight" state="frozen"/>
      <selection activeCell="K20" sqref="K20"/>
      <selection pane="topRight" activeCell="K20" sqref="K20"/>
      <selection pane="bottomLeft" activeCell="K20" sqref="K20"/>
      <selection pane="bottomRight" activeCell="C30" sqref="C30"/>
    </sheetView>
  </sheetViews>
  <sheetFormatPr defaultRowHeight="15" x14ac:dyDescent="0.25"/>
  <cols>
    <col min="1" max="2" width="12" customWidth="1"/>
    <col min="3" max="3" width="18" customWidth="1"/>
    <col min="4" max="5" width="12" customWidth="1"/>
    <col min="6" max="19" width="5.28515625" customWidth="1"/>
    <col min="20" max="29" width="12" customWidth="1"/>
    <col min="30" max="35" width="18.28515625" customWidth="1"/>
    <col min="36" max="36" width="20.85546875" customWidth="1"/>
  </cols>
  <sheetData>
    <row r="1" spans="1:36" s="24" customFormat="1" ht="122.25" customHeight="1" x14ac:dyDescent="0.25">
      <c r="A1" s="22" t="s">
        <v>149</v>
      </c>
      <c r="B1" s="22" t="s">
        <v>150</v>
      </c>
      <c r="C1" s="22" t="s">
        <v>151</v>
      </c>
      <c r="D1" s="22" t="s">
        <v>152</v>
      </c>
      <c r="E1" s="22" t="s">
        <v>153</v>
      </c>
      <c r="F1" s="23" t="s">
        <v>154</v>
      </c>
      <c r="G1" s="23" t="s">
        <v>155</v>
      </c>
      <c r="H1" s="23" t="s">
        <v>156</v>
      </c>
      <c r="I1" s="23" t="s">
        <v>157</v>
      </c>
      <c r="J1" s="23" t="s">
        <v>158</v>
      </c>
      <c r="K1" s="23" t="s">
        <v>159</v>
      </c>
      <c r="L1" s="23" t="s">
        <v>160</v>
      </c>
      <c r="M1" s="23" t="s">
        <v>161</v>
      </c>
      <c r="N1" s="23" t="s">
        <v>162</v>
      </c>
      <c r="O1" s="23" t="s">
        <v>163</v>
      </c>
      <c r="P1" s="23" t="s">
        <v>164</v>
      </c>
      <c r="Q1" s="23" t="s">
        <v>165</v>
      </c>
      <c r="R1" s="23" t="s">
        <v>166</v>
      </c>
      <c r="S1" s="23" t="s">
        <v>167</v>
      </c>
      <c r="T1" s="22" t="s">
        <v>168</v>
      </c>
      <c r="U1" s="22" t="s">
        <v>169</v>
      </c>
      <c r="V1" s="22" t="s">
        <v>170</v>
      </c>
      <c r="W1" s="22" t="s">
        <v>171</v>
      </c>
      <c r="X1" s="22" t="s">
        <v>172</v>
      </c>
      <c r="Y1" s="22" t="s">
        <v>173</v>
      </c>
      <c r="Z1" s="22" t="s">
        <v>174</v>
      </c>
      <c r="AA1" s="22" t="s">
        <v>175</v>
      </c>
      <c r="AB1" s="22" t="s">
        <v>176</v>
      </c>
      <c r="AC1" s="22" t="s">
        <v>177</v>
      </c>
      <c r="AD1" s="22" t="s">
        <v>178</v>
      </c>
      <c r="AE1" s="22" t="s">
        <v>179</v>
      </c>
      <c r="AF1" s="22" t="s">
        <v>180</v>
      </c>
      <c r="AG1" s="22" t="s">
        <v>181</v>
      </c>
      <c r="AH1" s="22" t="s">
        <v>182</v>
      </c>
      <c r="AI1" s="22" t="s">
        <v>183</v>
      </c>
      <c r="AJ1" s="22" t="s">
        <v>184</v>
      </c>
    </row>
    <row r="2" spans="1:36" x14ac:dyDescent="0.25">
      <c r="A2" s="19" t="s">
        <v>287</v>
      </c>
      <c r="B2" s="19" t="s">
        <v>186</v>
      </c>
      <c r="C2" s="19" t="s">
        <v>264</v>
      </c>
      <c r="D2" s="19" t="s">
        <v>188</v>
      </c>
      <c r="E2" s="19" t="s">
        <v>189</v>
      </c>
      <c r="F2" s="20"/>
      <c r="G2" s="20"/>
      <c r="H2" s="20"/>
      <c r="I2" s="20"/>
      <c r="J2" s="20"/>
      <c r="K2" s="20"/>
      <c r="L2" s="20"/>
      <c r="M2" s="20">
        <v>2</v>
      </c>
      <c r="N2" s="20">
        <v>0.5</v>
      </c>
      <c r="O2" s="19">
        <v>0.2</v>
      </c>
      <c r="P2" s="19">
        <v>0.6</v>
      </c>
      <c r="Q2" s="19">
        <v>0.1</v>
      </c>
      <c r="R2" s="19">
        <v>0.1</v>
      </c>
      <c r="S2" s="19">
        <v>0</v>
      </c>
      <c r="T2" s="19">
        <v>1</v>
      </c>
      <c r="U2" s="19" t="s">
        <v>123</v>
      </c>
      <c r="V2" s="19">
        <v>4</v>
      </c>
      <c r="W2" s="19" t="s">
        <v>144</v>
      </c>
      <c r="X2" s="19"/>
      <c r="Y2" s="19"/>
      <c r="Z2" s="19"/>
      <c r="AA2" s="19"/>
      <c r="AB2" s="19"/>
      <c r="AC2" s="19"/>
      <c r="AD2" s="19" t="b">
        <v>0</v>
      </c>
      <c r="AE2" s="19" t="b">
        <v>0</v>
      </c>
      <c r="AF2" s="19">
        <v>0</v>
      </c>
      <c r="AG2" s="19">
        <v>0</v>
      </c>
      <c r="AH2" s="19"/>
      <c r="AI2" s="19"/>
      <c r="AJ2" s="19"/>
    </row>
    <row r="3" spans="1:36" x14ac:dyDescent="0.25">
      <c r="A3" s="19" t="s">
        <v>287</v>
      </c>
      <c r="B3" s="19" t="s">
        <v>218</v>
      </c>
      <c r="C3" s="19" t="s">
        <v>265</v>
      </c>
      <c r="D3" s="19" t="s">
        <v>188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 t="b">
        <v>0</v>
      </c>
      <c r="AE3" s="19" t="b">
        <v>0</v>
      </c>
      <c r="AF3" s="19">
        <v>0</v>
      </c>
      <c r="AG3" s="19">
        <v>0</v>
      </c>
      <c r="AH3" s="19"/>
      <c r="AI3" s="19"/>
      <c r="AJ3" s="19"/>
    </row>
    <row r="4" spans="1:36" x14ac:dyDescent="0.25">
      <c r="A4" s="19" t="s">
        <v>287</v>
      </c>
      <c r="B4" s="19" t="s">
        <v>219</v>
      </c>
      <c r="C4" s="19" t="s">
        <v>266</v>
      </c>
      <c r="D4" s="19" t="s">
        <v>188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 t="b">
        <v>0</v>
      </c>
      <c r="AE4" s="19" t="b">
        <v>0</v>
      </c>
      <c r="AF4" s="19">
        <v>0</v>
      </c>
      <c r="AG4" s="19">
        <v>0</v>
      </c>
      <c r="AH4" s="19"/>
      <c r="AI4" s="19"/>
      <c r="AJ4" s="19"/>
    </row>
    <row r="5" spans="1:36" x14ac:dyDescent="0.25">
      <c r="A5" s="19" t="s">
        <v>287</v>
      </c>
      <c r="B5" s="19" t="s">
        <v>220</v>
      </c>
      <c r="C5" s="19" t="s">
        <v>267</v>
      </c>
      <c r="D5" s="19" t="s">
        <v>188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 t="b">
        <v>0</v>
      </c>
      <c r="AE5" s="19" t="b">
        <v>0</v>
      </c>
      <c r="AF5" s="19">
        <v>0</v>
      </c>
      <c r="AG5" s="19">
        <v>0</v>
      </c>
      <c r="AH5" s="19"/>
      <c r="AI5" s="19"/>
      <c r="AJ5" s="19"/>
    </row>
    <row r="6" spans="1:36" x14ac:dyDescent="0.25">
      <c r="A6" s="19" t="s">
        <v>287</v>
      </c>
      <c r="B6" s="19" t="s">
        <v>221</v>
      </c>
      <c r="C6" s="19" t="s">
        <v>269</v>
      </c>
      <c r="D6" s="19" t="s">
        <v>197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 t="b">
        <v>1</v>
      </c>
      <c r="AE6" s="19" t="b">
        <v>0</v>
      </c>
      <c r="AF6" s="19">
        <v>1</v>
      </c>
      <c r="AG6" s="19">
        <v>1</v>
      </c>
      <c r="AH6" s="19"/>
      <c r="AI6" s="19"/>
      <c r="AJ6" s="19"/>
    </row>
    <row r="7" spans="1:36" x14ac:dyDescent="0.25">
      <c r="A7" s="19" t="s">
        <v>287</v>
      </c>
      <c r="B7" s="19" t="s">
        <v>190</v>
      </c>
      <c r="C7" s="19" t="s">
        <v>271</v>
      </c>
      <c r="D7" s="19" t="s">
        <v>192</v>
      </c>
      <c r="AD7" s="19" t="b">
        <v>1</v>
      </c>
      <c r="AE7" s="19" t="b">
        <v>0</v>
      </c>
      <c r="AF7" s="19">
        <v>1</v>
      </c>
      <c r="AG7" s="19">
        <v>1</v>
      </c>
    </row>
    <row r="8" spans="1:36" x14ac:dyDescent="0.25">
      <c r="A8" s="19" t="s">
        <v>287</v>
      </c>
      <c r="B8" s="19" t="s">
        <v>222</v>
      </c>
      <c r="C8" s="19" t="s">
        <v>270</v>
      </c>
      <c r="D8" s="19" t="s">
        <v>258</v>
      </c>
      <c r="E8" s="19" t="s">
        <v>193</v>
      </c>
      <c r="F8" s="20"/>
      <c r="G8" s="20">
        <v>2</v>
      </c>
      <c r="H8" s="20"/>
      <c r="I8" s="20">
        <v>0.5</v>
      </c>
      <c r="J8" s="20"/>
      <c r="K8" s="20">
        <v>2</v>
      </c>
      <c r="L8" s="20"/>
      <c r="M8" s="20"/>
      <c r="N8" s="20"/>
      <c r="O8" s="19">
        <v>0.6</v>
      </c>
      <c r="P8" s="19">
        <v>0.2</v>
      </c>
      <c r="Q8" s="19">
        <v>0</v>
      </c>
      <c r="R8" s="19">
        <v>0.1</v>
      </c>
      <c r="S8" s="19">
        <v>0.1</v>
      </c>
      <c r="T8" s="19">
        <v>1</v>
      </c>
      <c r="U8" s="19" t="s">
        <v>129</v>
      </c>
      <c r="V8" s="19">
        <v>5</v>
      </c>
      <c r="W8" s="19" t="s">
        <v>133</v>
      </c>
      <c r="X8" s="19"/>
      <c r="Y8" s="19"/>
      <c r="Z8" s="19"/>
      <c r="AA8" s="19"/>
      <c r="AB8" s="19"/>
      <c r="AC8" s="19"/>
      <c r="AD8" s="19" t="b">
        <v>1</v>
      </c>
      <c r="AE8" s="19" t="b">
        <v>0</v>
      </c>
      <c r="AF8" s="19">
        <v>1</v>
      </c>
      <c r="AG8" s="19">
        <v>1</v>
      </c>
      <c r="AH8" s="19" t="s">
        <v>194</v>
      </c>
      <c r="AI8" s="19">
        <v>9</v>
      </c>
      <c r="AJ8" s="19"/>
    </row>
    <row r="9" spans="1:36" x14ac:dyDescent="0.25">
      <c r="A9" s="19" t="s">
        <v>287</v>
      </c>
      <c r="B9" s="19" t="s">
        <v>223</v>
      </c>
      <c r="C9" s="21" t="s">
        <v>272</v>
      </c>
      <c r="D9" s="21" t="s">
        <v>259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19" t="b">
        <v>1</v>
      </c>
      <c r="AE9" s="19" t="b">
        <v>0</v>
      </c>
      <c r="AF9" s="21">
        <v>1</v>
      </c>
      <c r="AG9" s="21">
        <v>1</v>
      </c>
      <c r="AH9" s="21"/>
      <c r="AI9" s="21"/>
      <c r="AJ9" s="21"/>
    </row>
    <row r="10" spans="1:36" x14ac:dyDescent="0.25">
      <c r="A10" s="19" t="s">
        <v>287</v>
      </c>
      <c r="B10" s="21" t="s">
        <v>224</v>
      </c>
      <c r="C10" s="21" t="s">
        <v>273</v>
      </c>
      <c r="D10" s="21" t="s">
        <v>261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19" t="b">
        <v>1</v>
      </c>
      <c r="AE10" s="19" t="b">
        <v>0</v>
      </c>
      <c r="AF10" s="21">
        <v>1</v>
      </c>
      <c r="AG10" s="21">
        <v>1</v>
      </c>
      <c r="AH10" s="21"/>
      <c r="AI10" s="21"/>
      <c r="AJ10" s="21"/>
    </row>
    <row r="11" spans="1:36" x14ac:dyDescent="0.25">
      <c r="A11" s="19" t="s">
        <v>287</v>
      </c>
      <c r="B11" s="21" t="s">
        <v>195</v>
      </c>
      <c r="C11" s="19" t="s">
        <v>274</v>
      </c>
      <c r="D11" s="19" t="s">
        <v>197</v>
      </c>
      <c r="E11" s="19" t="s">
        <v>189</v>
      </c>
      <c r="F11" s="20">
        <v>0.5</v>
      </c>
      <c r="G11" s="20">
        <v>0.5</v>
      </c>
      <c r="H11" s="20">
        <v>1.5</v>
      </c>
      <c r="I11" s="20"/>
      <c r="J11" s="20"/>
      <c r="K11" s="20"/>
      <c r="L11" s="20"/>
      <c r="M11" s="20"/>
      <c r="N11" s="20"/>
      <c r="O11" s="19">
        <v>0</v>
      </c>
      <c r="P11" s="19">
        <v>0.7</v>
      </c>
      <c r="Q11" s="19">
        <v>0.2</v>
      </c>
      <c r="R11" s="19">
        <v>0</v>
      </c>
      <c r="S11" s="19">
        <v>0.1</v>
      </c>
      <c r="T11" s="19">
        <v>1</v>
      </c>
      <c r="U11" s="19" t="s">
        <v>123</v>
      </c>
      <c r="V11" s="19">
        <v>3</v>
      </c>
      <c r="W11" s="19" t="s">
        <v>138</v>
      </c>
      <c r="X11" s="19"/>
      <c r="Y11" s="19"/>
      <c r="Z11" s="19"/>
      <c r="AA11" s="19"/>
      <c r="AB11" s="19"/>
      <c r="AC11" s="19"/>
      <c r="AD11" s="19" t="b">
        <v>1</v>
      </c>
      <c r="AE11" s="19" t="b">
        <v>0</v>
      </c>
      <c r="AF11" s="19">
        <v>1</v>
      </c>
      <c r="AG11" s="19">
        <v>1</v>
      </c>
      <c r="AH11" s="19" t="s">
        <v>198</v>
      </c>
      <c r="AI11" s="19" t="s">
        <v>199</v>
      </c>
      <c r="AJ11" s="19" t="s">
        <v>200</v>
      </c>
    </row>
    <row r="12" spans="1:36" x14ac:dyDescent="0.25">
      <c r="A12" s="19" t="s">
        <v>287</v>
      </c>
      <c r="B12" s="21" t="s">
        <v>225</v>
      </c>
      <c r="C12" s="21" t="s">
        <v>276</v>
      </c>
      <c r="D12" s="19" t="s">
        <v>192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19" t="b">
        <v>1</v>
      </c>
      <c r="AE12" s="19" t="b">
        <v>0</v>
      </c>
      <c r="AF12" s="21">
        <v>1</v>
      </c>
      <c r="AG12" s="21">
        <v>1</v>
      </c>
      <c r="AH12" s="21"/>
      <c r="AI12" s="21"/>
      <c r="AJ12" s="21"/>
    </row>
    <row r="13" spans="1:36" x14ac:dyDescent="0.25">
      <c r="A13" s="19" t="s">
        <v>287</v>
      </c>
      <c r="B13" s="21" t="s">
        <v>226</v>
      </c>
      <c r="C13" s="21" t="s">
        <v>275</v>
      </c>
      <c r="D13" s="19" t="s">
        <v>258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19" t="b">
        <v>1</v>
      </c>
      <c r="AE13" s="19" t="b">
        <v>0</v>
      </c>
      <c r="AF13" s="21">
        <v>1</v>
      </c>
      <c r="AG13" s="21">
        <v>1</v>
      </c>
      <c r="AH13" s="21"/>
      <c r="AI13" s="21"/>
      <c r="AJ13" s="21"/>
    </row>
    <row r="14" spans="1:36" x14ac:dyDescent="0.25">
      <c r="A14" s="19" t="s">
        <v>287</v>
      </c>
      <c r="B14" s="21" t="s">
        <v>227</v>
      </c>
      <c r="C14" s="21" t="s">
        <v>277</v>
      </c>
      <c r="D14" s="21" t="s">
        <v>259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19" t="b">
        <v>1</v>
      </c>
      <c r="AE14" s="19" t="b">
        <v>0</v>
      </c>
      <c r="AF14" s="21">
        <v>1</v>
      </c>
      <c r="AG14" s="21">
        <v>1</v>
      </c>
      <c r="AH14" s="21"/>
      <c r="AI14" s="21"/>
      <c r="AJ14" s="21"/>
    </row>
    <row r="15" spans="1:36" x14ac:dyDescent="0.25">
      <c r="A15" s="19" t="s">
        <v>287</v>
      </c>
      <c r="B15" s="21" t="s">
        <v>228</v>
      </c>
      <c r="C15" s="21" t="s">
        <v>278</v>
      </c>
      <c r="D15" s="21" t="s">
        <v>261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19" t="b">
        <v>1</v>
      </c>
      <c r="AE15" s="19" t="b">
        <v>0</v>
      </c>
      <c r="AF15" s="21">
        <v>1</v>
      </c>
      <c r="AG15" s="21">
        <v>1</v>
      </c>
      <c r="AH15" s="21"/>
      <c r="AI15" s="21"/>
      <c r="AJ15" s="21"/>
    </row>
    <row r="16" spans="1:36" x14ac:dyDescent="0.25">
      <c r="A16" s="19" t="s">
        <v>287</v>
      </c>
      <c r="B16" s="21" t="s">
        <v>229</v>
      </c>
      <c r="C16" s="21" t="s">
        <v>279</v>
      </c>
      <c r="D16" s="19" t="s">
        <v>197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19" t="b">
        <v>1</v>
      </c>
      <c r="AE16" s="19" t="b">
        <v>0</v>
      </c>
      <c r="AF16" s="21">
        <v>1</v>
      </c>
      <c r="AG16" s="21">
        <v>1</v>
      </c>
      <c r="AH16" s="21"/>
      <c r="AI16" s="21"/>
      <c r="AJ16" s="21"/>
    </row>
    <row r="17" spans="1:36" x14ac:dyDescent="0.25">
      <c r="A17" s="19" t="s">
        <v>287</v>
      </c>
      <c r="B17" s="21" t="s">
        <v>230</v>
      </c>
      <c r="C17" s="21" t="s">
        <v>281</v>
      </c>
      <c r="D17" s="19" t="s">
        <v>192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19" t="b">
        <v>1</v>
      </c>
      <c r="AE17" s="19" t="b">
        <v>0</v>
      </c>
      <c r="AF17" s="21">
        <v>1</v>
      </c>
      <c r="AG17" s="21">
        <v>1</v>
      </c>
      <c r="AH17" s="21"/>
      <c r="AI17" s="21"/>
      <c r="AJ17" s="21"/>
    </row>
    <row r="18" spans="1:36" x14ac:dyDescent="0.25">
      <c r="A18" s="19" t="s">
        <v>287</v>
      </c>
      <c r="B18" s="21" t="s">
        <v>231</v>
      </c>
      <c r="C18" s="21" t="s">
        <v>280</v>
      </c>
      <c r="D18" s="19" t="s">
        <v>258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19" t="b">
        <v>1</v>
      </c>
      <c r="AE18" s="19" t="b">
        <v>0</v>
      </c>
      <c r="AF18" s="21">
        <v>1</v>
      </c>
      <c r="AG18" s="21">
        <v>1</v>
      </c>
      <c r="AH18" s="21"/>
      <c r="AI18" s="21"/>
      <c r="AJ18" s="21"/>
    </row>
    <row r="19" spans="1:36" x14ac:dyDescent="0.25">
      <c r="A19" s="19" t="s">
        <v>287</v>
      </c>
      <c r="B19" s="21" t="s">
        <v>232</v>
      </c>
      <c r="C19" s="21" t="s">
        <v>282</v>
      </c>
      <c r="D19" s="21" t="s">
        <v>259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19" t="b">
        <v>1</v>
      </c>
      <c r="AE19" s="19" t="b">
        <v>0</v>
      </c>
      <c r="AF19" s="21">
        <v>1</v>
      </c>
      <c r="AG19" s="21">
        <v>1</v>
      </c>
      <c r="AH19" s="21"/>
      <c r="AI19" s="21"/>
      <c r="AJ19" s="21"/>
    </row>
    <row r="20" spans="1:36" x14ac:dyDescent="0.25">
      <c r="A20" s="19" t="s">
        <v>287</v>
      </c>
      <c r="B20" s="21" t="s">
        <v>233</v>
      </c>
      <c r="C20" s="21" t="s">
        <v>283</v>
      </c>
      <c r="D20" s="21" t="s">
        <v>261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19" t="b">
        <v>1</v>
      </c>
      <c r="AE20" s="19" t="b">
        <v>0</v>
      </c>
      <c r="AF20" s="21">
        <v>1</v>
      </c>
      <c r="AG20" s="21">
        <v>1</v>
      </c>
      <c r="AH20" s="21"/>
      <c r="AI20" s="21"/>
      <c r="AJ20" s="21"/>
    </row>
    <row r="21" spans="1:36" x14ac:dyDescent="0.25">
      <c r="A21" s="19" t="s">
        <v>287</v>
      </c>
      <c r="B21" s="21" t="s">
        <v>234</v>
      </c>
      <c r="C21" s="21" t="s">
        <v>284</v>
      </c>
      <c r="D21" s="21" t="s">
        <v>260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19" t="b">
        <v>1</v>
      </c>
      <c r="AE21" s="19" t="b">
        <v>0</v>
      </c>
      <c r="AF21" s="21">
        <v>1</v>
      </c>
      <c r="AG21" s="21">
        <v>1</v>
      </c>
      <c r="AH21" s="21"/>
      <c r="AI21" s="21"/>
      <c r="AJ21" s="21"/>
    </row>
    <row r="22" spans="1:36" x14ac:dyDescent="0.25">
      <c r="A22" s="19" t="s">
        <v>287</v>
      </c>
      <c r="B22" s="21" t="s">
        <v>235</v>
      </c>
      <c r="C22" s="21" t="s">
        <v>285</v>
      </c>
      <c r="D22" s="21" t="s">
        <v>260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19" t="b">
        <v>1</v>
      </c>
      <c r="AE22" s="19" t="b">
        <v>0</v>
      </c>
      <c r="AF22" s="21">
        <v>1</v>
      </c>
      <c r="AG22" s="21">
        <v>1</v>
      </c>
      <c r="AH22" s="21"/>
      <c r="AI22" s="21"/>
      <c r="AJ22" s="21"/>
    </row>
    <row r="23" spans="1:36" x14ac:dyDescent="0.25">
      <c r="A23" s="19" t="s">
        <v>287</v>
      </c>
      <c r="B23" s="21" t="s">
        <v>236</v>
      </c>
      <c r="C23" s="21" t="s">
        <v>286</v>
      </c>
      <c r="D23" s="21" t="s">
        <v>260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19" t="b">
        <v>1</v>
      </c>
      <c r="AE23" s="19" t="b">
        <v>0</v>
      </c>
      <c r="AF23" s="21">
        <v>1</v>
      </c>
      <c r="AG23" s="21">
        <v>1</v>
      </c>
      <c r="AH23" s="21"/>
      <c r="AI23" s="21"/>
      <c r="AJ23" s="21"/>
    </row>
    <row r="24" spans="1:36" x14ac:dyDescent="0.25">
      <c r="A24" s="19" t="s">
        <v>287</v>
      </c>
      <c r="B24" s="21" t="s">
        <v>201</v>
      </c>
      <c r="C24" s="19" t="s">
        <v>268</v>
      </c>
      <c r="D24" s="19" t="s">
        <v>203</v>
      </c>
      <c r="E24" s="19" t="s">
        <v>189</v>
      </c>
      <c r="F24" s="20"/>
      <c r="G24" s="20"/>
      <c r="H24" s="20"/>
      <c r="I24" s="20"/>
      <c r="J24" s="20"/>
      <c r="K24" s="20"/>
      <c r="L24" s="20"/>
      <c r="M24" s="20"/>
      <c r="N24" s="20"/>
      <c r="O24" s="19">
        <v>0</v>
      </c>
      <c r="P24" s="19">
        <v>0</v>
      </c>
      <c r="Q24" s="19">
        <v>1</v>
      </c>
      <c r="R24" s="19">
        <v>0</v>
      </c>
      <c r="S24" s="19">
        <v>0</v>
      </c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 t="b">
        <v>0</v>
      </c>
      <c r="AE24" s="19" t="b">
        <v>1</v>
      </c>
      <c r="AF24" s="19">
        <v>0</v>
      </c>
      <c r="AG24" s="19">
        <v>0</v>
      </c>
      <c r="AH24" s="19"/>
      <c r="AI24" s="19"/>
      <c r="AJ24" s="19"/>
    </row>
    <row r="25" spans="1:36" x14ac:dyDescent="0.25">
      <c r="A25" s="19" t="s">
        <v>287</v>
      </c>
      <c r="B25" s="21" t="s">
        <v>237</v>
      </c>
      <c r="C25" s="21" t="s">
        <v>263</v>
      </c>
      <c r="D25" s="21" t="s">
        <v>262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 t="b">
        <v>0</v>
      </c>
      <c r="AE25" s="19" t="b">
        <v>0</v>
      </c>
      <c r="AF25" s="21">
        <v>0</v>
      </c>
      <c r="AG25" s="21">
        <v>0</v>
      </c>
      <c r="AH25" s="21"/>
      <c r="AI25" s="21"/>
      <c r="AJ25" s="21"/>
    </row>
  </sheetData>
  <dataValidations count="1">
    <dataValidation type="list" sqref="E10:E504 E8 E2:E6" xr:uid="{71202D13-1D54-4940-B124-9EEEEDB8BC5D}">
      <formula1>"LandOnly,LandWater,LandLava,LandWaterLava,Flying"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6BD3B92A-75FF-4627-ABC6-4842BAE0F1F4}">
          <x14:formula1>
            <xm:f>Abilities!$A$2:$A$500</xm:f>
          </x14:formula1>
          <xm:sqref>U10:U504 W10:W504 Y10:Y504 AA10:AA504 AC10:AC504 W8 W2:W6 Y8 Y2:Y6 AA8 AA2:AA6 AC8 AC2:AC6 U8 U2:U6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03082-5960-4C9F-89F6-F2DC7D0A51D6}">
  <dimension ref="A1:Q457"/>
  <sheetViews>
    <sheetView tabSelected="1" zoomScaleNormal="100" workbookViewId="0">
      <pane xSplit="3" ySplit="1" topLeftCell="D2" activePane="bottomRight" state="frozen"/>
      <selection activeCell="K20" sqref="K20"/>
      <selection pane="topRight" activeCell="K20" sqref="K20"/>
      <selection pane="bottomLeft" activeCell="K20" sqref="K20"/>
      <selection pane="bottomRight" activeCell="S11" sqref="S11"/>
    </sheetView>
  </sheetViews>
  <sheetFormatPr defaultRowHeight="15" x14ac:dyDescent="0.25"/>
  <cols>
    <col min="1" max="2" width="12" customWidth="1"/>
    <col min="3" max="3" width="15" customWidth="1"/>
    <col min="4" max="7" width="12" customWidth="1"/>
    <col min="8" max="17" width="9" customWidth="1"/>
  </cols>
  <sheetData>
    <row r="1" spans="1:17" x14ac:dyDescent="0.25">
      <c r="A1" s="3" t="s">
        <v>149</v>
      </c>
      <c r="B1" s="3" t="s">
        <v>150</v>
      </c>
      <c r="C1" s="3" t="s">
        <v>204</v>
      </c>
      <c r="D1" s="3" t="s">
        <v>205</v>
      </c>
      <c r="E1" s="3" t="s">
        <v>206</v>
      </c>
      <c r="F1" s="3" t="s">
        <v>80</v>
      </c>
      <c r="G1" s="3" t="s">
        <v>81</v>
      </c>
      <c r="H1" s="11" t="s">
        <v>207</v>
      </c>
      <c r="I1" s="11" t="s">
        <v>208</v>
      </c>
      <c r="J1" s="11" t="s">
        <v>209</v>
      </c>
      <c r="K1" s="11" t="s">
        <v>210</v>
      </c>
      <c r="L1" s="11" t="s">
        <v>211</v>
      </c>
      <c r="M1" s="11" t="s">
        <v>212</v>
      </c>
      <c r="N1" s="11" t="s">
        <v>213</v>
      </c>
      <c r="O1" s="11" t="s">
        <v>214</v>
      </c>
      <c r="P1" s="11" t="s">
        <v>215</v>
      </c>
      <c r="Q1" s="11" t="s">
        <v>216</v>
      </c>
    </row>
    <row r="2" spans="1:17" x14ac:dyDescent="0.25">
      <c r="A2" s="4" t="s">
        <v>185</v>
      </c>
      <c r="B2" s="4" t="s">
        <v>186</v>
      </c>
      <c r="C2" s="4" t="s">
        <v>24</v>
      </c>
      <c r="D2" s="5">
        <v>0</v>
      </c>
      <c r="E2" s="5">
        <v>20000</v>
      </c>
      <c r="F2" s="5">
        <v>1</v>
      </c>
      <c r="G2" s="5">
        <v>0</v>
      </c>
      <c r="H2" s="12">
        <f>IF(OR(D2="",E2=""),"",IF(IFERROR(INDEX(Stats!$D:$D,MATCH($C2,Stats!$A:$A,0)),FALSE),ROUND(D2+(E2-D2)*(1+G2)*((1-1)/(MaxLevel-1))^(2^F2),0),D2+(E2-D2)*(1+G2)*((1-1)/(MaxLevel-1))^(2^F2)))</f>
        <v>0</v>
      </c>
      <c r="I2" s="12">
        <f>IF(OR(D2="",E2=""),"",IF(IFERROR(INDEX(Stats!$D:$D,MATCH($C2,Stats!$A:$A,0)),FALSE),ROUND(D2+(E2-D2)*(1+G2)*((2-1)/(MaxLevel-1))^(2^F2),0),D2+(E2-D2)*(1+G2)*((2-1)/(MaxLevel-1))^(2^F2)))</f>
        <v>247</v>
      </c>
      <c r="J2" s="12">
        <f>IF(OR(D2="",E2=""),"",IF(IFERROR(INDEX(Stats!$D:$D,MATCH($C2,Stats!$A:$A,0)),FALSE),ROUND(D2+(E2-D2)*(1+G2)*((3-1)/(MaxLevel-1))^(2^F2),0),D2+(E2-D2)*(1+G2)*((3-1)/(MaxLevel-1))^(2^F2)))</f>
        <v>988</v>
      </c>
      <c r="K2" s="12">
        <f>IF(OR(D2="",E2=""),"",IF(IFERROR(INDEX(Stats!$D:$D,MATCH($C2,Stats!$A:$A,0)),FALSE),ROUND(D2+(E2-D2)*(1+G2)*((4-1)/(MaxLevel-1))^(2^F2),0),D2+(E2-D2)*(1+G2)*((4-1)/(MaxLevel-1))^(2^F2)))</f>
        <v>2222</v>
      </c>
      <c r="L2" s="12">
        <f>IF(OR(D2="",E2=""),"",IF(IFERROR(INDEX(Stats!$D:$D,MATCH($C2,Stats!$A:$A,0)),FALSE),ROUND(D2+(E2-D2)*(1+G2)*((5-1)/(MaxLevel-1))^(2^F2),0),D2+(E2-D2)*(1+G2)*((5-1)/(MaxLevel-1))^(2^F2)))</f>
        <v>3951</v>
      </c>
      <c r="M2" s="12">
        <f>IF(OR(D2="",E2=""),"",IF(IFERROR(INDEX(Stats!$D:$D,MATCH($C2,Stats!$A:$A,0)),FALSE),ROUND(D2+(E2-D2)*(1+G2)*((6-1)/(MaxLevel-1))^(2^F2),0),D2+(E2-D2)*(1+G2)*((6-1)/(MaxLevel-1))^(2^F2)))</f>
        <v>6173</v>
      </c>
      <c r="N2" s="12">
        <f>IF(OR(D2="",E2=""),"",IF(IFERROR(INDEX(Stats!$D:$D,MATCH($C2,Stats!$A:$A,0)),FALSE),ROUND(D2+(E2-D2)*(1+G2)*((7-1)/(MaxLevel-1))^(2^F2),0),D2+(E2-D2)*(1+G2)*((7-1)/(MaxLevel-1))^(2^F2)))</f>
        <v>8889</v>
      </c>
      <c r="O2" s="12">
        <f>IF(OR(D2="",E2=""),"",IF(IFERROR(INDEX(Stats!$D:$D,MATCH($C2,Stats!$A:$A,0)),FALSE),ROUND(D2+(E2-D2)*(1+G2)*((8-1)/(MaxLevel-1))^(2^F2),0),D2+(E2-D2)*(1+G2)*((8-1)/(MaxLevel-1))^(2^F2)))</f>
        <v>12099</v>
      </c>
      <c r="P2" s="12">
        <f>IF(OR(D2="",E2=""),"",IF(IFERROR(INDEX(Stats!$D:$D,MATCH($C2,Stats!$A:$A,0)),FALSE),ROUND(D2+(E2-D2)*(1+G2)*((9-1)/(MaxLevel-1))^(2^F2),0),D2+(E2-D2)*(1+G2)*((9-1)/(MaxLevel-1))^(2^F2)))</f>
        <v>15802</v>
      </c>
      <c r="Q2" s="12">
        <f>IF(OR(D2="",E2=""),"",IF(IFERROR(INDEX(Stats!$D:$D,MATCH($C2,Stats!$A:$A,0)),FALSE),ROUND(D2+(E2-D2)*(1+G2)*((10-1)/(MaxLevel-1))^(2^F2),0),D2+(E2-D2)*(1+G2)*((10-1)/(MaxLevel-1))^(2^F2)))</f>
        <v>20000</v>
      </c>
    </row>
    <row r="3" spans="1:17" x14ac:dyDescent="0.25">
      <c r="A3" s="4" t="s">
        <v>185</v>
      </c>
      <c r="B3" s="4" t="s">
        <v>186</v>
      </c>
      <c r="C3" s="4" t="s">
        <v>26</v>
      </c>
      <c r="D3" s="5">
        <v>50</v>
      </c>
      <c r="E3" s="5">
        <v>300</v>
      </c>
      <c r="F3" s="5">
        <v>0</v>
      </c>
      <c r="G3" s="5">
        <v>0</v>
      </c>
      <c r="H3" s="12">
        <f>IF(OR(D3="",E3=""),"",IF(IFERROR(INDEX(Stats!$D:$D,MATCH($C3,Stats!$A:$A,0)),FALSE),ROUND(D3+(E3-D3)*(1+G3)*((1-1)/(MaxLevel-1))^(2^F3),0),D3+(E3-D3)*(1+G3)*((1-1)/(MaxLevel-1))^(2^F3)))</f>
        <v>50</v>
      </c>
      <c r="I3" s="12">
        <f>IF(OR(D3="",E3=""),"",IF(IFERROR(INDEX(Stats!$D:$D,MATCH($C3,Stats!$A:$A,0)),FALSE),ROUND(D3+(E3-D3)*(1+G3)*((2-1)/(MaxLevel-1))^(2^F3),0),D3+(E3-D3)*(1+G3)*((2-1)/(MaxLevel-1))^(2^F3)))</f>
        <v>78</v>
      </c>
      <c r="J3" s="12">
        <f>IF(OR(D3="",E3=""),"",IF(IFERROR(INDEX(Stats!$D:$D,MATCH($C3,Stats!$A:$A,0)),FALSE),ROUND(D3+(E3-D3)*(1+G3)*((3-1)/(MaxLevel-1))^(2^F3),0),D3+(E3-D3)*(1+G3)*((3-1)/(MaxLevel-1))^(2^F3)))</f>
        <v>106</v>
      </c>
      <c r="K3" s="12">
        <f>IF(OR(D3="",E3=""),"",IF(IFERROR(INDEX(Stats!$D:$D,MATCH($C3,Stats!$A:$A,0)),FALSE),ROUND(D3+(E3-D3)*(1+G3)*((4-1)/(MaxLevel-1))^(2^F3),0),D3+(E3-D3)*(1+G3)*((4-1)/(MaxLevel-1))^(2^F3)))</f>
        <v>133</v>
      </c>
      <c r="L3" s="12">
        <f>IF(OR(D3="",E3=""),"",IF(IFERROR(INDEX(Stats!$D:$D,MATCH($C3,Stats!$A:$A,0)),FALSE),ROUND(D3+(E3-D3)*(1+G3)*((5-1)/(MaxLevel-1))^(2^F3),0),D3+(E3-D3)*(1+G3)*((5-1)/(MaxLevel-1))^(2^F3)))</f>
        <v>161</v>
      </c>
      <c r="M3" s="12">
        <f>IF(OR(D3="",E3=""),"",IF(IFERROR(INDEX(Stats!$D:$D,MATCH($C3,Stats!$A:$A,0)),FALSE),ROUND(D3+(E3-D3)*(1+G3)*((6-1)/(MaxLevel-1))^(2^F3),0),D3+(E3-D3)*(1+G3)*((6-1)/(MaxLevel-1))^(2^F3)))</f>
        <v>189</v>
      </c>
      <c r="N3" s="12">
        <f>IF(OR(D3="",E3=""),"",IF(IFERROR(INDEX(Stats!$D:$D,MATCH($C3,Stats!$A:$A,0)),FALSE),ROUND(D3+(E3-D3)*(1+G3)*((7-1)/(MaxLevel-1))^(2^F3),0),D3+(E3-D3)*(1+G3)*((7-1)/(MaxLevel-1))^(2^F3)))</f>
        <v>217</v>
      </c>
      <c r="O3" s="12">
        <f>IF(OR(D3="",E3=""),"",IF(IFERROR(INDEX(Stats!$D:$D,MATCH($C3,Stats!$A:$A,0)),FALSE),ROUND(D3+(E3-D3)*(1+G3)*((8-1)/(MaxLevel-1))^(2^F3),0),D3+(E3-D3)*(1+G3)*((8-1)/(MaxLevel-1))^(2^F3)))</f>
        <v>244</v>
      </c>
      <c r="P3" s="12">
        <f>IF(OR(D3="",E3=""),"",IF(IFERROR(INDEX(Stats!$D:$D,MATCH($C3,Stats!$A:$A,0)),FALSE),ROUND(D3+(E3-D3)*(1+G3)*((9-1)/(MaxLevel-1))^(2^F3),0),D3+(E3-D3)*(1+G3)*((9-1)/(MaxLevel-1))^(2^F3)))</f>
        <v>272</v>
      </c>
      <c r="Q3" s="12">
        <f>IF(OR(D3="",E3=""),"",IF(IFERROR(INDEX(Stats!$D:$D,MATCH($C3,Stats!$A:$A,0)),FALSE),ROUND(D3+(E3-D3)*(1+G3)*((10-1)/(MaxLevel-1))^(2^F3),0),D3+(E3-D3)*(1+G3)*((10-1)/(MaxLevel-1))^(2^F3)))</f>
        <v>300</v>
      </c>
    </row>
    <row r="4" spans="1:17" x14ac:dyDescent="0.25">
      <c r="A4" s="4" t="s">
        <v>185</v>
      </c>
      <c r="B4" s="4" t="s">
        <v>186</v>
      </c>
      <c r="C4" s="4" t="s">
        <v>28</v>
      </c>
      <c r="D4" s="5">
        <v>400</v>
      </c>
      <c r="E4" s="5">
        <v>1600</v>
      </c>
      <c r="F4" s="5">
        <v>0</v>
      </c>
      <c r="G4" s="5">
        <v>0</v>
      </c>
      <c r="H4" s="12">
        <f>IF(OR(D4="",E4=""),"",IF(IFERROR(INDEX(Stats!$D:$D,MATCH($C4,Stats!$A:$A,0)),FALSE),ROUND(D4+(E4-D4)*(1+G4)*((1-1)/(MaxLevel-1))^(2^F4),0),D4+(E4-D4)*(1+G4)*((1-1)/(MaxLevel-1))^(2^F4)))</f>
        <v>400</v>
      </c>
      <c r="I4" s="12">
        <f>IF(OR(D4="",E4=""),"",IF(IFERROR(INDEX(Stats!$D:$D,MATCH($C4,Stats!$A:$A,0)),FALSE),ROUND(D4+(E4-D4)*(1+G4)*((2-1)/(MaxLevel-1))^(2^F4),0),D4+(E4-D4)*(1+G4)*((2-1)/(MaxLevel-1))^(2^F4)))</f>
        <v>533</v>
      </c>
      <c r="J4" s="12">
        <f>IF(OR(D4="",E4=""),"",IF(IFERROR(INDEX(Stats!$D:$D,MATCH($C4,Stats!$A:$A,0)),FALSE),ROUND(D4+(E4-D4)*(1+G4)*((3-1)/(MaxLevel-1))^(2^F4),0),D4+(E4-D4)*(1+G4)*((3-1)/(MaxLevel-1))^(2^F4)))</f>
        <v>667</v>
      </c>
      <c r="K4" s="12">
        <f>IF(OR(D4="",E4=""),"",IF(IFERROR(INDEX(Stats!$D:$D,MATCH($C4,Stats!$A:$A,0)),FALSE),ROUND(D4+(E4-D4)*(1+G4)*((4-1)/(MaxLevel-1))^(2^F4),0),D4+(E4-D4)*(1+G4)*((4-1)/(MaxLevel-1))^(2^F4)))</f>
        <v>800</v>
      </c>
      <c r="L4" s="12">
        <f>IF(OR(D4="",E4=""),"",IF(IFERROR(INDEX(Stats!$D:$D,MATCH($C4,Stats!$A:$A,0)),FALSE),ROUND(D4+(E4-D4)*(1+G4)*((5-1)/(MaxLevel-1))^(2^F4),0),D4+(E4-D4)*(1+G4)*((5-1)/(MaxLevel-1))^(2^F4)))</f>
        <v>933</v>
      </c>
      <c r="M4" s="12">
        <f>IF(OR(D4="",E4=""),"",IF(IFERROR(INDEX(Stats!$D:$D,MATCH($C4,Stats!$A:$A,0)),FALSE),ROUND(D4+(E4-D4)*(1+G4)*((6-1)/(MaxLevel-1))^(2^F4),0),D4+(E4-D4)*(1+G4)*((6-1)/(MaxLevel-1))^(2^F4)))</f>
        <v>1067</v>
      </c>
      <c r="N4" s="12">
        <f>IF(OR(D4="",E4=""),"",IF(IFERROR(INDEX(Stats!$D:$D,MATCH($C4,Stats!$A:$A,0)),FALSE),ROUND(D4+(E4-D4)*(1+G4)*((7-1)/(MaxLevel-1))^(2^F4),0),D4+(E4-D4)*(1+G4)*((7-1)/(MaxLevel-1))^(2^F4)))</f>
        <v>1200</v>
      </c>
      <c r="O4" s="12">
        <f>IF(OR(D4="",E4=""),"",IF(IFERROR(INDEX(Stats!$D:$D,MATCH($C4,Stats!$A:$A,0)),FALSE),ROUND(D4+(E4-D4)*(1+G4)*((8-1)/(MaxLevel-1))^(2^F4),0),D4+(E4-D4)*(1+G4)*((8-1)/(MaxLevel-1))^(2^F4)))</f>
        <v>1333</v>
      </c>
      <c r="P4" s="12">
        <f>IF(OR(D4="",E4=""),"",IF(IFERROR(INDEX(Stats!$D:$D,MATCH($C4,Stats!$A:$A,0)),FALSE),ROUND(D4+(E4-D4)*(1+G4)*((9-1)/(MaxLevel-1))^(2^F4),0),D4+(E4-D4)*(1+G4)*((9-1)/(MaxLevel-1))^(2^F4)))</f>
        <v>1467</v>
      </c>
      <c r="Q4" s="12">
        <f>IF(OR(D4="",E4=""),"",IF(IFERROR(INDEX(Stats!$D:$D,MATCH($C4,Stats!$A:$A,0)),FALSE),ROUND(D4+(E4-D4)*(1+G4)*((10-1)/(MaxLevel-1))^(2^F4),0),D4+(E4-D4)*(1+G4)*((10-1)/(MaxLevel-1))^(2^F4)))</f>
        <v>1600</v>
      </c>
    </row>
    <row r="5" spans="1:17" x14ac:dyDescent="0.25">
      <c r="A5" s="4" t="s">
        <v>185</v>
      </c>
      <c r="B5" s="4" t="s">
        <v>186</v>
      </c>
      <c r="C5" s="4" t="s">
        <v>30</v>
      </c>
      <c r="D5" s="5">
        <v>30</v>
      </c>
      <c r="E5" s="5">
        <v>120</v>
      </c>
      <c r="F5" s="5">
        <v>0</v>
      </c>
      <c r="G5" s="5">
        <v>0</v>
      </c>
      <c r="H5" s="12">
        <f>IF(OR(D5="",E5=""),"",IF(IFERROR(INDEX(Stats!$D:$D,MATCH($C5,Stats!$A:$A,0)),FALSE),ROUND(D5+(E5-D5)*(1+G5)*((1-1)/(MaxLevel-1))^(2^F5),0),D5+(E5-D5)*(1+G5)*((1-1)/(MaxLevel-1))^(2^F5)))</f>
        <v>30</v>
      </c>
      <c r="I5" s="12">
        <f>IF(OR(D5="",E5=""),"",IF(IFERROR(INDEX(Stats!$D:$D,MATCH($C5,Stats!$A:$A,0)),FALSE),ROUND(D5+(E5-D5)*(1+G5)*((2-1)/(MaxLevel-1))^(2^F5),0),D5+(E5-D5)*(1+G5)*((2-1)/(MaxLevel-1))^(2^F5)))</f>
        <v>40</v>
      </c>
      <c r="J5" s="12">
        <f>IF(OR(D5="",E5=""),"",IF(IFERROR(INDEX(Stats!$D:$D,MATCH($C5,Stats!$A:$A,0)),FALSE),ROUND(D5+(E5-D5)*(1+G5)*((3-1)/(MaxLevel-1))^(2^F5),0),D5+(E5-D5)*(1+G5)*((3-1)/(MaxLevel-1))^(2^F5)))</f>
        <v>50</v>
      </c>
      <c r="K5" s="12">
        <f>IF(OR(D5="",E5=""),"",IF(IFERROR(INDEX(Stats!$D:$D,MATCH($C5,Stats!$A:$A,0)),FALSE),ROUND(D5+(E5-D5)*(1+G5)*((4-1)/(MaxLevel-1))^(2^F5),0),D5+(E5-D5)*(1+G5)*((4-1)/(MaxLevel-1))^(2^F5)))</f>
        <v>60</v>
      </c>
      <c r="L5" s="12">
        <f>IF(OR(D5="",E5=""),"",IF(IFERROR(INDEX(Stats!$D:$D,MATCH($C5,Stats!$A:$A,0)),FALSE),ROUND(D5+(E5-D5)*(1+G5)*((5-1)/(MaxLevel-1))^(2^F5),0),D5+(E5-D5)*(1+G5)*((5-1)/(MaxLevel-1))^(2^F5)))</f>
        <v>70</v>
      </c>
      <c r="M5" s="12">
        <f>IF(OR(D5="",E5=""),"",IF(IFERROR(INDEX(Stats!$D:$D,MATCH($C5,Stats!$A:$A,0)),FALSE),ROUND(D5+(E5-D5)*(1+G5)*((6-1)/(MaxLevel-1))^(2^F5),0),D5+(E5-D5)*(1+G5)*((6-1)/(MaxLevel-1))^(2^F5)))</f>
        <v>80</v>
      </c>
      <c r="N5" s="12">
        <f>IF(OR(D5="",E5=""),"",IF(IFERROR(INDEX(Stats!$D:$D,MATCH($C5,Stats!$A:$A,0)),FALSE),ROUND(D5+(E5-D5)*(1+G5)*((7-1)/(MaxLevel-1))^(2^F5),0),D5+(E5-D5)*(1+G5)*((7-1)/(MaxLevel-1))^(2^F5)))</f>
        <v>90</v>
      </c>
      <c r="O5" s="12">
        <f>IF(OR(D5="",E5=""),"",IF(IFERROR(INDEX(Stats!$D:$D,MATCH($C5,Stats!$A:$A,0)),FALSE),ROUND(D5+(E5-D5)*(1+G5)*((8-1)/(MaxLevel-1))^(2^F5),0),D5+(E5-D5)*(1+G5)*((8-1)/(MaxLevel-1))^(2^F5)))</f>
        <v>100</v>
      </c>
      <c r="P5" s="12">
        <f>IF(OR(D5="",E5=""),"",IF(IFERROR(INDEX(Stats!$D:$D,MATCH($C5,Stats!$A:$A,0)),FALSE),ROUND(D5+(E5-D5)*(1+G5)*((9-1)/(MaxLevel-1))^(2^F5),0),D5+(E5-D5)*(1+G5)*((9-1)/(MaxLevel-1))^(2^F5)))</f>
        <v>110</v>
      </c>
      <c r="Q5" s="12">
        <f>IF(OR(D5="",E5=""),"",IF(IFERROR(INDEX(Stats!$D:$D,MATCH($C5,Stats!$A:$A,0)),FALSE),ROUND(D5+(E5-D5)*(1+G5)*((10-1)/(MaxLevel-1))^(2^F5),0),D5+(E5-D5)*(1+G5)*((10-1)/(MaxLevel-1))^(2^F5)))</f>
        <v>120</v>
      </c>
    </row>
    <row r="6" spans="1:17" x14ac:dyDescent="0.25">
      <c r="A6" s="4" t="s">
        <v>185</v>
      </c>
      <c r="B6" s="4" t="s">
        <v>186</v>
      </c>
      <c r="C6" s="4" t="s">
        <v>32</v>
      </c>
      <c r="D6" s="5">
        <v>0.7</v>
      </c>
      <c r="E6" s="5">
        <v>0.95</v>
      </c>
      <c r="F6" s="5">
        <v>-1</v>
      </c>
      <c r="G6" s="5">
        <v>0</v>
      </c>
      <c r="H6" s="12">
        <f>IF(OR(D6="",E6=""),"",IF(IFERROR(INDEX(Stats!$D:$D,MATCH($C6,Stats!$A:$A,0)),FALSE),ROUND(D6+(E6-D6)*(1+G6)*((1-1)/(MaxLevel-1))^(2^F6),0),D6+(E6-D6)*(1+G6)*((1-1)/(MaxLevel-1))^(2^F6)))</f>
        <v>0.7</v>
      </c>
      <c r="I6" s="12">
        <f>IF(OR(D6="",E6=""),"",IF(IFERROR(INDEX(Stats!$D:$D,MATCH($C6,Stats!$A:$A,0)),FALSE),ROUND(D6+(E6-D6)*(1+G6)*((2-1)/(MaxLevel-1))^(2^F6),0),D6+(E6-D6)*(1+G6)*((2-1)/(MaxLevel-1))^(2^F6)))</f>
        <v>0.78333333333333333</v>
      </c>
      <c r="J6" s="12">
        <f>IF(OR(D6="",E6=""),"",IF(IFERROR(INDEX(Stats!$D:$D,MATCH($C6,Stats!$A:$A,0)),FALSE),ROUND(D6+(E6-D6)*(1+G6)*((3-1)/(MaxLevel-1))^(2^F6),0),D6+(E6-D6)*(1+G6)*((3-1)/(MaxLevel-1))^(2^F6)))</f>
        <v>0.8178511301977579</v>
      </c>
      <c r="K6" s="12">
        <f>IF(OR(D6="",E6=""),"",IF(IFERROR(INDEX(Stats!$D:$D,MATCH($C6,Stats!$A:$A,0)),FALSE),ROUND(D6+(E6-D6)*(1+G6)*((4-1)/(MaxLevel-1))^(2^F6),0),D6+(E6-D6)*(1+G6)*((4-1)/(MaxLevel-1))^(2^F6)))</f>
        <v>0.84433756729740639</v>
      </c>
      <c r="L6" s="12">
        <f>IF(OR(D6="",E6=""),"",IF(IFERROR(INDEX(Stats!$D:$D,MATCH($C6,Stats!$A:$A,0)),FALSE),ROUND(D6+(E6-D6)*(1+G6)*((5-1)/(MaxLevel-1))^(2^F6),0),D6+(E6-D6)*(1+G6)*((5-1)/(MaxLevel-1))^(2^F6)))</f>
        <v>0.86666666666666659</v>
      </c>
      <c r="M6" s="12">
        <f>IF(OR(D6="",E6=""),"",IF(IFERROR(INDEX(Stats!$D:$D,MATCH($C6,Stats!$A:$A,0)),FALSE),ROUND(D6+(E6-D6)*(1+G6)*((6-1)/(MaxLevel-1))^(2^F6),0),D6+(E6-D6)*(1+G6)*((6-1)/(MaxLevel-1))^(2^F6)))</f>
        <v>0.8863389981249824</v>
      </c>
      <c r="N6" s="12">
        <f>IF(OR(D6="",E6=""),"",IF(IFERROR(INDEX(Stats!$D:$D,MATCH($C6,Stats!$A:$A,0)),FALSE),ROUND(D6+(E6-D6)*(1+G6)*((7-1)/(MaxLevel-1))^(2^F6),0),D6+(E6-D6)*(1+G6)*((7-1)/(MaxLevel-1))^(2^F6)))</f>
        <v>0.90412414523193152</v>
      </c>
      <c r="O6" s="12">
        <f>IF(OR(D6="",E6=""),"",IF(IFERROR(INDEX(Stats!$D:$D,MATCH($C6,Stats!$A:$A,0)),FALSE),ROUND(D6+(E6-D6)*(1+G6)*((8-1)/(MaxLevel-1))^(2^F6),0),D6+(E6-D6)*(1+G6)*((8-1)/(MaxLevel-1))^(2^F6)))</f>
        <v>0.92047927592204914</v>
      </c>
      <c r="P6" s="12">
        <f>IF(OR(D6="",E6=""),"",IF(IFERROR(INDEX(Stats!$D:$D,MATCH($C6,Stats!$A:$A,0)),FALSE),ROUND(D6+(E6-D6)*(1+G6)*((9-1)/(MaxLevel-1))^(2^F6),0),D6+(E6-D6)*(1+G6)*((9-1)/(MaxLevel-1))^(2^F6)))</f>
        <v>0.93570226039551585</v>
      </c>
      <c r="Q6" s="12">
        <f>IF(OR(D6="",E6=""),"",IF(IFERROR(INDEX(Stats!$D:$D,MATCH($C6,Stats!$A:$A,0)),FALSE),ROUND(D6+(E6-D6)*(1+G6)*((10-1)/(MaxLevel-1))^(2^F6),0),D6+(E6-D6)*(1+G6)*((10-1)/(MaxLevel-1))^(2^F6)))</f>
        <v>0.95</v>
      </c>
    </row>
    <row r="7" spans="1:17" x14ac:dyDescent="0.25">
      <c r="A7" s="4" t="s">
        <v>185</v>
      </c>
      <c r="B7" s="4" t="s">
        <v>186</v>
      </c>
      <c r="C7" s="4" t="s">
        <v>34</v>
      </c>
      <c r="D7" s="5">
        <v>0.1</v>
      </c>
      <c r="E7" s="5">
        <v>0.3</v>
      </c>
      <c r="F7" s="5">
        <v>0</v>
      </c>
      <c r="G7" s="5">
        <v>0</v>
      </c>
      <c r="H7" s="12">
        <f>IF(OR(D7="",E7=""),"",IF(IFERROR(INDEX(Stats!$D:$D,MATCH($C7,Stats!$A:$A,0)),FALSE),ROUND(D7+(E7-D7)*(1+G7)*((1-1)/(MaxLevel-1))^(2^F7),0),D7+(E7-D7)*(1+G7)*((1-1)/(MaxLevel-1))^(2^F7)))</f>
        <v>0.1</v>
      </c>
      <c r="I7" s="12">
        <f>IF(OR(D7="",E7=""),"",IF(IFERROR(INDEX(Stats!$D:$D,MATCH($C7,Stats!$A:$A,0)),FALSE),ROUND(D7+(E7-D7)*(1+G7)*((2-1)/(MaxLevel-1))^(2^F7),0),D7+(E7-D7)*(1+G7)*((2-1)/(MaxLevel-1))^(2^F7)))</f>
        <v>0.12222222222222223</v>
      </c>
      <c r="J7" s="12">
        <f>IF(OR(D7="",E7=""),"",IF(IFERROR(INDEX(Stats!$D:$D,MATCH($C7,Stats!$A:$A,0)),FALSE),ROUND(D7+(E7-D7)*(1+G7)*((3-1)/(MaxLevel-1))^(2^F7),0),D7+(E7-D7)*(1+G7)*((3-1)/(MaxLevel-1))^(2^F7)))</f>
        <v>0.14444444444444443</v>
      </c>
      <c r="K7" s="12">
        <f>IF(OR(D7="",E7=""),"",IF(IFERROR(INDEX(Stats!$D:$D,MATCH($C7,Stats!$A:$A,0)),FALSE),ROUND(D7+(E7-D7)*(1+G7)*((4-1)/(MaxLevel-1))^(2^F7),0),D7+(E7-D7)*(1+G7)*((4-1)/(MaxLevel-1))^(2^F7)))</f>
        <v>0.16666666666666666</v>
      </c>
      <c r="L7" s="12">
        <f>IF(OR(D7="",E7=""),"",IF(IFERROR(INDEX(Stats!$D:$D,MATCH($C7,Stats!$A:$A,0)),FALSE),ROUND(D7+(E7-D7)*(1+G7)*((5-1)/(MaxLevel-1))^(2^F7),0),D7+(E7-D7)*(1+G7)*((5-1)/(MaxLevel-1))^(2^F7)))</f>
        <v>0.18888888888888888</v>
      </c>
      <c r="M7" s="12">
        <f>IF(OR(D7="",E7=""),"",IF(IFERROR(INDEX(Stats!$D:$D,MATCH($C7,Stats!$A:$A,0)),FALSE),ROUND(D7+(E7-D7)*(1+G7)*((6-1)/(MaxLevel-1))^(2^F7),0),D7+(E7-D7)*(1+G7)*((6-1)/(MaxLevel-1))^(2^F7)))</f>
        <v>0.21111111111111111</v>
      </c>
      <c r="N7" s="12">
        <f>IF(OR(D7="",E7=""),"",IF(IFERROR(INDEX(Stats!$D:$D,MATCH($C7,Stats!$A:$A,0)),FALSE),ROUND(D7+(E7-D7)*(1+G7)*((7-1)/(MaxLevel-1))^(2^F7),0),D7+(E7-D7)*(1+G7)*((7-1)/(MaxLevel-1))^(2^F7)))</f>
        <v>0.23333333333333331</v>
      </c>
      <c r="O7" s="12">
        <f>IF(OR(D7="",E7=""),"",IF(IFERROR(INDEX(Stats!$D:$D,MATCH($C7,Stats!$A:$A,0)),FALSE),ROUND(D7+(E7-D7)*(1+G7)*((8-1)/(MaxLevel-1))^(2^F7),0),D7+(E7-D7)*(1+G7)*((8-1)/(MaxLevel-1))^(2^F7)))</f>
        <v>0.25555555555555554</v>
      </c>
      <c r="P7" s="12">
        <f>IF(OR(D7="",E7=""),"",IF(IFERROR(INDEX(Stats!$D:$D,MATCH($C7,Stats!$A:$A,0)),FALSE),ROUND(D7+(E7-D7)*(1+G7)*((9-1)/(MaxLevel-1))^(2^F7),0),D7+(E7-D7)*(1+G7)*((9-1)/(MaxLevel-1))^(2^F7)))</f>
        <v>0.27777777777777779</v>
      </c>
      <c r="Q7" s="12">
        <f>IF(OR(D7="",E7=""),"",IF(IFERROR(INDEX(Stats!$D:$D,MATCH($C7,Stats!$A:$A,0)),FALSE),ROUND(D7+(E7-D7)*(1+G7)*((10-1)/(MaxLevel-1))^(2^F7),0),D7+(E7-D7)*(1+G7)*((10-1)/(MaxLevel-1))^(2^F7)))</f>
        <v>0.3</v>
      </c>
    </row>
    <row r="8" spans="1:17" x14ac:dyDescent="0.25">
      <c r="A8" s="4" t="s">
        <v>185</v>
      </c>
      <c r="B8" s="4" t="s">
        <v>186</v>
      </c>
      <c r="C8" s="4" t="s">
        <v>36</v>
      </c>
      <c r="D8" s="5"/>
      <c r="E8" s="5"/>
      <c r="F8" s="5"/>
      <c r="G8" s="5"/>
      <c r="H8" s="12" t="str">
        <f>IF(OR(D8="",E8=""),"",IF(IFERROR(INDEX(Stats!$D:$D,MATCH($C8,Stats!$A:$A,0)),FALSE),ROUND(D8+(E8-D8)*(1+G8)*((1-1)/(MaxLevel-1))^(2^F8),0),D8+(E8-D8)*(1+G8)*((1-1)/(MaxLevel-1))^(2^F8)))</f>
        <v/>
      </c>
      <c r="I8" s="12" t="str">
        <f>IF(OR(D8="",E8=""),"",IF(IFERROR(INDEX(Stats!$D:$D,MATCH($C8,Stats!$A:$A,0)),FALSE),ROUND(D8+(E8-D8)*(1+G8)*((2-1)/(MaxLevel-1))^(2^F8),0),D8+(E8-D8)*(1+G8)*((2-1)/(MaxLevel-1))^(2^F8)))</f>
        <v/>
      </c>
      <c r="J8" s="12" t="str">
        <f>IF(OR(D8="",E8=""),"",IF(IFERROR(INDEX(Stats!$D:$D,MATCH($C8,Stats!$A:$A,0)),FALSE),ROUND(D8+(E8-D8)*(1+G8)*((3-1)/(MaxLevel-1))^(2^F8),0),D8+(E8-D8)*(1+G8)*((3-1)/(MaxLevel-1))^(2^F8)))</f>
        <v/>
      </c>
      <c r="K8" s="12" t="str">
        <f>IF(OR(D8="",E8=""),"",IF(IFERROR(INDEX(Stats!$D:$D,MATCH($C8,Stats!$A:$A,0)),FALSE),ROUND(D8+(E8-D8)*(1+G8)*((4-1)/(MaxLevel-1))^(2^F8),0),D8+(E8-D8)*(1+G8)*((4-1)/(MaxLevel-1))^(2^F8)))</f>
        <v/>
      </c>
      <c r="L8" s="12" t="str">
        <f>IF(OR(D8="",E8=""),"",IF(IFERROR(INDEX(Stats!$D:$D,MATCH($C8,Stats!$A:$A,0)),FALSE),ROUND(D8+(E8-D8)*(1+G8)*((5-1)/(MaxLevel-1))^(2^F8),0),D8+(E8-D8)*(1+G8)*((5-1)/(MaxLevel-1))^(2^F8)))</f>
        <v/>
      </c>
      <c r="M8" s="12" t="str">
        <f>IF(OR(D8="",E8=""),"",IF(IFERROR(INDEX(Stats!$D:$D,MATCH($C8,Stats!$A:$A,0)),FALSE),ROUND(D8+(E8-D8)*(1+G8)*((6-1)/(MaxLevel-1))^(2^F8),0),D8+(E8-D8)*(1+G8)*((6-1)/(MaxLevel-1))^(2^F8)))</f>
        <v/>
      </c>
      <c r="N8" s="12" t="str">
        <f>IF(OR(D8="",E8=""),"",IF(IFERROR(INDEX(Stats!$D:$D,MATCH($C8,Stats!$A:$A,0)),FALSE),ROUND(D8+(E8-D8)*(1+G8)*((7-1)/(MaxLevel-1))^(2^F8),0),D8+(E8-D8)*(1+G8)*((7-1)/(MaxLevel-1))^(2^F8)))</f>
        <v/>
      </c>
      <c r="O8" s="12" t="str">
        <f>IF(OR(D8="",E8=""),"",IF(IFERROR(INDEX(Stats!$D:$D,MATCH($C8,Stats!$A:$A,0)),FALSE),ROUND(D8+(E8-D8)*(1+G8)*((8-1)/(MaxLevel-1))^(2^F8),0),D8+(E8-D8)*(1+G8)*((8-1)/(MaxLevel-1))^(2^F8)))</f>
        <v/>
      </c>
      <c r="P8" s="12" t="str">
        <f>IF(OR(D8="",E8=""),"",IF(IFERROR(INDEX(Stats!$D:$D,MATCH($C8,Stats!$A:$A,0)),FALSE),ROUND(D8+(E8-D8)*(1+G8)*((9-1)/(MaxLevel-1))^(2^F8),0),D8+(E8-D8)*(1+G8)*((9-1)/(MaxLevel-1))^(2^F8)))</f>
        <v/>
      </c>
      <c r="Q8" s="12" t="str">
        <f>IF(OR(D8="",E8=""),"",IF(IFERROR(INDEX(Stats!$D:$D,MATCH($C8,Stats!$A:$A,0)),FALSE),ROUND(D8+(E8-D8)*(1+G8)*((10-1)/(MaxLevel-1))^(2^F8),0),D8+(E8-D8)*(1+G8)*((10-1)/(MaxLevel-1))^(2^F8)))</f>
        <v/>
      </c>
    </row>
    <row r="9" spans="1:17" x14ac:dyDescent="0.25">
      <c r="A9" s="4" t="s">
        <v>185</v>
      </c>
      <c r="B9" s="4" t="s">
        <v>186</v>
      </c>
      <c r="C9" s="4" t="s">
        <v>38</v>
      </c>
      <c r="D9" s="5"/>
      <c r="E9" s="5"/>
      <c r="F9" s="5"/>
      <c r="G9" s="5"/>
      <c r="H9" s="12" t="str">
        <f>IF(OR(D9="",E9=""),"",IF(IFERROR(INDEX(Stats!$D:$D,MATCH($C9,Stats!$A:$A,0)),FALSE),ROUND(D9+(E9-D9)*(1+G9)*((1-1)/(MaxLevel-1))^(2^F9),0),D9+(E9-D9)*(1+G9)*((1-1)/(MaxLevel-1))^(2^F9)))</f>
        <v/>
      </c>
      <c r="I9" s="12" t="str">
        <f>IF(OR(D9="",E9=""),"",IF(IFERROR(INDEX(Stats!$D:$D,MATCH($C9,Stats!$A:$A,0)),FALSE),ROUND(D9+(E9-D9)*(1+G9)*((2-1)/(MaxLevel-1))^(2^F9),0),D9+(E9-D9)*(1+G9)*((2-1)/(MaxLevel-1))^(2^F9)))</f>
        <v/>
      </c>
      <c r="J9" s="12" t="str">
        <f>IF(OR(D9="",E9=""),"",IF(IFERROR(INDEX(Stats!$D:$D,MATCH($C9,Stats!$A:$A,0)),FALSE),ROUND(D9+(E9-D9)*(1+G9)*((3-1)/(MaxLevel-1))^(2^F9),0),D9+(E9-D9)*(1+G9)*((3-1)/(MaxLevel-1))^(2^F9)))</f>
        <v/>
      </c>
      <c r="K9" s="12" t="str">
        <f>IF(OR(D9="",E9=""),"",IF(IFERROR(INDEX(Stats!$D:$D,MATCH($C9,Stats!$A:$A,0)),FALSE),ROUND(D9+(E9-D9)*(1+G9)*((4-1)/(MaxLevel-1))^(2^F9),0),D9+(E9-D9)*(1+G9)*((4-1)/(MaxLevel-1))^(2^F9)))</f>
        <v/>
      </c>
      <c r="L9" s="12" t="str">
        <f>IF(OR(D9="",E9=""),"",IF(IFERROR(INDEX(Stats!$D:$D,MATCH($C9,Stats!$A:$A,0)),FALSE),ROUND(D9+(E9-D9)*(1+G9)*((5-1)/(MaxLevel-1))^(2^F9),0),D9+(E9-D9)*(1+G9)*((5-1)/(MaxLevel-1))^(2^F9)))</f>
        <v/>
      </c>
      <c r="M9" s="12" t="str">
        <f>IF(OR(D9="",E9=""),"",IF(IFERROR(INDEX(Stats!$D:$D,MATCH($C9,Stats!$A:$A,0)),FALSE),ROUND(D9+(E9-D9)*(1+G9)*((6-1)/(MaxLevel-1))^(2^F9),0),D9+(E9-D9)*(1+G9)*((6-1)/(MaxLevel-1))^(2^F9)))</f>
        <v/>
      </c>
      <c r="N9" s="12" t="str">
        <f>IF(OR(D9="",E9=""),"",IF(IFERROR(INDEX(Stats!$D:$D,MATCH($C9,Stats!$A:$A,0)),FALSE),ROUND(D9+(E9-D9)*(1+G9)*((7-1)/(MaxLevel-1))^(2^F9),0),D9+(E9-D9)*(1+G9)*((7-1)/(MaxLevel-1))^(2^F9)))</f>
        <v/>
      </c>
      <c r="O9" s="12" t="str">
        <f>IF(OR(D9="",E9=""),"",IF(IFERROR(INDEX(Stats!$D:$D,MATCH($C9,Stats!$A:$A,0)),FALSE),ROUND(D9+(E9-D9)*(1+G9)*((8-1)/(MaxLevel-1))^(2^F9),0),D9+(E9-D9)*(1+G9)*((8-1)/(MaxLevel-1))^(2^F9)))</f>
        <v/>
      </c>
      <c r="P9" s="12" t="str">
        <f>IF(OR(D9="",E9=""),"",IF(IFERROR(INDEX(Stats!$D:$D,MATCH($C9,Stats!$A:$A,0)),FALSE),ROUND(D9+(E9-D9)*(1+G9)*((9-1)/(MaxLevel-1))^(2^F9),0),D9+(E9-D9)*(1+G9)*((9-1)/(MaxLevel-1))^(2^F9)))</f>
        <v/>
      </c>
      <c r="Q9" s="12" t="str">
        <f>IF(OR(D9="",E9=""),"",IF(IFERROR(INDEX(Stats!$D:$D,MATCH($C9,Stats!$A:$A,0)),FALSE),ROUND(D9+(E9-D9)*(1+G9)*((10-1)/(MaxLevel-1))^(2^F9),0),D9+(E9-D9)*(1+G9)*((10-1)/(MaxLevel-1))^(2^F9)))</f>
        <v/>
      </c>
    </row>
    <row r="10" spans="1:17" x14ac:dyDescent="0.25">
      <c r="A10" s="4" t="s">
        <v>185</v>
      </c>
      <c r="B10" s="4" t="s">
        <v>186</v>
      </c>
      <c r="C10" s="4" t="s">
        <v>40</v>
      </c>
      <c r="D10" s="5"/>
      <c r="E10" s="5"/>
      <c r="F10" s="5"/>
      <c r="G10" s="5"/>
      <c r="H10" s="12" t="str">
        <f>IF(OR(D10="",E10=""),"",IF(IFERROR(INDEX(Stats!$D:$D,MATCH($C10,Stats!$A:$A,0)),FALSE),ROUND(D10+(E10-D10)*(1+G10)*((1-1)/(MaxLevel-1))^(2^F10),0),D10+(E10-D10)*(1+G10)*((1-1)/(MaxLevel-1))^(2^F10)))</f>
        <v/>
      </c>
      <c r="I10" s="12" t="str">
        <f>IF(OR(D10="",E10=""),"",IF(IFERROR(INDEX(Stats!$D:$D,MATCH($C10,Stats!$A:$A,0)),FALSE),ROUND(D10+(E10-D10)*(1+G10)*((2-1)/(MaxLevel-1))^(2^F10),0),D10+(E10-D10)*(1+G10)*((2-1)/(MaxLevel-1))^(2^F10)))</f>
        <v/>
      </c>
      <c r="J10" s="12" t="str">
        <f>IF(OR(D10="",E10=""),"",IF(IFERROR(INDEX(Stats!$D:$D,MATCH($C10,Stats!$A:$A,0)),FALSE),ROUND(D10+(E10-D10)*(1+G10)*((3-1)/(MaxLevel-1))^(2^F10),0),D10+(E10-D10)*(1+G10)*((3-1)/(MaxLevel-1))^(2^F10)))</f>
        <v/>
      </c>
      <c r="K10" s="12" t="str">
        <f>IF(OR(D10="",E10=""),"",IF(IFERROR(INDEX(Stats!$D:$D,MATCH($C10,Stats!$A:$A,0)),FALSE),ROUND(D10+(E10-D10)*(1+G10)*((4-1)/(MaxLevel-1))^(2^F10),0),D10+(E10-D10)*(1+G10)*((4-1)/(MaxLevel-1))^(2^F10)))</f>
        <v/>
      </c>
      <c r="L10" s="12" t="str">
        <f>IF(OR(D10="",E10=""),"",IF(IFERROR(INDEX(Stats!$D:$D,MATCH($C10,Stats!$A:$A,0)),FALSE),ROUND(D10+(E10-D10)*(1+G10)*((5-1)/(MaxLevel-1))^(2^F10),0),D10+(E10-D10)*(1+G10)*((5-1)/(MaxLevel-1))^(2^F10)))</f>
        <v/>
      </c>
      <c r="M10" s="12" t="str">
        <f>IF(OR(D10="",E10=""),"",IF(IFERROR(INDEX(Stats!$D:$D,MATCH($C10,Stats!$A:$A,0)),FALSE),ROUND(D10+(E10-D10)*(1+G10)*((6-1)/(MaxLevel-1))^(2^F10),0),D10+(E10-D10)*(1+G10)*((6-1)/(MaxLevel-1))^(2^F10)))</f>
        <v/>
      </c>
      <c r="N10" s="12" t="str">
        <f>IF(OR(D10="",E10=""),"",IF(IFERROR(INDEX(Stats!$D:$D,MATCH($C10,Stats!$A:$A,0)),FALSE),ROUND(D10+(E10-D10)*(1+G10)*((7-1)/(MaxLevel-1))^(2^F10),0),D10+(E10-D10)*(1+G10)*((7-1)/(MaxLevel-1))^(2^F10)))</f>
        <v/>
      </c>
      <c r="O10" s="12" t="str">
        <f>IF(OR(D10="",E10=""),"",IF(IFERROR(INDEX(Stats!$D:$D,MATCH($C10,Stats!$A:$A,0)),FALSE),ROUND(D10+(E10-D10)*(1+G10)*((8-1)/(MaxLevel-1))^(2^F10),0),D10+(E10-D10)*(1+G10)*((8-1)/(MaxLevel-1))^(2^F10)))</f>
        <v/>
      </c>
      <c r="P10" s="12" t="str">
        <f>IF(OR(D10="",E10=""),"",IF(IFERROR(INDEX(Stats!$D:$D,MATCH($C10,Stats!$A:$A,0)),FALSE),ROUND(D10+(E10-D10)*(1+G10)*((9-1)/(MaxLevel-1))^(2^F10),0),D10+(E10-D10)*(1+G10)*((9-1)/(MaxLevel-1))^(2^F10)))</f>
        <v/>
      </c>
      <c r="Q10" s="12" t="str">
        <f>IF(OR(D10="",E10=""),"",IF(IFERROR(INDEX(Stats!$D:$D,MATCH($C10,Stats!$A:$A,0)),FALSE),ROUND(D10+(E10-D10)*(1+G10)*((10-1)/(MaxLevel-1))^(2^F10),0),D10+(E10-D10)*(1+G10)*((10-1)/(MaxLevel-1))^(2^F10)))</f>
        <v/>
      </c>
    </row>
    <row r="11" spans="1:17" x14ac:dyDescent="0.25">
      <c r="A11" s="4" t="s">
        <v>185</v>
      </c>
      <c r="B11" s="4" t="s">
        <v>186</v>
      </c>
      <c r="C11" s="4" t="s">
        <v>42</v>
      </c>
      <c r="D11" s="5"/>
      <c r="E11" s="5"/>
      <c r="F11" s="5"/>
      <c r="G11" s="5"/>
      <c r="H11" s="12" t="str">
        <f>IF(OR(D11="",E11=""),"",IF(IFERROR(INDEX(Stats!$D:$D,MATCH($C11,Stats!$A:$A,0)),FALSE),ROUND(D11+(E11-D11)*(1+G11)*((1-1)/(MaxLevel-1))^(2^F11),0),D11+(E11-D11)*(1+G11)*((1-1)/(MaxLevel-1))^(2^F11)))</f>
        <v/>
      </c>
      <c r="I11" s="12" t="str">
        <f>IF(OR(D11="",E11=""),"",IF(IFERROR(INDEX(Stats!$D:$D,MATCH($C11,Stats!$A:$A,0)),FALSE),ROUND(D11+(E11-D11)*(1+G11)*((2-1)/(MaxLevel-1))^(2^F11),0),D11+(E11-D11)*(1+G11)*((2-1)/(MaxLevel-1))^(2^F11)))</f>
        <v/>
      </c>
      <c r="J11" s="12" t="str">
        <f>IF(OR(D11="",E11=""),"",IF(IFERROR(INDEX(Stats!$D:$D,MATCH($C11,Stats!$A:$A,0)),FALSE),ROUND(D11+(E11-D11)*(1+G11)*((3-1)/(MaxLevel-1))^(2^F11),0),D11+(E11-D11)*(1+G11)*((3-1)/(MaxLevel-1))^(2^F11)))</f>
        <v/>
      </c>
      <c r="K11" s="12" t="str">
        <f>IF(OR(D11="",E11=""),"",IF(IFERROR(INDEX(Stats!$D:$D,MATCH($C11,Stats!$A:$A,0)),FALSE),ROUND(D11+(E11-D11)*(1+G11)*((4-1)/(MaxLevel-1))^(2^F11),0),D11+(E11-D11)*(1+G11)*((4-1)/(MaxLevel-1))^(2^F11)))</f>
        <v/>
      </c>
      <c r="L11" s="12" t="str">
        <f>IF(OR(D11="",E11=""),"",IF(IFERROR(INDEX(Stats!$D:$D,MATCH($C11,Stats!$A:$A,0)),FALSE),ROUND(D11+(E11-D11)*(1+G11)*((5-1)/(MaxLevel-1))^(2^F11),0),D11+(E11-D11)*(1+G11)*((5-1)/(MaxLevel-1))^(2^F11)))</f>
        <v/>
      </c>
      <c r="M11" s="12" t="str">
        <f>IF(OR(D11="",E11=""),"",IF(IFERROR(INDEX(Stats!$D:$D,MATCH($C11,Stats!$A:$A,0)),FALSE),ROUND(D11+(E11-D11)*(1+G11)*((6-1)/(MaxLevel-1))^(2^F11),0),D11+(E11-D11)*(1+G11)*((6-1)/(MaxLevel-1))^(2^F11)))</f>
        <v/>
      </c>
      <c r="N11" s="12" t="str">
        <f>IF(OR(D11="",E11=""),"",IF(IFERROR(INDEX(Stats!$D:$D,MATCH($C11,Stats!$A:$A,0)),FALSE),ROUND(D11+(E11-D11)*(1+G11)*((7-1)/(MaxLevel-1))^(2^F11),0),D11+(E11-D11)*(1+G11)*((7-1)/(MaxLevel-1))^(2^F11)))</f>
        <v/>
      </c>
      <c r="O11" s="12" t="str">
        <f>IF(OR(D11="",E11=""),"",IF(IFERROR(INDEX(Stats!$D:$D,MATCH($C11,Stats!$A:$A,0)),FALSE),ROUND(D11+(E11-D11)*(1+G11)*((8-1)/(MaxLevel-1))^(2^F11),0),D11+(E11-D11)*(1+G11)*((8-1)/(MaxLevel-1))^(2^F11)))</f>
        <v/>
      </c>
      <c r="P11" s="12" t="str">
        <f>IF(OR(D11="",E11=""),"",IF(IFERROR(INDEX(Stats!$D:$D,MATCH($C11,Stats!$A:$A,0)),FALSE),ROUND(D11+(E11-D11)*(1+G11)*((9-1)/(MaxLevel-1))^(2^F11),0),D11+(E11-D11)*(1+G11)*((9-1)/(MaxLevel-1))^(2^F11)))</f>
        <v/>
      </c>
      <c r="Q11" s="12" t="str">
        <f>IF(OR(D11="",E11=""),"",IF(IFERROR(INDEX(Stats!$D:$D,MATCH($C11,Stats!$A:$A,0)),FALSE),ROUND(D11+(E11-D11)*(1+G11)*((10-1)/(MaxLevel-1))^(2^F11),0),D11+(E11-D11)*(1+G11)*((10-1)/(MaxLevel-1))^(2^F11)))</f>
        <v/>
      </c>
    </row>
    <row r="12" spans="1:17" x14ac:dyDescent="0.25">
      <c r="A12" s="4" t="s">
        <v>185</v>
      </c>
      <c r="B12" s="4" t="s">
        <v>186</v>
      </c>
      <c r="C12" s="4" t="s">
        <v>44</v>
      </c>
      <c r="D12" s="5"/>
      <c r="E12" s="5"/>
      <c r="F12" s="5"/>
      <c r="G12" s="5"/>
      <c r="H12" s="12" t="str">
        <f>IF(OR(D12="",E12=""),"",IF(IFERROR(INDEX(Stats!$D:$D,MATCH($C12,Stats!$A:$A,0)),FALSE),ROUND(D12+(E12-D12)*(1+G12)*((1-1)/(MaxLevel-1))^(2^F12),0),D12+(E12-D12)*(1+G12)*((1-1)/(MaxLevel-1))^(2^F12)))</f>
        <v/>
      </c>
      <c r="I12" s="12" t="str">
        <f>IF(OR(D12="",E12=""),"",IF(IFERROR(INDEX(Stats!$D:$D,MATCH($C12,Stats!$A:$A,0)),FALSE),ROUND(D12+(E12-D12)*(1+G12)*((2-1)/(MaxLevel-1))^(2^F12),0),D12+(E12-D12)*(1+G12)*((2-1)/(MaxLevel-1))^(2^F12)))</f>
        <v/>
      </c>
      <c r="J12" s="12" t="str">
        <f>IF(OR(D12="",E12=""),"",IF(IFERROR(INDEX(Stats!$D:$D,MATCH($C12,Stats!$A:$A,0)),FALSE),ROUND(D12+(E12-D12)*(1+G12)*((3-1)/(MaxLevel-1))^(2^F12),0),D12+(E12-D12)*(1+G12)*((3-1)/(MaxLevel-1))^(2^F12)))</f>
        <v/>
      </c>
      <c r="K12" s="12" t="str">
        <f>IF(OR(D12="",E12=""),"",IF(IFERROR(INDEX(Stats!$D:$D,MATCH($C12,Stats!$A:$A,0)),FALSE),ROUND(D12+(E12-D12)*(1+G12)*((4-1)/(MaxLevel-1))^(2^F12),0),D12+(E12-D12)*(1+G12)*((4-1)/(MaxLevel-1))^(2^F12)))</f>
        <v/>
      </c>
      <c r="L12" s="12" t="str">
        <f>IF(OR(D12="",E12=""),"",IF(IFERROR(INDEX(Stats!$D:$D,MATCH($C12,Stats!$A:$A,0)),FALSE),ROUND(D12+(E12-D12)*(1+G12)*((5-1)/(MaxLevel-1))^(2^F12),0),D12+(E12-D12)*(1+G12)*((5-1)/(MaxLevel-1))^(2^F12)))</f>
        <v/>
      </c>
      <c r="M12" s="12" t="str">
        <f>IF(OR(D12="",E12=""),"",IF(IFERROR(INDEX(Stats!$D:$D,MATCH($C12,Stats!$A:$A,0)),FALSE),ROUND(D12+(E12-D12)*(1+G12)*((6-1)/(MaxLevel-1))^(2^F12),0),D12+(E12-D12)*(1+G12)*((6-1)/(MaxLevel-1))^(2^F12)))</f>
        <v/>
      </c>
      <c r="N12" s="12" t="str">
        <f>IF(OR(D12="",E12=""),"",IF(IFERROR(INDEX(Stats!$D:$D,MATCH($C12,Stats!$A:$A,0)),FALSE),ROUND(D12+(E12-D12)*(1+G12)*((7-1)/(MaxLevel-1))^(2^F12),0),D12+(E12-D12)*(1+G12)*((7-1)/(MaxLevel-1))^(2^F12)))</f>
        <v/>
      </c>
      <c r="O12" s="12" t="str">
        <f>IF(OR(D12="",E12=""),"",IF(IFERROR(INDEX(Stats!$D:$D,MATCH($C12,Stats!$A:$A,0)),FALSE),ROUND(D12+(E12-D12)*(1+G12)*((8-1)/(MaxLevel-1))^(2^F12),0),D12+(E12-D12)*(1+G12)*((8-1)/(MaxLevel-1))^(2^F12)))</f>
        <v/>
      </c>
      <c r="P12" s="12" t="str">
        <f>IF(OR(D12="",E12=""),"",IF(IFERROR(INDEX(Stats!$D:$D,MATCH($C12,Stats!$A:$A,0)),FALSE),ROUND(D12+(E12-D12)*(1+G12)*((9-1)/(MaxLevel-1))^(2^F12),0),D12+(E12-D12)*(1+G12)*((9-1)/(MaxLevel-1))^(2^F12)))</f>
        <v/>
      </c>
      <c r="Q12" s="12" t="str">
        <f>IF(OR(D12="",E12=""),"",IF(IFERROR(INDEX(Stats!$D:$D,MATCH($C12,Stats!$A:$A,0)),FALSE),ROUND(D12+(E12-D12)*(1+G12)*((10-1)/(MaxLevel-1))^(2^F12),0),D12+(E12-D12)*(1+G12)*((10-1)/(MaxLevel-1))^(2^F12)))</f>
        <v/>
      </c>
    </row>
    <row r="13" spans="1:17" x14ac:dyDescent="0.25">
      <c r="A13" s="4" t="s">
        <v>185</v>
      </c>
      <c r="B13" s="4" t="s">
        <v>186</v>
      </c>
      <c r="C13" s="4" t="s">
        <v>46</v>
      </c>
      <c r="D13" s="5"/>
      <c r="E13" s="5"/>
      <c r="F13" s="5"/>
      <c r="G13" s="5"/>
      <c r="H13" s="12" t="str">
        <f>IF(OR(D13="",E13=""),"",IF(IFERROR(INDEX(Stats!$D:$D,MATCH($C13,Stats!$A:$A,0)),FALSE),ROUND(D13+(E13-D13)*(1+G13)*((1-1)/(MaxLevel-1))^(2^F13),0),D13+(E13-D13)*(1+G13)*((1-1)/(MaxLevel-1))^(2^F13)))</f>
        <v/>
      </c>
      <c r="I13" s="12" t="str">
        <f>IF(OR(D13="",E13=""),"",IF(IFERROR(INDEX(Stats!$D:$D,MATCH($C13,Stats!$A:$A,0)),FALSE),ROUND(D13+(E13-D13)*(1+G13)*((2-1)/(MaxLevel-1))^(2^F13),0),D13+(E13-D13)*(1+G13)*((2-1)/(MaxLevel-1))^(2^F13)))</f>
        <v/>
      </c>
      <c r="J13" s="12" t="str">
        <f>IF(OR(D13="",E13=""),"",IF(IFERROR(INDEX(Stats!$D:$D,MATCH($C13,Stats!$A:$A,0)),FALSE),ROUND(D13+(E13-D13)*(1+G13)*((3-1)/(MaxLevel-1))^(2^F13),0),D13+(E13-D13)*(1+G13)*((3-1)/(MaxLevel-1))^(2^F13)))</f>
        <v/>
      </c>
      <c r="K13" s="12" t="str">
        <f>IF(OR(D13="",E13=""),"",IF(IFERROR(INDEX(Stats!$D:$D,MATCH($C13,Stats!$A:$A,0)),FALSE),ROUND(D13+(E13-D13)*(1+G13)*((4-1)/(MaxLevel-1))^(2^F13),0),D13+(E13-D13)*(1+G13)*((4-1)/(MaxLevel-1))^(2^F13)))</f>
        <v/>
      </c>
      <c r="L13" s="12" t="str">
        <f>IF(OR(D13="",E13=""),"",IF(IFERROR(INDEX(Stats!$D:$D,MATCH($C13,Stats!$A:$A,0)),FALSE),ROUND(D13+(E13-D13)*(1+G13)*((5-1)/(MaxLevel-1))^(2^F13),0),D13+(E13-D13)*(1+G13)*((5-1)/(MaxLevel-1))^(2^F13)))</f>
        <v/>
      </c>
      <c r="M13" s="12" t="str">
        <f>IF(OR(D13="",E13=""),"",IF(IFERROR(INDEX(Stats!$D:$D,MATCH($C13,Stats!$A:$A,0)),FALSE),ROUND(D13+(E13-D13)*(1+G13)*((6-1)/(MaxLevel-1))^(2^F13),0),D13+(E13-D13)*(1+G13)*((6-1)/(MaxLevel-1))^(2^F13)))</f>
        <v/>
      </c>
      <c r="N13" s="12" t="str">
        <f>IF(OR(D13="",E13=""),"",IF(IFERROR(INDEX(Stats!$D:$D,MATCH($C13,Stats!$A:$A,0)),FALSE),ROUND(D13+(E13-D13)*(1+G13)*((7-1)/(MaxLevel-1))^(2^F13),0),D13+(E13-D13)*(1+G13)*((7-1)/(MaxLevel-1))^(2^F13)))</f>
        <v/>
      </c>
      <c r="O13" s="12" t="str">
        <f>IF(OR(D13="",E13=""),"",IF(IFERROR(INDEX(Stats!$D:$D,MATCH($C13,Stats!$A:$A,0)),FALSE),ROUND(D13+(E13-D13)*(1+G13)*((8-1)/(MaxLevel-1))^(2^F13),0),D13+(E13-D13)*(1+G13)*((8-1)/(MaxLevel-1))^(2^F13)))</f>
        <v/>
      </c>
      <c r="P13" s="12" t="str">
        <f>IF(OR(D13="",E13=""),"",IF(IFERROR(INDEX(Stats!$D:$D,MATCH($C13,Stats!$A:$A,0)),FALSE),ROUND(D13+(E13-D13)*(1+G13)*((9-1)/(MaxLevel-1))^(2^F13),0),D13+(E13-D13)*(1+G13)*((9-1)/(MaxLevel-1))^(2^F13)))</f>
        <v/>
      </c>
      <c r="Q13" s="12" t="str">
        <f>IF(OR(D13="",E13=""),"",IF(IFERROR(INDEX(Stats!$D:$D,MATCH($C13,Stats!$A:$A,0)),FALSE),ROUND(D13+(E13-D13)*(1+G13)*((10-1)/(MaxLevel-1))^(2^F13),0),D13+(E13-D13)*(1+G13)*((10-1)/(MaxLevel-1))^(2^F13)))</f>
        <v/>
      </c>
    </row>
    <row r="14" spans="1:17" x14ac:dyDescent="0.25">
      <c r="A14" s="4" t="s">
        <v>185</v>
      </c>
      <c r="B14" s="4" t="s">
        <v>186</v>
      </c>
      <c r="C14" s="4" t="s">
        <v>48</v>
      </c>
      <c r="D14" s="5"/>
      <c r="E14" s="5"/>
      <c r="F14" s="5"/>
      <c r="G14" s="5"/>
      <c r="H14" s="12" t="str">
        <f>IF(OR(D14="",E14=""),"",IF(IFERROR(INDEX(Stats!$D:$D,MATCH($C14,Stats!$A:$A,0)),FALSE),ROUND(D14+(E14-D14)*(1+G14)*((1-1)/(MaxLevel-1))^(2^F14),0),D14+(E14-D14)*(1+G14)*((1-1)/(MaxLevel-1))^(2^F14)))</f>
        <v/>
      </c>
      <c r="I14" s="12" t="str">
        <f>IF(OR(D14="",E14=""),"",IF(IFERROR(INDEX(Stats!$D:$D,MATCH($C14,Stats!$A:$A,0)),FALSE),ROUND(D14+(E14-D14)*(1+G14)*((2-1)/(MaxLevel-1))^(2^F14),0),D14+(E14-D14)*(1+G14)*((2-1)/(MaxLevel-1))^(2^F14)))</f>
        <v/>
      </c>
      <c r="J14" s="12" t="str">
        <f>IF(OR(D14="",E14=""),"",IF(IFERROR(INDEX(Stats!$D:$D,MATCH($C14,Stats!$A:$A,0)),FALSE),ROUND(D14+(E14-D14)*(1+G14)*((3-1)/(MaxLevel-1))^(2^F14),0),D14+(E14-D14)*(1+G14)*((3-1)/(MaxLevel-1))^(2^F14)))</f>
        <v/>
      </c>
      <c r="K14" s="12" t="str">
        <f>IF(OR(D14="",E14=""),"",IF(IFERROR(INDEX(Stats!$D:$D,MATCH($C14,Stats!$A:$A,0)),FALSE),ROUND(D14+(E14-D14)*(1+G14)*((4-1)/(MaxLevel-1))^(2^F14),0),D14+(E14-D14)*(1+G14)*((4-1)/(MaxLevel-1))^(2^F14)))</f>
        <v/>
      </c>
      <c r="L14" s="12" t="str">
        <f>IF(OR(D14="",E14=""),"",IF(IFERROR(INDEX(Stats!$D:$D,MATCH($C14,Stats!$A:$A,0)),FALSE),ROUND(D14+(E14-D14)*(1+G14)*((5-1)/(MaxLevel-1))^(2^F14),0),D14+(E14-D14)*(1+G14)*((5-1)/(MaxLevel-1))^(2^F14)))</f>
        <v/>
      </c>
      <c r="M14" s="12" t="str">
        <f>IF(OR(D14="",E14=""),"",IF(IFERROR(INDEX(Stats!$D:$D,MATCH($C14,Stats!$A:$A,0)),FALSE),ROUND(D14+(E14-D14)*(1+G14)*((6-1)/(MaxLevel-1))^(2^F14),0),D14+(E14-D14)*(1+G14)*((6-1)/(MaxLevel-1))^(2^F14)))</f>
        <v/>
      </c>
      <c r="N14" s="12" t="str">
        <f>IF(OR(D14="",E14=""),"",IF(IFERROR(INDEX(Stats!$D:$D,MATCH($C14,Stats!$A:$A,0)),FALSE),ROUND(D14+(E14-D14)*(1+G14)*((7-1)/(MaxLevel-1))^(2^F14),0),D14+(E14-D14)*(1+G14)*((7-1)/(MaxLevel-1))^(2^F14)))</f>
        <v/>
      </c>
      <c r="O14" s="12" t="str">
        <f>IF(OR(D14="",E14=""),"",IF(IFERROR(INDEX(Stats!$D:$D,MATCH($C14,Stats!$A:$A,0)),FALSE),ROUND(D14+(E14-D14)*(1+G14)*((8-1)/(MaxLevel-1))^(2^F14),0),D14+(E14-D14)*(1+G14)*((8-1)/(MaxLevel-1))^(2^F14)))</f>
        <v/>
      </c>
      <c r="P14" s="12" t="str">
        <f>IF(OR(D14="",E14=""),"",IF(IFERROR(INDEX(Stats!$D:$D,MATCH($C14,Stats!$A:$A,0)),FALSE),ROUND(D14+(E14-D14)*(1+G14)*((9-1)/(MaxLevel-1))^(2^F14),0),D14+(E14-D14)*(1+G14)*((9-1)/(MaxLevel-1))^(2^F14)))</f>
        <v/>
      </c>
      <c r="Q14" s="12" t="str">
        <f>IF(OR(D14="",E14=""),"",IF(IFERROR(INDEX(Stats!$D:$D,MATCH($C14,Stats!$A:$A,0)),FALSE),ROUND(D14+(E14-D14)*(1+G14)*((10-1)/(MaxLevel-1))^(2^F14),0),D14+(E14-D14)*(1+G14)*((10-1)/(MaxLevel-1))^(2^F14)))</f>
        <v/>
      </c>
    </row>
    <row r="15" spans="1:17" x14ac:dyDescent="0.25">
      <c r="A15" s="4" t="s">
        <v>185</v>
      </c>
      <c r="B15" s="4" t="s">
        <v>186</v>
      </c>
      <c r="C15" s="4" t="s">
        <v>50</v>
      </c>
      <c r="D15" s="5"/>
      <c r="E15" s="5"/>
      <c r="F15" s="5"/>
      <c r="G15" s="5"/>
      <c r="H15" s="12" t="str">
        <f>IF(OR(D15="",E15=""),"",IF(IFERROR(INDEX(Stats!$D:$D,MATCH($C15,Stats!$A:$A,0)),FALSE),ROUND(D15+(E15-D15)*(1+G15)*((1-1)/(MaxLevel-1))^(2^F15),0),D15+(E15-D15)*(1+G15)*((1-1)/(MaxLevel-1))^(2^F15)))</f>
        <v/>
      </c>
      <c r="I15" s="12" t="str">
        <f>IF(OR(D15="",E15=""),"",IF(IFERROR(INDEX(Stats!$D:$D,MATCH($C15,Stats!$A:$A,0)),FALSE),ROUND(D15+(E15-D15)*(1+G15)*((2-1)/(MaxLevel-1))^(2^F15),0),D15+(E15-D15)*(1+G15)*((2-1)/(MaxLevel-1))^(2^F15)))</f>
        <v/>
      </c>
      <c r="J15" s="12" t="str">
        <f>IF(OR(D15="",E15=""),"",IF(IFERROR(INDEX(Stats!$D:$D,MATCH($C15,Stats!$A:$A,0)),FALSE),ROUND(D15+(E15-D15)*(1+G15)*((3-1)/(MaxLevel-1))^(2^F15),0),D15+(E15-D15)*(1+G15)*((3-1)/(MaxLevel-1))^(2^F15)))</f>
        <v/>
      </c>
      <c r="K15" s="12" t="str">
        <f>IF(OR(D15="",E15=""),"",IF(IFERROR(INDEX(Stats!$D:$D,MATCH($C15,Stats!$A:$A,0)),FALSE),ROUND(D15+(E15-D15)*(1+G15)*((4-1)/(MaxLevel-1))^(2^F15),0),D15+(E15-D15)*(1+G15)*((4-1)/(MaxLevel-1))^(2^F15)))</f>
        <v/>
      </c>
      <c r="L15" s="12" t="str">
        <f>IF(OR(D15="",E15=""),"",IF(IFERROR(INDEX(Stats!$D:$D,MATCH($C15,Stats!$A:$A,0)),FALSE),ROUND(D15+(E15-D15)*(1+G15)*((5-1)/(MaxLevel-1))^(2^F15),0),D15+(E15-D15)*(1+G15)*((5-1)/(MaxLevel-1))^(2^F15)))</f>
        <v/>
      </c>
      <c r="M15" s="12" t="str">
        <f>IF(OR(D15="",E15=""),"",IF(IFERROR(INDEX(Stats!$D:$D,MATCH($C15,Stats!$A:$A,0)),FALSE),ROUND(D15+(E15-D15)*(1+G15)*((6-1)/(MaxLevel-1))^(2^F15),0),D15+(E15-D15)*(1+G15)*((6-1)/(MaxLevel-1))^(2^F15)))</f>
        <v/>
      </c>
      <c r="N15" s="12" t="str">
        <f>IF(OR(D15="",E15=""),"",IF(IFERROR(INDEX(Stats!$D:$D,MATCH($C15,Stats!$A:$A,0)),FALSE),ROUND(D15+(E15-D15)*(1+G15)*((7-1)/(MaxLevel-1))^(2^F15),0),D15+(E15-D15)*(1+G15)*((7-1)/(MaxLevel-1))^(2^F15)))</f>
        <v/>
      </c>
      <c r="O15" s="12" t="str">
        <f>IF(OR(D15="",E15=""),"",IF(IFERROR(INDEX(Stats!$D:$D,MATCH($C15,Stats!$A:$A,0)),FALSE),ROUND(D15+(E15-D15)*(1+G15)*((8-1)/(MaxLevel-1))^(2^F15),0),D15+(E15-D15)*(1+G15)*((8-1)/(MaxLevel-1))^(2^F15)))</f>
        <v/>
      </c>
      <c r="P15" s="12" t="str">
        <f>IF(OR(D15="",E15=""),"",IF(IFERROR(INDEX(Stats!$D:$D,MATCH($C15,Stats!$A:$A,0)),FALSE),ROUND(D15+(E15-D15)*(1+G15)*((9-1)/(MaxLevel-1))^(2^F15),0),D15+(E15-D15)*(1+G15)*((9-1)/(MaxLevel-1))^(2^F15)))</f>
        <v/>
      </c>
      <c r="Q15" s="12" t="str">
        <f>IF(OR(D15="",E15=""),"",IF(IFERROR(INDEX(Stats!$D:$D,MATCH($C15,Stats!$A:$A,0)),FALSE),ROUND(D15+(E15-D15)*(1+G15)*((10-1)/(MaxLevel-1))^(2^F15),0),D15+(E15-D15)*(1+G15)*((10-1)/(MaxLevel-1))^(2^F15)))</f>
        <v/>
      </c>
    </row>
    <row r="16" spans="1:17" x14ac:dyDescent="0.25">
      <c r="A16" s="4" t="s">
        <v>185</v>
      </c>
      <c r="B16" s="4" t="s">
        <v>186</v>
      </c>
      <c r="C16" s="4" t="s">
        <v>52</v>
      </c>
      <c r="D16" s="5"/>
      <c r="E16" s="5"/>
      <c r="F16" s="5"/>
      <c r="G16" s="5"/>
      <c r="H16" s="12" t="str">
        <f>IF(OR(D16="",E16=""),"",IF(IFERROR(INDEX(Stats!$D:$D,MATCH($C16,Stats!$A:$A,0)),FALSE),ROUND(D16+(E16-D16)*(1+G16)*((1-1)/(MaxLevel-1))^(2^F16),0),D16+(E16-D16)*(1+G16)*((1-1)/(MaxLevel-1))^(2^F16)))</f>
        <v/>
      </c>
      <c r="I16" s="12" t="str">
        <f>IF(OR(D16="",E16=""),"",IF(IFERROR(INDEX(Stats!$D:$D,MATCH($C16,Stats!$A:$A,0)),FALSE),ROUND(D16+(E16-D16)*(1+G16)*((2-1)/(MaxLevel-1))^(2^F16),0),D16+(E16-D16)*(1+G16)*((2-1)/(MaxLevel-1))^(2^F16)))</f>
        <v/>
      </c>
      <c r="J16" s="12" t="str">
        <f>IF(OR(D16="",E16=""),"",IF(IFERROR(INDEX(Stats!$D:$D,MATCH($C16,Stats!$A:$A,0)),FALSE),ROUND(D16+(E16-D16)*(1+G16)*((3-1)/(MaxLevel-1))^(2^F16),0),D16+(E16-D16)*(1+G16)*((3-1)/(MaxLevel-1))^(2^F16)))</f>
        <v/>
      </c>
      <c r="K16" s="12" t="str">
        <f>IF(OR(D16="",E16=""),"",IF(IFERROR(INDEX(Stats!$D:$D,MATCH($C16,Stats!$A:$A,0)),FALSE),ROUND(D16+(E16-D16)*(1+G16)*((4-1)/(MaxLevel-1))^(2^F16),0),D16+(E16-D16)*(1+G16)*((4-1)/(MaxLevel-1))^(2^F16)))</f>
        <v/>
      </c>
      <c r="L16" s="12" t="str">
        <f>IF(OR(D16="",E16=""),"",IF(IFERROR(INDEX(Stats!$D:$D,MATCH($C16,Stats!$A:$A,0)),FALSE),ROUND(D16+(E16-D16)*(1+G16)*((5-1)/(MaxLevel-1))^(2^F16),0),D16+(E16-D16)*(1+G16)*((5-1)/(MaxLevel-1))^(2^F16)))</f>
        <v/>
      </c>
      <c r="M16" s="12" t="str">
        <f>IF(OR(D16="",E16=""),"",IF(IFERROR(INDEX(Stats!$D:$D,MATCH($C16,Stats!$A:$A,0)),FALSE),ROUND(D16+(E16-D16)*(1+G16)*((6-1)/(MaxLevel-1))^(2^F16),0),D16+(E16-D16)*(1+G16)*((6-1)/(MaxLevel-1))^(2^F16)))</f>
        <v/>
      </c>
      <c r="N16" s="12" t="str">
        <f>IF(OR(D16="",E16=""),"",IF(IFERROR(INDEX(Stats!$D:$D,MATCH($C16,Stats!$A:$A,0)),FALSE),ROUND(D16+(E16-D16)*(1+G16)*((7-1)/(MaxLevel-1))^(2^F16),0),D16+(E16-D16)*(1+G16)*((7-1)/(MaxLevel-1))^(2^F16)))</f>
        <v/>
      </c>
      <c r="O16" s="12" t="str">
        <f>IF(OR(D16="",E16=""),"",IF(IFERROR(INDEX(Stats!$D:$D,MATCH($C16,Stats!$A:$A,0)),FALSE),ROUND(D16+(E16-D16)*(1+G16)*((8-1)/(MaxLevel-1))^(2^F16),0),D16+(E16-D16)*(1+G16)*((8-1)/(MaxLevel-1))^(2^F16)))</f>
        <v/>
      </c>
      <c r="P16" s="12" t="str">
        <f>IF(OR(D16="",E16=""),"",IF(IFERROR(INDEX(Stats!$D:$D,MATCH($C16,Stats!$A:$A,0)),FALSE),ROUND(D16+(E16-D16)*(1+G16)*((9-1)/(MaxLevel-1))^(2^F16),0),D16+(E16-D16)*(1+G16)*((9-1)/(MaxLevel-1))^(2^F16)))</f>
        <v/>
      </c>
      <c r="Q16" s="12" t="str">
        <f>IF(OR(D16="",E16=""),"",IF(IFERROR(INDEX(Stats!$D:$D,MATCH($C16,Stats!$A:$A,0)),FALSE),ROUND(D16+(E16-D16)*(1+G16)*((10-1)/(MaxLevel-1))^(2^F16),0),D16+(E16-D16)*(1+G16)*((10-1)/(MaxLevel-1))^(2^F16)))</f>
        <v/>
      </c>
    </row>
    <row r="17" spans="1:17" x14ac:dyDescent="0.25">
      <c r="A17" s="4" t="s">
        <v>185</v>
      </c>
      <c r="B17" s="4" t="s">
        <v>186</v>
      </c>
      <c r="C17" s="4" t="s">
        <v>54</v>
      </c>
      <c r="D17" s="5"/>
      <c r="E17" s="5"/>
      <c r="F17" s="5"/>
      <c r="G17" s="5"/>
      <c r="H17" s="12" t="str">
        <f>IF(OR(D17="",E17=""),"",IF(IFERROR(INDEX(Stats!$D:$D,MATCH($C17,Stats!$A:$A,0)),FALSE),ROUND(D17+(E17-D17)*(1+G17)*((1-1)/(MaxLevel-1))^(2^F17),0),D17+(E17-D17)*(1+G17)*((1-1)/(MaxLevel-1))^(2^F17)))</f>
        <v/>
      </c>
      <c r="I17" s="12" t="str">
        <f>IF(OR(D17="",E17=""),"",IF(IFERROR(INDEX(Stats!$D:$D,MATCH($C17,Stats!$A:$A,0)),FALSE),ROUND(D17+(E17-D17)*(1+G17)*((2-1)/(MaxLevel-1))^(2^F17),0),D17+(E17-D17)*(1+G17)*((2-1)/(MaxLevel-1))^(2^F17)))</f>
        <v/>
      </c>
      <c r="J17" s="12" t="str">
        <f>IF(OR(D17="",E17=""),"",IF(IFERROR(INDEX(Stats!$D:$D,MATCH($C17,Stats!$A:$A,0)),FALSE),ROUND(D17+(E17-D17)*(1+G17)*((3-1)/(MaxLevel-1))^(2^F17),0),D17+(E17-D17)*(1+G17)*((3-1)/(MaxLevel-1))^(2^F17)))</f>
        <v/>
      </c>
      <c r="K17" s="12" t="str">
        <f>IF(OR(D17="",E17=""),"",IF(IFERROR(INDEX(Stats!$D:$D,MATCH($C17,Stats!$A:$A,0)),FALSE),ROUND(D17+(E17-D17)*(1+G17)*((4-1)/(MaxLevel-1))^(2^F17),0),D17+(E17-D17)*(1+G17)*((4-1)/(MaxLevel-1))^(2^F17)))</f>
        <v/>
      </c>
      <c r="L17" s="12" t="str">
        <f>IF(OR(D17="",E17=""),"",IF(IFERROR(INDEX(Stats!$D:$D,MATCH($C17,Stats!$A:$A,0)),FALSE),ROUND(D17+(E17-D17)*(1+G17)*((5-1)/(MaxLevel-1))^(2^F17),0),D17+(E17-D17)*(1+G17)*((5-1)/(MaxLevel-1))^(2^F17)))</f>
        <v/>
      </c>
      <c r="M17" s="12" t="str">
        <f>IF(OR(D17="",E17=""),"",IF(IFERROR(INDEX(Stats!$D:$D,MATCH($C17,Stats!$A:$A,0)),FALSE),ROUND(D17+(E17-D17)*(1+G17)*((6-1)/(MaxLevel-1))^(2^F17),0),D17+(E17-D17)*(1+G17)*((6-1)/(MaxLevel-1))^(2^F17)))</f>
        <v/>
      </c>
      <c r="N17" s="12" t="str">
        <f>IF(OR(D17="",E17=""),"",IF(IFERROR(INDEX(Stats!$D:$D,MATCH($C17,Stats!$A:$A,0)),FALSE),ROUND(D17+(E17-D17)*(1+G17)*((7-1)/(MaxLevel-1))^(2^F17),0),D17+(E17-D17)*(1+G17)*((7-1)/(MaxLevel-1))^(2^F17)))</f>
        <v/>
      </c>
      <c r="O17" s="12" t="str">
        <f>IF(OR(D17="",E17=""),"",IF(IFERROR(INDEX(Stats!$D:$D,MATCH($C17,Stats!$A:$A,0)),FALSE),ROUND(D17+(E17-D17)*(1+G17)*((8-1)/(MaxLevel-1))^(2^F17),0),D17+(E17-D17)*(1+G17)*((8-1)/(MaxLevel-1))^(2^F17)))</f>
        <v/>
      </c>
      <c r="P17" s="12" t="str">
        <f>IF(OR(D17="",E17=""),"",IF(IFERROR(INDEX(Stats!$D:$D,MATCH($C17,Stats!$A:$A,0)),FALSE),ROUND(D17+(E17-D17)*(1+G17)*((9-1)/(MaxLevel-1))^(2^F17),0),D17+(E17-D17)*(1+G17)*((9-1)/(MaxLevel-1))^(2^F17)))</f>
        <v/>
      </c>
      <c r="Q17" s="12" t="str">
        <f>IF(OR(D17="",E17=""),"",IF(IFERROR(INDEX(Stats!$D:$D,MATCH($C17,Stats!$A:$A,0)),FALSE),ROUND(D17+(E17-D17)*(1+G17)*((10-1)/(MaxLevel-1))^(2^F17),0),D17+(E17-D17)*(1+G17)*((10-1)/(MaxLevel-1))^(2^F17)))</f>
        <v/>
      </c>
    </row>
    <row r="18" spans="1:17" x14ac:dyDescent="0.25">
      <c r="A18" s="4" t="s">
        <v>185</v>
      </c>
      <c r="B18" s="4" t="s">
        <v>186</v>
      </c>
      <c r="C18" s="4" t="s">
        <v>56</v>
      </c>
      <c r="D18" s="5"/>
      <c r="E18" s="5"/>
      <c r="F18" s="5"/>
      <c r="G18" s="5"/>
      <c r="H18" s="12" t="str">
        <f>IF(OR(D18="",E18=""),"",IF(IFERROR(INDEX(Stats!$D:$D,MATCH($C18,Stats!$A:$A,0)),FALSE),ROUND(D18+(E18-D18)*(1+G18)*((1-1)/(MaxLevel-1))^(2^F18),0),D18+(E18-D18)*(1+G18)*((1-1)/(MaxLevel-1))^(2^F18)))</f>
        <v/>
      </c>
      <c r="I18" s="12" t="str">
        <f>IF(OR(D18="",E18=""),"",IF(IFERROR(INDEX(Stats!$D:$D,MATCH($C18,Stats!$A:$A,0)),FALSE),ROUND(D18+(E18-D18)*(1+G18)*((2-1)/(MaxLevel-1))^(2^F18),0),D18+(E18-D18)*(1+G18)*((2-1)/(MaxLevel-1))^(2^F18)))</f>
        <v/>
      </c>
      <c r="J18" s="12" t="str">
        <f>IF(OR(D18="",E18=""),"",IF(IFERROR(INDEX(Stats!$D:$D,MATCH($C18,Stats!$A:$A,0)),FALSE),ROUND(D18+(E18-D18)*(1+G18)*((3-1)/(MaxLevel-1))^(2^F18),0),D18+(E18-D18)*(1+G18)*((3-1)/(MaxLevel-1))^(2^F18)))</f>
        <v/>
      </c>
      <c r="K18" s="12" t="str">
        <f>IF(OR(D18="",E18=""),"",IF(IFERROR(INDEX(Stats!$D:$D,MATCH($C18,Stats!$A:$A,0)),FALSE),ROUND(D18+(E18-D18)*(1+G18)*((4-1)/(MaxLevel-1))^(2^F18),0),D18+(E18-D18)*(1+G18)*((4-1)/(MaxLevel-1))^(2^F18)))</f>
        <v/>
      </c>
      <c r="L18" s="12" t="str">
        <f>IF(OR(D18="",E18=""),"",IF(IFERROR(INDEX(Stats!$D:$D,MATCH($C18,Stats!$A:$A,0)),FALSE),ROUND(D18+(E18-D18)*(1+G18)*((5-1)/(MaxLevel-1))^(2^F18),0),D18+(E18-D18)*(1+G18)*((5-1)/(MaxLevel-1))^(2^F18)))</f>
        <v/>
      </c>
      <c r="M18" s="12" t="str">
        <f>IF(OR(D18="",E18=""),"",IF(IFERROR(INDEX(Stats!$D:$D,MATCH($C18,Stats!$A:$A,0)),FALSE),ROUND(D18+(E18-D18)*(1+G18)*((6-1)/(MaxLevel-1))^(2^F18),0),D18+(E18-D18)*(1+G18)*((6-1)/(MaxLevel-1))^(2^F18)))</f>
        <v/>
      </c>
      <c r="N18" s="12" t="str">
        <f>IF(OR(D18="",E18=""),"",IF(IFERROR(INDEX(Stats!$D:$D,MATCH($C18,Stats!$A:$A,0)),FALSE),ROUND(D18+(E18-D18)*(1+G18)*((7-1)/(MaxLevel-1))^(2^F18),0),D18+(E18-D18)*(1+G18)*((7-1)/(MaxLevel-1))^(2^F18)))</f>
        <v/>
      </c>
      <c r="O18" s="12" t="str">
        <f>IF(OR(D18="",E18=""),"",IF(IFERROR(INDEX(Stats!$D:$D,MATCH($C18,Stats!$A:$A,0)),FALSE),ROUND(D18+(E18-D18)*(1+G18)*((8-1)/(MaxLevel-1))^(2^F18),0),D18+(E18-D18)*(1+G18)*((8-1)/(MaxLevel-1))^(2^F18)))</f>
        <v/>
      </c>
      <c r="P18" s="12" t="str">
        <f>IF(OR(D18="",E18=""),"",IF(IFERROR(INDEX(Stats!$D:$D,MATCH($C18,Stats!$A:$A,0)),FALSE),ROUND(D18+(E18-D18)*(1+G18)*((9-1)/(MaxLevel-1))^(2^F18),0),D18+(E18-D18)*(1+G18)*((9-1)/(MaxLevel-1))^(2^F18)))</f>
        <v/>
      </c>
      <c r="Q18" s="12" t="str">
        <f>IF(OR(D18="",E18=""),"",IF(IFERROR(INDEX(Stats!$D:$D,MATCH($C18,Stats!$A:$A,0)),FALSE),ROUND(D18+(E18-D18)*(1+G18)*((10-1)/(MaxLevel-1))^(2^F18),0),D18+(E18-D18)*(1+G18)*((10-1)/(MaxLevel-1))^(2^F18)))</f>
        <v/>
      </c>
    </row>
    <row r="19" spans="1:17" x14ac:dyDescent="0.25">
      <c r="A19" s="4" t="s">
        <v>185</v>
      </c>
      <c r="B19" s="4" t="s">
        <v>186</v>
      </c>
      <c r="C19" s="4" t="s">
        <v>58</v>
      </c>
      <c r="D19" s="5"/>
      <c r="E19" s="5"/>
      <c r="F19" s="5"/>
      <c r="G19" s="5"/>
      <c r="H19" s="12" t="str">
        <f>IF(OR(D19="",E19=""),"",IF(IFERROR(INDEX(Stats!$D:$D,MATCH($C19,Stats!$A:$A,0)),FALSE),ROUND(D19+(E19-D19)*(1+G19)*((1-1)/(MaxLevel-1))^(2^F19),0),D19+(E19-D19)*(1+G19)*((1-1)/(MaxLevel-1))^(2^F19)))</f>
        <v/>
      </c>
      <c r="I19" s="12" t="str">
        <f>IF(OR(D19="",E19=""),"",IF(IFERROR(INDEX(Stats!$D:$D,MATCH($C19,Stats!$A:$A,0)),FALSE),ROUND(D19+(E19-D19)*(1+G19)*((2-1)/(MaxLevel-1))^(2^F19),0),D19+(E19-D19)*(1+G19)*((2-1)/(MaxLevel-1))^(2^F19)))</f>
        <v/>
      </c>
      <c r="J19" s="12" t="str">
        <f>IF(OR(D19="",E19=""),"",IF(IFERROR(INDEX(Stats!$D:$D,MATCH($C19,Stats!$A:$A,0)),FALSE),ROUND(D19+(E19-D19)*(1+G19)*((3-1)/(MaxLevel-1))^(2^F19),0),D19+(E19-D19)*(1+G19)*((3-1)/(MaxLevel-1))^(2^F19)))</f>
        <v/>
      </c>
      <c r="K19" s="12" t="str">
        <f>IF(OR(D19="",E19=""),"",IF(IFERROR(INDEX(Stats!$D:$D,MATCH($C19,Stats!$A:$A,0)),FALSE),ROUND(D19+(E19-D19)*(1+G19)*((4-1)/(MaxLevel-1))^(2^F19),0),D19+(E19-D19)*(1+G19)*((4-1)/(MaxLevel-1))^(2^F19)))</f>
        <v/>
      </c>
      <c r="L19" s="12" t="str">
        <f>IF(OR(D19="",E19=""),"",IF(IFERROR(INDEX(Stats!$D:$D,MATCH($C19,Stats!$A:$A,0)),FALSE),ROUND(D19+(E19-D19)*(1+G19)*((5-1)/(MaxLevel-1))^(2^F19),0),D19+(E19-D19)*(1+G19)*((5-1)/(MaxLevel-1))^(2^F19)))</f>
        <v/>
      </c>
      <c r="M19" s="12" t="str">
        <f>IF(OR(D19="",E19=""),"",IF(IFERROR(INDEX(Stats!$D:$D,MATCH($C19,Stats!$A:$A,0)),FALSE),ROUND(D19+(E19-D19)*(1+G19)*((6-1)/(MaxLevel-1))^(2^F19),0),D19+(E19-D19)*(1+G19)*((6-1)/(MaxLevel-1))^(2^F19)))</f>
        <v/>
      </c>
      <c r="N19" s="12" t="str">
        <f>IF(OR(D19="",E19=""),"",IF(IFERROR(INDEX(Stats!$D:$D,MATCH($C19,Stats!$A:$A,0)),FALSE),ROUND(D19+(E19-D19)*(1+G19)*((7-1)/(MaxLevel-1))^(2^F19),0),D19+(E19-D19)*(1+G19)*((7-1)/(MaxLevel-1))^(2^F19)))</f>
        <v/>
      </c>
      <c r="O19" s="12" t="str">
        <f>IF(OR(D19="",E19=""),"",IF(IFERROR(INDEX(Stats!$D:$D,MATCH($C19,Stats!$A:$A,0)),FALSE),ROUND(D19+(E19-D19)*(1+G19)*((8-1)/(MaxLevel-1))^(2^F19),0),D19+(E19-D19)*(1+G19)*((8-1)/(MaxLevel-1))^(2^F19)))</f>
        <v/>
      </c>
      <c r="P19" s="12" t="str">
        <f>IF(OR(D19="",E19=""),"",IF(IFERROR(INDEX(Stats!$D:$D,MATCH($C19,Stats!$A:$A,0)),FALSE),ROUND(D19+(E19-D19)*(1+G19)*((9-1)/(MaxLevel-1))^(2^F19),0),D19+(E19-D19)*(1+G19)*((9-1)/(MaxLevel-1))^(2^F19)))</f>
        <v/>
      </c>
      <c r="Q19" s="12" t="str">
        <f>IF(OR(D19="",E19=""),"",IF(IFERROR(INDEX(Stats!$D:$D,MATCH($C19,Stats!$A:$A,0)),FALSE),ROUND(D19+(E19-D19)*(1+G19)*((10-1)/(MaxLevel-1))^(2^F19),0),D19+(E19-D19)*(1+G19)*((10-1)/(MaxLevel-1))^(2^F19)))</f>
        <v/>
      </c>
    </row>
    <row r="20" spans="1:17" x14ac:dyDescent="0.25">
      <c r="A20" s="4" t="s">
        <v>185</v>
      </c>
      <c r="B20" s="4" t="s">
        <v>186</v>
      </c>
      <c r="C20" s="4" t="s">
        <v>60</v>
      </c>
      <c r="D20" s="5">
        <v>0.3</v>
      </c>
      <c r="E20" s="5">
        <v>0.1</v>
      </c>
      <c r="F20" s="5">
        <v>0</v>
      </c>
      <c r="G20" s="5">
        <v>0</v>
      </c>
      <c r="H20" s="12">
        <f>IF(OR(D20="",E20=""),"",IF(IFERROR(INDEX(Stats!$D:$D,MATCH($C20,Stats!$A:$A,0)),FALSE),ROUND(D20+(E20-D20)*(1+G20)*((1-1)/(MaxLevel-1))^(2^F20),0),D20+(E20-D20)*(1+G20)*((1-1)/(MaxLevel-1))^(2^F20)))</f>
        <v>0.3</v>
      </c>
      <c r="I20" s="12">
        <f>IF(OR(D20="",E20=""),"",IF(IFERROR(INDEX(Stats!$D:$D,MATCH($C20,Stats!$A:$A,0)),FALSE),ROUND(D20+(E20-D20)*(1+G20)*((2-1)/(MaxLevel-1))^(2^F20),0),D20+(E20-D20)*(1+G20)*((2-1)/(MaxLevel-1))^(2^F20)))</f>
        <v>0.27777777777777779</v>
      </c>
      <c r="J20" s="12">
        <f>IF(OR(D20="",E20=""),"",IF(IFERROR(INDEX(Stats!$D:$D,MATCH($C20,Stats!$A:$A,0)),FALSE),ROUND(D20+(E20-D20)*(1+G20)*((3-1)/(MaxLevel-1))^(2^F20),0),D20+(E20-D20)*(1+G20)*((3-1)/(MaxLevel-1))^(2^F20)))</f>
        <v>0.25555555555555554</v>
      </c>
      <c r="K20" s="12">
        <f>IF(OR(D20="",E20=""),"",IF(IFERROR(INDEX(Stats!$D:$D,MATCH($C20,Stats!$A:$A,0)),FALSE),ROUND(D20+(E20-D20)*(1+G20)*((4-1)/(MaxLevel-1))^(2^F20),0),D20+(E20-D20)*(1+G20)*((4-1)/(MaxLevel-1))^(2^F20)))</f>
        <v>0.23333333333333334</v>
      </c>
      <c r="L20" s="12">
        <f>IF(OR(D20="",E20=""),"",IF(IFERROR(INDEX(Stats!$D:$D,MATCH($C20,Stats!$A:$A,0)),FALSE),ROUND(D20+(E20-D20)*(1+G20)*((5-1)/(MaxLevel-1))^(2^F20),0),D20+(E20-D20)*(1+G20)*((5-1)/(MaxLevel-1))^(2^F20)))</f>
        <v>0.21111111111111111</v>
      </c>
      <c r="M20" s="12">
        <f>IF(OR(D20="",E20=""),"",IF(IFERROR(INDEX(Stats!$D:$D,MATCH($C20,Stats!$A:$A,0)),FALSE),ROUND(D20+(E20-D20)*(1+G20)*((6-1)/(MaxLevel-1))^(2^F20),0),D20+(E20-D20)*(1+G20)*((6-1)/(MaxLevel-1))^(2^F20)))</f>
        <v>0.18888888888888888</v>
      </c>
      <c r="N20" s="12">
        <f>IF(OR(D20="",E20=""),"",IF(IFERROR(INDEX(Stats!$D:$D,MATCH($C20,Stats!$A:$A,0)),FALSE),ROUND(D20+(E20-D20)*(1+G20)*((7-1)/(MaxLevel-1))^(2^F20),0),D20+(E20-D20)*(1+G20)*((7-1)/(MaxLevel-1))^(2^F20)))</f>
        <v>0.16666666666666669</v>
      </c>
      <c r="O20" s="12">
        <f>IF(OR(D20="",E20=""),"",IF(IFERROR(INDEX(Stats!$D:$D,MATCH($C20,Stats!$A:$A,0)),FALSE),ROUND(D20+(E20-D20)*(1+G20)*((8-1)/(MaxLevel-1))^(2^F20),0),D20+(E20-D20)*(1+G20)*((8-1)/(MaxLevel-1))^(2^F20)))</f>
        <v>0.14444444444444443</v>
      </c>
      <c r="P20" s="12">
        <f>IF(OR(D20="",E20=""),"",IF(IFERROR(INDEX(Stats!$D:$D,MATCH($C20,Stats!$A:$A,0)),FALSE),ROUND(D20+(E20-D20)*(1+G20)*((9-1)/(MaxLevel-1))^(2^F20),0),D20+(E20-D20)*(1+G20)*((9-1)/(MaxLevel-1))^(2^F20)))</f>
        <v>0.12222222222222223</v>
      </c>
      <c r="Q20" s="12">
        <f>IF(OR(D20="",E20=""),"",IF(IFERROR(INDEX(Stats!$D:$D,MATCH($C20,Stats!$A:$A,0)),FALSE),ROUND(D20+(E20-D20)*(1+G20)*((10-1)/(MaxLevel-1))^(2^F20),0),D20+(E20-D20)*(1+G20)*((10-1)/(MaxLevel-1))^(2^F20)))</f>
        <v>0.1</v>
      </c>
    </row>
    <row r="21" spans="1:17" x14ac:dyDescent="0.25">
      <c r="A21" s="4" t="s">
        <v>185</v>
      </c>
      <c r="B21" s="19" t="s">
        <v>218</v>
      </c>
      <c r="C21" s="4" t="s">
        <v>24</v>
      </c>
      <c r="D21" s="5">
        <v>0</v>
      </c>
      <c r="E21" s="5">
        <v>20000</v>
      </c>
      <c r="F21" s="5">
        <v>1</v>
      </c>
      <c r="G21" s="5">
        <v>0</v>
      </c>
      <c r="H21" s="12">
        <f>IF(OR(D21="",E21=""),"",IF(IFERROR(INDEX(Stats!$D:$D,MATCH($C21,Stats!$A:$A,0)),FALSE),ROUND(D21+(E21-D21)*(1+G21)*((1-1)/(MaxLevel-1))^(2^F21),0),D21+(E21-D21)*(1+G21)*((1-1)/(MaxLevel-1))^(2^F21)))</f>
        <v>0</v>
      </c>
      <c r="I21" s="12">
        <f>IF(OR(D21="",E21=""),"",IF(IFERROR(INDEX(Stats!$D:$D,MATCH($C21,Stats!$A:$A,0)),FALSE),ROUND(D21+(E21-D21)*(1+G21)*((2-1)/(MaxLevel-1))^(2^F21),0),D21+(E21-D21)*(1+G21)*((2-1)/(MaxLevel-1))^(2^F21)))</f>
        <v>247</v>
      </c>
      <c r="J21" s="12">
        <f>IF(OR(D21="",E21=""),"",IF(IFERROR(INDEX(Stats!$D:$D,MATCH($C21,Stats!$A:$A,0)),FALSE),ROUND(D21+(E21-D21)*(1+G21)*((3-1)/(MaxLevel-1))^(2^F21),0),D21+(E21-D21)*(1+G21)*((3-1)/(MaxLevel-1))^(2^F21)))</f>
        <v>988</v>
      </c>
      <c r="K21" s="12">
        <f>IF(OR(D21="",E21=""),"",IF(IFERROR(INDEX(Stats!$D:$D,MATCH($C21,Stats!$A:$A,0)),FALSE),ROUND(D21+(E21-D21)*(1+G21)*((4-1)/(MaxLevel-1))^(2^F21),0),D21+(E21-D21)*(1+G21)*((4-1)/(MaxLevel-1))^(2^F21)))</f>
        <v>2222</v>
      </c>
      <c r="L21" s="12">
        <f>IF(OR(D21="",E21=""),"",IF(IFERROR(INDEX(Stats!$D:$D,MATCH($C21,Stats!$A:$A,0)),FALSE),ROUND(D21+(E21-D21)*(1+G21)*((5-1)/(MaxLevel-1))^(2^F21),0),D21+(E21-D21)*(1+G21)*((5-1)/(MaxLevel-1))^(2^F21)))</f>
        <v>3951</v>
      </c>
      <c r="M21" s="12">
        <f>IF(OR(D21="",E21=""),"",IF(IFERROR(INDEX(Stats!$D:$D,MATCH($C21,Stats!$A:$A,0)),FALSE),ROUND(D21+(E21-D21)*(1+G21)*((6-1)/(MaxLevel-1))^(2^F21),0),D21+(E21-D21)*(1+G21)*((6-1)/(MaxLevel-1))^(2^F21)))</f>
        <v>6173</v>
      </c>
      <c r="N21" s="12">
        <f>IF(OR(D21="",E21=""),"",IF(IFERROR(INDEX(Stats!$D:$D,MATCH($C21,Stats!$A:$A,0)),FALSE),ROUND(D21+(E21-D21)*(1+G21)*((7-1)/(MaxLevel-1))^(2^F21),0),D21+(E21-D21)*(1+G21)*((7-1)/(MaxLevel-1))^(2^F21)))</f>
        <v>8889</v>
      </c>
      <c r="O21" s="12">
        <f>IF(OR(D21="",E21=""),"",IF(IFERROR(INDEX(Stats!$D:$D,MATCH($C21,Stats!$A:$A,0)),FALSE),ROUND(D21+(E21-D21)*(1+G21)*((8-1)/(MaxLevel-1))^(2^F21),0),D21+(E21-D21)*(1+G21)*((8-1)/(MaxLevel-1))^(2^F21)))</f>
        <v>12099</v>
      </c>
      <c r="P21" s="12">
        <f>IF(OR(D21="",E21=""),"",IF(IFERROR(INDEX(Stats!$D:$D,MATCH($C21,Stats!$A:$A,0)),FALSE),ROUND(D21+(E21-D21)*(1+G21)*((9-1)/(MaxLevel-1))^(2^F21),0),D21+(E21-D21)*(1+G21)*((9-1)/(MaxLevel-1))^(2^F21)))</f>
        <v>15802</v>
      </c>
      <c r="Q21" s="12">
        <f>IF(OR(D21="",E21=""),"",IF(IFERROR(INDEX(Stats!$D:$D,MATCH($C21,Stats!$A:$A,0)),FALSE),ROUND(D21+(E21-D21)*(1+G21)*((10-1)/(MaxLevel-1))^(2^F21),0),D21+(E21-D21)*(1+G21)*((10-1)/(MaxLevel-1))^(2^F21)))</f>
        <v>20000</v>
      </c>
    </row>
    <row r="22" spans="1:17" x14ac:dyDescent="0.25">
      <c r="A22" s="4" t="s">
        <v>185</v>
      </c>
      <c r="B22" s="19" t="s">
        <v>218</v>
      </c>
      <c r="C22" s="4" t="s">
        <v>26</v>
      </c>
      <c r="D22" s="5">
        <v>50</v>
      </c>
      <c r="E22" s="5">
        <v>300</v>
      </c>
      <c r="F22" s="5">
        <v>0</v>
      </c>
      <c r="G22" s="5">
        <v>0</v>
      </c>
      <c r="H22" s="12">
        <f>IF(OR(D22="",E22=""),"",IF(IFERROR(INDEX(Stats!$D:$D,MATCH($C22,Stats!$A:$A,0)),FALSE),ROUND(D22+(E22-D22)*(1+G22)*((1-1)/(MaxLevel-1))^(2^F22),0),D22+(E22-D22)*(1+G22)*((1-1)/(MaxLevel-1))^(2^F22)))</f>
        <v>50</v>
      </c>
      <c r="I22" s="12">
        <f>IF(OR(D22="",E22=""),"",IF(IFERROR(INDEX(Stats!$D:$D,MATCH($C22,Stats!$A:$A,0)),FALSE),ROUND(D22+(E22-D22)*(1+G22)*((2-1)/(MaxLevel-1))^(2^F22),0),D22+(E22-D22)*(1+G22)*((2-1)/(MaxLevel-1))^(2^F22)))</f>
        <v>78</v>
      </c>
      <c r="J22" s="12">
        <f>IF(OR(D22="",E22=""),"",IF(IFERROR(INDEX(Stats!$D:$D,MATCH($C22,Stats!$A:$A,0)),FALSE),ROUND(D22+(E22-D22)*(1+G22)*((3-1)/(MaxLevel-1))^(2^F22),0),D22+(E22-D22)*(1+G22)*((3-1)/(MaxLevel-1))^(2^F22)))</f>
        <v>106</v>
      </c>
      <c r="K22" s="12">
        <f>IF(OR(D22="",E22=""),"",IF(IFERROR(INDEX(Stats!$D:$D,MATCH($C22,Stats!$A:$A,0)),FALSE),ROUND(D22+(E22-D22)*(1+G22)*((4-1)/(MaxLevel-1))^(2^F22),0),D22+(E22-D22)*(1+G22)*((4-1)/(MaxLevel-1))^(2^F22)))</f>
        <v>133</v>
      </c>
      <c r="L22" s="12">
        <f>IF(OR(D22="",E22=""),"",IF(IFERROR(INDEX(Stats!$D:$D,MATCH($C22,Stats!$A:$A,0)),FALSE),ROUND(D22+(E22-D22)*(1+G22)*((5-1)/(MaxLevel-1))^(2^F22),0),D22+(E22-D22)*(1+G22)*((5-1)/(MaxLevel-1))^(2^F22)))</f>
        <v>161</v>
      </c>
      <c r="M22" s="12">
        <f>IF(OR(D22="",E22=""),"",IF(IFERROR(INDEX(Stats!$D:$D,MATCH($C22,Stats!$A:$A,0)),FALSE),ROUND(D22+(E22-D22)*(1+G22)*((6-1)/(MaxLevel-1))^(2^F22),0),D22+(E22-D22)*(1+G22)*((6-1)/(MaxLevel-1))^(2^F22)))</f>
        <v>189</v>
      </c>
      <c r="N22" s="12">
        <f>IF(OR(D22="",E22=""),"",IF(IFERROR(INDEX(Stats!$D:$D,MATCH($C22,Stats!$A:$A,0)),FALSE),ROUND(D22+(E22-D22)*(1+G22)*((7-1)/(MaxLevel-1))^(2^F22),0),D22+(E22-D22)*(1+G22)*((7-1)/(MaxLevel-1))^(2^F22)))</f>
        <v>217</v>
      </c>
      <c r="O22" s="12">
        <f>IF(OR(D22="",E22=""),"",IF(IFERROR(INDEX(Stats!$D:$D,MATCH($C22,Stats!$A:$A,0)),FALSE),ROUND(D22+(E22-D22)*(1+G22)*((8-1)/(MaxLevel-1))^(2^F22),0),D22+(E22-D22)*(1+G22)*((8-1)/(MaxLevel-1))^(2^F22)))</f>
        <v>244</v>
      </c>
      <c r="P22" s="12">
        <f>IF(OR(D22="",E22=""),"",IF(IFERROR(INDEX(Stats!$D:$D,MATCH($C22,Stats!$A:$A,0)),FALSE),ROUND(D22+(E22-D22)*(1+G22)*((9-1)/(MaxLevel-1))^(2^F22),0),D22+(E22-D22)*(1+G22)*((9-1)/(MaxLevel-1))^(2^F22)))</f>
        <v>272</v>
      </c>
      <c r="Q22" s="12">
        <f>IF(OR(D22="",E22=""),"",IF(IFERROR(INDEX(Stats!$D:$D,MATCH($C22,Stats!$A:$A,0)),FALSE),ROUND(D22+(E22-D22)*(1+G22)*((10-1)/(MaxLevel-1))^(2^F22),0),D22+(E22-D22)*(1+G22)*((10-1)/(MaxLevel-1))^(2^F22)))</f>
        <v>300</v>
      </c>
    </row>
    <row r="23" spans="1:17" x14ac:dyDescent="0.25">
      <c r="A23" s="4" t="s">
        <v>185</v>
      </c>
      <c r="B23" s="19" t="s">
        <v>218</v>
      </c>
      <c r="C23" s="4" t="s">
        <v>28</v>
      </c>
      <c r="D23" s="5">
        <v>400</v>
      </c>
      <c r="E23" s="5">
        <v>1600</v>
      </c>
      <c r="F23" s="5">
        <v>0</v>
      </c>
      <c r="G23" s="5">
        <v>0</v>
      </c>
      <c r="H23" s="12">
        <f>IF(OR(D23="",E23=""),"",IF(IFERROR(INDEX(Stats!$D:$D,MATCH($C23,Stats!$A:$A,0)),FALSE),ROUND(D23+(E23-D23)*(1+G23)*((1-1)/(MaxLevel-1))^(2^F23),0),D23+(E23-D23)*(1+G23)*((1-1)/(MaxLevel-1))^(2^F23)))</f>
        <v>400</v>
      </c>
      <c r="I23" s="12">
        <f>IF(OR(D23="",E23=""),"",IF(IFERROR(INDEX(Stats!$D:$D,MATCH($C23,Stats!$A:$A,0)),FALSE),ROUND(D23+(E23-D23)*(1+G23)*((2-1)/(MaxLevel-1))^(2^F23),0),D23+(E23-D23)*(1+G23)*((2-1)/(MaxLevel-1))^(2^F23)))</f>
        <v>533</v>
      </c>
      <c r="J23" s="12">
        <f>IF(OR(D23="",E23=""),"",IF(IFERROR(INDEX(Stats!$D:$D,MATCH($C23,Stats!$A:$A,0)),FALSE),ROUND(D23+(E23-D23)*(1+G23)*((3-1)/(MaxLevel-1))^(2^F23),0),D23+(E23-D23)*(1+G23)*((3-1)/(MaxLevel-1))^(2^F23)))</f>
        <v>667</v>
      </c>
      <c r="K23" s="12">
        <f>IF(OR(D23="",E23=""),"",IF(IFERROR(INDEX(Stats!$D:$D,MATCH($C23,Stats!$A:$A,0)),FALSE),ROUND(D23+(E23-D23)*(1+G23)*((4-1)/(MaxLevel-1))^(2^F23),0),D23+(E23-D23)*(1+G23)*((4-1)/(MaxLevel-1))^(2^F23)))</f>
        <v>800</v>
      </c>
      <c r="L23" s="12">
        <f>IF(OR(D23="",E23=""),"",IF(IFERROR(INDEX(Stats!$D:$D,MATCH($C23,Stats!$A:$A,0)),FALSE),ROUND(D23+(E23-D23)*(1+G23)*((5-1)/(MaxLevel-1))^(2^F23),0),D23+(E23-D23)*(1+G23)*((5-1)/(MaxLevel-1))^(2^F23)))</f>
        <v>933</v>
      </c>
      <c r="M23" s="12">
        <f>IF(OR(D23="",E23=""),"",IF(IFERROR(INDEX(Stats!$D:$D,MATCH($C23,Stats!$A:$A,0)),FALSE),ROUND(D23+(E23-D23)*(1+G23)*((6-1)/(MaxLevel-1))^(2^F23),0),D23+(E23-D23)*(1+G23)*((6-1)/(MaxLevel-1))^(2^F23)))</f>
        <v>1067</v>
      </c>
      <c r="N23" s="12">
        <f>IF(OR(D23="",E23=""),"",IF(IFERROR(INDEX(Stats!$D:$D,MATCH($C23,Stats!$A:$A,0)),FALSE),ROUND(D23+(E23-D23)*(1+G23)*((7-1)/(MaxLevel-1))^(2^F23),0),D23+(E23-D23)*(1+G23)*((7-1)/(MaxLevel-1))^(2^F23)))</f>
        <v>1200</v>
      </c>
      <c r="O23" s="12">
        <f>IF(OR(D23="",E23=""),"",IF(IFERROR(INDEX(Stats!$D:$D,MATCH($C23,Stats!$A:$A,0)),FALSE),ROUND(D23+(E23-D23)*(1+G23)*((8-1)/(MaxLevel-1))^(2^F23),0),D23+(E23-D23)*(1+G23)*((8-1)/(MaxLevel-1))^(2^F23)))</f>
        <v>1333</v>
      </c>
      <c r="P23" s="12">
        <f>IF(OR(D23="",E23=""),"",IF(IFERROR(INDEX(Stats!$D:$D,MATCH($C23,Stats!$A:$A,0)),FALSE),ROUND(D23+(E23-D23)*(1+G23)*((9-1)/(MaxLevel-1))^(2^F23),0),D23+(E23-D23)*(1+G23)*((9-1)/(MaxLevel-1))^(2^F23)))</f>
        <v>1467</v>
      </c>
      <c r="Q23" s="12">
        <f>IF(OR(D23="",E23=""),"",IF(IFERROR(INDEX(Stats!$D:$D,MATCH($C23,Stats!$A:$A,0)),FALSE),ROUND(D23+(E23-D23)*(1+G23)*((10-1)/(MaxLevel-1))^(2^F23),0),D23+(E23-D23)*(1+G23)*((10-1)/(MaxLevel-1))^(2^F23)))</f>
        <v>1600</v>
      </c>
    </row>
    <row r="24" spans="1:17" x14ac:dyDescent="0.25">
      <c r="A24" s="4" t="s">
        <v>185</v>
      </c>
      <c r="B24" s="19" t="s">
        <v>218</v>
      </c>
      <c r="C24" s="4" t="s">
        <v>30</v>
      </c>
      <c r="D24" s="5">
        <v>30</v>
      </c>
      <c r="E24" s="5">
        <v>120</v>
      </c>
      <c r="F24" s="5">
        <v>0</v>
      </c>
      <c r="G24" s="5">
        <v>0</v>
      </c>
      <c r="H24" s="12">
        <f>IF(OR(D24="",E24=""),"",IF(IFERROR(INDEX(Stats!$D:$D,MATCH($C24,Stats!$A:$A,0)),FALSE),ROUND(D24+(E24-D24)*(1+G24)*((1-1)/(MaxLevel-1))^(2^F24),0),D24+(E24-D24)*(1+G24)*((1-1)/(MaxLevel-1))^(2^F24)))</f>
        <v>30</v>
      </c>
      <c r="I24" s="12">
        <f>IF(OR(D24="",E24=""),"",IF(IFERROR(INDEX(Stats!$D:$D,MATCH($C24,Stats!$A:$A,0)),FALSE),ROUND(D24+(E24-D24)*(1+G24)*((2-1)/(MaxLevel-1))^(2^F24),0),D24+(E24-D24)*(1+G24)*((2-1)/(MaxLevel-1))^(2^F24)))</f>
        <v>40</v>
      </c>
      <c r="J24" s="12">
        <f>IF(OR(D24="",E24=""),"",IF(IFERROR(INDEX(Stats!$D:$D,MATCH($C24,Stats!$A:$A,0)),FALSE),ROUND(D24+(E24-D24)*(1+G24)*((3-1)/(MaxLevel-1))^(2^F24),0),D24+(E24-D24)*(1+G24)*((3-1)/(MaxLevel-1))^(2^F24)))</f>
        <v>50</v>
      </c>
      <c r="K24" s="12">
        <f>IF(OR(D24="",E24=""),"",IF(IFERROR(INDEX(Stats!$D:$D,MATCH($C24,Stats!$A:$A,0)),FALSE),ROUND(D24+(E24-D24)*(1+G24)*((4-1)/(MaxLevel-1))^(2^F24),0),D24+(E24-D24)*(1+G24)*((4-1)/(MaxLevel-1))^(2^F24)))</f>
        <v>60</v>
      </c>
      <c r="L24" s="12">
        <f>IF(OR(D24="",E24=""),"",IF(IFERROR(INDEX(Stats!$D:$D,MATCH($C24,Stats!$A:$A,0)),FALSE),ROUND(D24+(E24-D24)*(1+G24)*((5-1)/(MaxLevel-1))^(2^F24),0),D24+(E24-D24)*(1+G24)*((5-1)/(MaxLevel-1))^(2^F24)))</f>
        <v>70</v>
      </c>
      <c r="M24" s="12">
        <f>IF(OR(D24="",E24=""),"",IF(IFERROR(INDEX(Stats!$D:$D,MATCH($C24,Stats!$A:$A,0)),FALSE),ROUND(D24+(E24-D24)*(1+G24)*((6-1)/(MaxLevel-1))^(2^F24),0),D24+(E24-D24)*(1+G24)*((6-1)/(MaxLevel-1))^(2^F24)))</f>
        <v>80</v>
      </c>
      <c r="N24" s="12">
        <f>IF(OR(D24="",E24=""),"",IF(IFERROR(INDEX(Stats!$D:$D,MATCH($C24,Stats!$A:$A,0)),FALSE),ROUND(D24+(E24-D24)*(1+G24)*((7-1)/(MaxLevel-1))^(2^F24),0),D24+(E24-D24)*(1+G24)*((7-1)/(MaxLevel-1))^(2^F24)))</f>
        <v>90</v>
      </c>
      <c r="O24" s="12">
        <f>IF(OR(D24="",E24=""),"",IF(IFERROR(INDEX(Stats!$D:$D,MATCH($C24,Stats!$A:$A,0)),FALSE),ROUND(D24+(E24-D24)*(1+G24)*((8-1)/(MaxLevel-1))^(2^F24),0),D24+(E24-D24)*(1+G24)*((8-1)/(MaxLevel-1))^(2^F24)))</f>
        <v>100</v>
      </c>
      <c r="P24" s="12">
        <f>IF(OR(D24="",E24=""),"",IF(IFERROR(INDEX(Stats!$D:$D,MATCH($C24,Stats!$A:$A,0)),FALSE),ROUND(D24+(E24-D24)*(1+G24)*((9-1)/(MaxLevel-1))^(2^F24),0),D24+(E24-D24)*(1+G24)*((9-1)/(MaxLevel-1))^(2^F24)))</f>
        <v>110</v>
      </c>
      <c r="Q24" s="12">
        <f>IF(OR(D24="",E24=""),"",IF(IFERROR(INDEX(Stats!$D:$D,MATCH($C24,Stats!$A:$A,0)),FALSE),ROUND(D24+(E24-D24)*(1+G24)*((10-1)/(MaxLevel-1))^(2^F24),0),D24+(E24-D24)*(1+G24)*((10-1)/(MaxLevel-1))^(2^F24)))</f>
        <v>120</v>
      </c>
    </row>
    <row r="25" spans="1:17" x14ac:dyDescent="0.25">
      <c r="A25" s="4" t="s">
        <v>185</v>
      </c>
      <c r="B25" s="19" t="s">
        <v>218</v>
      </c>
      <c r="C25" s="4" t="s">
        <v>32</v>
      </c>
      <c r="D25" s="5">
        <v>0.7</v>
      </c>
      <c r="E25" s="5">
        <v>0.95</v>
      </c>
      <c r="F25" s="5">
        <v>-1</v>
      </c>
      <c r="G25" s="5">
        <v>0</v>
      </c>
      <c r="H25" s="12">
        <f>IF(OR(D25="",E25=""),"",IF(IFERROR(INDEX(Stats!$D:$D,MATCH($C25,Stats!$A:$A,0)),FALSE),ROUND(D25+(E25-D25)*(1+G25)*((1-1)/(MaxLevel-1))^(2^F25),0),D25+(E25-D25)*(1+G25)*((1-1)/(MaxLevel-1))^(2^F25)))</f>
        <v>0.7</v>
      </c>
      <c r="I25" s="12">
        <f>IF(OR(D25="",E25=""),"",IF(IFERROR(INDEX(Stats!$D:$D,MATCH($C25,Stats!$A:$A,0)),FALSE),ROUND(D25+(E25-D25)*(1+G25)*((2-1)/(MaxLevel-1))^(2^F25),0),D25+(E25-D25)*(1+G25)*((2-1)/(MaxLevel-1))^(2^F25)))</f>
        <v>0.78333333333333333</v>
      </c>
      <c r="J25" s="12">
        <f>IF(OR(D25="",E25=""),"",IF(IFERROR(INDEX(Stats!$D:$D,MATCH($C25,Stats!$A:$A,0)),FALSE),ROUND(D25+(E25-D25)*(1+G25)*((3-1)/(MaxLevel-1))^(2^F25),0),D25+(E25-D25)*(1+G25)*((3-1)/(MaxLevel-1))^(2^F25)))</f>
        <v>0.8178511301977579</v>
      </c>
      <c r="K25" s="12">
        <f>IF(OR(D25="",E25=""),"",IF(IFERROR(INDEX(Stats!$D:$D,MATCH($C25,Stats!$A:$A,0)),FALSE),ROUND(D25+(E25-D25)*(1+G25)*((4-1)/(MaxLevel-1))^(2^F25),0),D25+(E25-D25)*(1+G25)*((4-1)/(MaxLevel-1))^(2^F25)))</f>
        <v>0.84433756729740639</v>
      </c>
      <c r="L25" s="12">
        <f>IF(OR(D25="",E25=""),"",IF(IFERROR(INDEX(Stats!$D:$D,MATCH($C25,Stats!$A:$A,0)),FALSE),ROUND(D25+(E25-D25)*(1+G25)*((5-1)/(MaxLevel-1))^(2^F25),0),D25+(E25-D25)*(1+G25)*((5-1)/(MaxLevel-1))^(2^F25)))</f>
        <v>0.86666666666666659</v>
      </c>
      <c r="M25" s="12">
        <f>IF(OR(D25="",E25=""),"",IF(IFERROR(INDEX(Stats!$D:$D,MATCH($C25,Stats!$A:$A,0)),FALSE),ROUND(D25+(E25-D25)*(1+G25)*((6-1)/(MaxLevel-1))^(2^F25),0),D25+(E25-D25)*(1+G25)*((6-1)/(MaxLevel-1))^(2^F25)))</f>
        <v>0.8863389981249824</v>
      </c>
      <c r="N25" s="12">
        <f>IF(OR(D25="",E25=""),"",IF(IFERROR(INDEX(Stats!$D:$D,MATCH($C25,Stats!$A:$A,0)),FALSE),ROUND(D25+(E25-D25)*(1+G25)*((7-1)/(MaxLevel-1))^(2^F25),0),D25+(E25-D25)*(1+G25)*((7-1)/(MaxLevel-1))^(2^F25)))</f>
        <v>0.90412414523193152</v>
      </c>
      <c r="O25" s="12">
        <f>IF(OR(D25="",E25=""),"",IF(IFERROR(INDEX(Stats!$D:$D,MATCH($C25,Stats!$A:$A,0)),FALSE),ROUND(D25+(E25-D25)*(1+G25)*((8-1)/(MaxLevel-1))^(2^F25),0),D25+(E25-D25)*(1+G25)*((8-1)/(MaxLevel-1))^(2^F25)))</f>
        <v>0.92047927592204914</v>
      </c>
      <c r="P25" s="12">
        <f>IF(OR(D25="",E25=""),"",IF(IFERROR(INDEX(Stats!$D:$D,MATCH($C25,Stats!$A:$A,0)),FALSE),ROUND(D25+(E25-D25)*(1+G25)*((9-1)/(MaxLevel-1))^(2^F25),0),D25+(E25-D25)*(1+G25)*((9-1)/(MaxLevel-1))^(2^F25)))</f>
        <v>0.93570226039551585</v>
      </c>
      <c r="Q25" s="12">
        <f>IF(OR(D25="",E25=""),"",IF(IFERROR(INDEX(Stats!$D:$D,MATCH($C25,Stats!$A:$A,0)),FALSE),ROUND(D25+(E25-D25)*(1+G25)*((10-1)/(MaxLevel-1))^(2^F25),0),D25+(E25-D25)*(1+G25)*((10-1)/(MaxLevel-1))^(2^F25)))</f>
        <v>0.95</v>
      </c>
    </row>
    <row r="26" spans="1:17" x14ac:dyDescent="0.25">
      <c r="A26" s="4" t="s">
        <v>185</v>
      </c>
      <c r="B26" s="19" t="s">
        <v>218</v>
      </c>
      <c r="C26" s="4" t="s">
        <v>34</v>
      </c>
      <c r="D26" s="5">
        <v>0.1</v>
      </c>
      <c r="E26" s="5">
        <v>0.3</v>
      </c>
      <c r="F26" s="5">
        <v>0</v>
      </c>
      <c r="G26" s="5">
        <v>0</v>
      </c>
      <c r="H26" s="12">
        <f>IF(OR(D26="",E26=""),"",IF(IFERROR(INDEX(Stats!$D:$D,MATCH($C26,Stats!$A:$A,0)),FALSE),ROUND(D26+(E26-D26)*(1+G26)*((1-1)/(MaxLevel-1))^(2^F26),0),D26+(E26-D26)*(1+G26)*((1-1)/(MaxLevel-1))^(2^F26)))</f>
        <v>0.1</v>
      </c>
      <c r="I26" s="12">
        <f>IF(OR(D26="",E26=""),"",IF(IFERROR(INDEX(Stats!$D:$D,MATCH($C26,Stats!$A:$A,0)),FALSE),ROUND(D26+(E26-D26)*(1+G26)*((2-1)/(MaxLevel-1))^(2^F26),0),D26+(E26-D26)*(1+G26)*((2-1)/(MaxLevel-1))^(2^F26)))</f>
        <v>0.12222222222222223</v>
      </c>
      <c r="J26" s="12">
        <f>IF(OR(D26="",E26=""),"",IF(IFERROR(INDEX(Stats!$D:$D,MATCH($C26,Stats!$A:$A,0)),FALSE),ROUND(D26+(E26-D26)*(1+G26)*((3-1)/(MaxLevel-1))^(2^F26),0),D26+(E26-D26)*(1+G26)*((3-1)/(MaxLevel-1))^(2^F26)))</f>
        <v>0.14444444444444443</v>
      </c>
      <c r="K26" s="12">
        <f>IF(OR(D26="",E26=""),"",IF(IFERROR(INDEX(Stats!$D:$D,MATCH($C26,Stats!$A:$A,0)),FALSE),ROUND(D26+(E26-D26)*(1+G26)*((4-1)/(MaxLevel-1))^(2^F26),0),D26+(E26-D26)*(1+G26)*((4-1)/(MaxLevel-1))^(2^F26)))</f>
        <v>0.16666666666666666</v>
      </c>
      <c r="L26" s="12">
        <f>IF(OR(D26="",E26=""),"",IF(IFERROR(INDEX(Stats!$D:$D,MATCH($C26,Stats!$A:$A,0)),FALSE),ROUND(D26+(E26-D26)*(1+G26)*((5-1)/(MaxLevel-1))^(2^F26),0),D26+(E26-D26)*(1+G26)*((5-1)/(MaxLevel-1))^(2^F26)))</f>
        <v>0.18888888888888888</v>
      </c>
      <c r="M26" s="12">
        <f>IF(OR(D26="",E26=""),"",IF(IFERROR(INDEX(Stats!$D:$D,MATCH($C26,Stats!$A:$A,0)),FALSE),ROUND(D26+(E26-D26)*(1+G26)*((6-1)/(MaxLevel-1))^(2^F26),0),D26+(E26-D26)*(1+G26)*((6-1)/(MaxLevel-1))^(2^F26)))</f>
        <v>0.21111111111111111</v>
      </c>
      <c r="N26" s="12">
        <f>IF(OR(D26="",E26=""),"",IF(IFERROR(INDEX(Stats!$D:$D,MATCH($C26,Stats!$A:$A,0)),FALSE),ROUND(D26+(E26-D26)*(1+G26)*((7-1)/(MaxLevel-1))^(2^F26),0),D26+(E26-D26)*(1+G26)*((7-1)/(MaxLevel-1))^(2^F26)))</f>
        <v>0.23333333333333331</v>
      </c>
      <c r="O26" s="12">
        <f>IF(OR(D26="",E26=""),"",IF(IFERROR(INDEX(Stats!$D:$D,MATCH($C26,Stats!$A:$A,0)),FALSE),ROUND(D26+(E26-D26)*(1+G26)*((8-1)/(MaxLevel-1))^(2^F26),0),D26+(E26-D26)*(1+G26)*((8-1)/(MaxLevel-1))^(2^F26)))</f>
        <v>0.25555555555555554</v>
      </c>
      <c r="P26" s="12">
        <f>IF(OR(D26="",E26=""),"",IF(IFERROR(INDEX(Stats!$D:$D,MATCH($C26,Stats!$A:$A,0)),FALSE),ROUND(D26+(E26-D26)*(1+G26)*((9-1)/(MaxLevel-1))^(2^F26),0),D26+(E26-D26)*(1+G26)*((9-1)/(MaxLevel-1))^(2^F26)))</f>
        <v>0.27777777777777779</v>
      </c>
      <c r="Q26" s="12">
        <f>IF(OR(D26="",E26=""),"",IF(IFERROR(INDEX(Stats!$D:$D,MATCH($C26,Stats!$A:$A,0)),FALSE),ROUND(D26+(E26-D26)*(1+G26)*((10-1)/(MaxLevel-1))^(2^F26),0),D26+(E26-D26)*(1+G26)*((10-1)/(MaxLevel-1))^(2^F26)))</f>
        <v>0.3</v>
      </c>
    </row>
    <row r="27" spans="1:17" x14ac:dyDescent="0.25">
      <c r="A27" s="4" t="s">
        <v>185</v>
      </c>
      <c r="B27" s="19" t="s">
        <v>218</v>
      </c>
      <c r="C27" s="4" t="s">
        <v>36</v>
      </c>
      <c r="D27" s="5"/>
      <c r="E27" s="5"/>
      <c r="F27" s="5"/>
      <c r="G27" s="5"/>
      <c r="H27" s="12" t="str">
        <f>IF(OR(D27="",E27=""),"",IF(IFERROR(INDEX(Stats!$D:$D,MATCH($C27,Stats!$A:$A,0)),FALSE),ROUND(D27+(E27-D27)*(1+G27)*((1-1)/(MaxLevel-1))^(2^F27),0),D27+(E27-D27)*(1+G27)*((1-1)/(MaxLevel-1))^(2^F27)))</f>
        <v/>
      </c>
      <c r="I27" s="12" t="str">
        <f>IF(OR(D27="",E27=""),"",IF(IFERROR(INDEX(Stats!$D:$D,MATCH($C27,Stats!$A:$A,0)),FALSE),ROUND(D27+(E27-D27)*(1+G27)*((2-1)/(MaxLevel-1))^(2^F27),0),D27+(E27-D27)*(1+G27)*((2-1)/(MaxLevel-1))^(2^F27)))</f>
        <v/>
      </c>
      <c r="J27" s="12" t="str">
        <f>IF(OR(D27="",E27=""),"",IF(IFERROR(INDEX(Stats!$D:$D,MATCH($C27,Stats!$A:$A,0)),FALSE),ROUND(D27+(E27-D27)*(1+G27)*((3-1)/(MaxLevel-1))^(2^F27),0),D27+(E27-D27)*(1+G27)*((3-1)/(MaxLevel-1))^(2^F27)))</f>
        <v/>
      </c>
      <c r="K27" s="12" t="str">
        <f>IF(OR(D27="",E27=""),"",IF(IFERROR(INDEX(Stats!$D:$D,MATCH($C27,Stats!$A:$A,0)),FALSE),ROUND(D27+(E27-D27)*(1+G27)*((4-1)/(MaxLevel-1))^(2^F27),0),D27+(E27-D27)*(1+G27)*((4-1)/(MaxLevel-1))^(2^F27)))</f>
        <v/>
      </c>
      <c r="L27" s="12" t="str">
        <f>IF(OR(D27="",E27=""),"",IF(IFERROR(INDEX(Stats!$D:$D,MATCH($C27,Stats!$A:$A,0)),FALSE),ROUND(D27+(E27-D27)*(1+G27)*((5-1)/(MaxLevel-1))^(2^F27),0),D27+(E27-D27)*(1+G27)*((5-1)/(MaxLevel-1))^(2^F27)))</f>
        <v/>
      </c>
      <c r="M27" s="12" t="str">
        <f>IF(OR(D27="",E27=""),"",IF(IFERROR(INDEX(Stats!$D:$D,MATCH($C27,Stats!$A:$A,0)),FALSE),ROUND(D27+(E27-D27)*(1+G27)*((6-1)/(MaxLevel-1))^(2^F27),0),D27+(E27-D27)*(1+G27)*((6-1)/(MaxLevel-1))^(2^F27)))</f>
        <v/>
      </c>
      <c r="N27" s="12" t="str">
        <f>IF(OR(D27="",E27=""),"",IF(IFERROR(INDEX(Stats!$D:$D,MATCH($C27,Stats!$A:$A,0)),FALSE),ROUND(D27+(E27-D27)*(1+G27)*((7-1)/(MaxLevel-1))^(2^F27),0),D27+(E27-D27)*(1+G27)*((7-1)/(MaxLevel-1))^(2^F27)))</f>
        <v/>
      </c>
      <c r="O27" s="12" t="str">
        <f>IF(OR(D27="",E27=""),"",IF(IFERROR(INDEX(Stats!$D:$D,MATCH($C27,Stats!$A:$A,0)),FALSE),ROUND(D27+(E27-D27)*(1+G27)*((8-1)/(MaxLevel-1))^(2^F27),0),D27+(E27-D27)*(1+G27)*((8-1)/(MaxLevel-1))^(2^F27)))</f>
        <v/>
      </c>
      <c r="P27" s="12" t="str">
        <f>IF(OR(D27="",E27=""),"",IF(IFERROR(INDEX(Stats!$D:$D,MATCH($C27,Stats!$A:$A,0)),FALSE),ROUND(D27+(E27-D27)*(1+G27)*((9-1)/(MaxLevel-1))^(2^F27),0),D27+(E27-D27)*(1+G27)*((9-1)/(MaxLevel-1))^(2^F27)))</f>
        <v/>
      </c>
      <c r="Q27" s="12" t="str">
        <f>IF(OR(D27="",E27=""),"",IF(IFERROR(INDEX(Stats!$D:$D,MATCH($C27,Stats!$A:$A,0)),FALSE),ROUND(D27+(E27-D27)*(1+G27)*((10-1)/(MaxLevel-1))^(2^F27),0),D27+(E27-D27)*(1+G27)*((10-1)/(MaxLevel-1))^(2^F27)))</f>
        <v/>
      </c>
    </row>
    <row r="28" spans="1:17" x14ac:dyDescent="0.25">
      <c r="A28" s="4" t="s">
        <v>185</v>
      </c>
      <c r="B28" s="19" t="s">
        <v>218</v>
      </c>
      <c r="C28" s="4" t="s">
        <v>38</v>
      </c>
      <c r="D28" s="5"/>
      <c r="E28" s="5"/>
      <c r="F28" s="5"/>
      <c r="G28" s="5"/>
      <c r="H28" s="12" t="str">
        <f>IF(OR(D28="",E28=""),"",IF(IFERROR(INDEX(Stats!$D:$D,MATCH($C28,Stats!$A:$A,0)),FALSE),ROUND(D28+(E28-D28)*(1+G28)*((1-1)/(MaxLevel-1))^(2^F28),0),D28+(E28-D28)*(1+G28)*((1-1)/(MaxLevel-1))^(2^F28)))</f>
        <v/>
      </c>
      <c r="I28" s="12" t="str">
        <f>IF(OR(D28="",E28=""),"",IF(IFERROR(INDEX(Stats!$D:$D,MATCH($C28,Stats!$A:$A,0)),FALSE),ROUND(D28+(E28-D28)*(1+G28)*((2-1)/(MaxLevel-1))^(2^F28),0),D28+(E28-D28)*(1+G28)*((2-1)/(MaxLevel-1))^(2^F28)))</f>
        <v/>
      </c>
      <c r="J28" s="12" t="str">
        <f>IF(OR(D28="",E28=""),"",IF(IFERROR(INDEX(Stats!$D:$D,MATCH($C28,Stats!$A:$A,0)),FALSE),ROUND(D28+(E28-D28)*(1+G28)*((3-1)/(MaxLevel-1))^(2^F28),0),D28+(E28-D28)*(1+G28)*((3-1)/(MaxLevel-1))^(2^F28)))</f>
        <v/>
      </c>
      <c r="K28" s="12" t="str">
        <f>IF(OR(D28="",E28=""),"",IF(IFERROR(INDEX(Stats!$D:$D,MATCH($C28,Stats!$A:$A,0)),FALSE),ROUND(D28+(E28-D28)*(1+G28)*((4-1)/(MaxLevel-1))^(2^F28),0),D28+(E28-D28)*(1+G28)*((4-1)/(MaxLevel-1))^(2^F28)))</f>
        <v/>
      </c>
      <c r="L28" s="12" t="str">
        <f>IF(OR(D28="",E28=""),"",IF(IFERROR(INDEX(Stats!$D:$D,MATCH($C28,Stats!$A:$A,0)),FALSE),ROUND(D28+(E28-D28)*(1+G28)*((5-1)/(MaxLevel-1))^(2^F28),0),D28+(E28-D28)*(1+G28)*((5-1)/(MaxLevel-1))^(2^F28)))</f>
        <v/>
      </c>
      <c r="M28" s="12" t="str">
        <f>IF(OR(D28="",E28=""),"",IF(IFERROR(INDEX(Stats!$D:$D,MATCH($C28,Stats!$A:$A,0)),FALSE),ROUND(D28+(E28-D28)*(1+G28)*((6-1)/(MaxLevel-1))^(2^F28),0),D28+(E28-D28)*(1+G28)*((6-1)/(MaxLevel-1))^(2^F28)))</f>
        <v/>
      </c>
      <c r="N28" s="12" t="str">
        <f>IF(OR(D28="",E28=""),"",IF(IFERROR(INDEX(Stats!$D:$D,MATCH($C28,Stats!$A:$A,0)),FALSE),ROUND(D28+(E28-D28)*(1+G28)*((7-1)/(MaxLevel-1))^(2^F28),0),D28+(E28-D28)*(1+G28)*((7-1)/(MaxLevel-1))^(2^F28)))</f>
        <v/>
      </c>
      <c r="O28" s="12" t="str">
        <f>IF(OR(D28="",E28=""),"",IF(IFERROR(INDEX(Stats!$D:$D,MATCH($C28,Stats!$A:$A,0)),FALSE),ROUND(D28+(E28-D28)*(1+G28)*((8-1)/(MaxLevel-1))^(2^F28),0),D28+(E28-D28)*(1+G28)*((8-1)/(MaxLevel-1))^(2^F28)))</f>
        <v/>
      </c>
      <c r="P28" s="12" t="str">
        <f>IF(OR(D28="",E28=""),"",IF(IFERROR(INDEX(Stats!$D:$D,MATCH($C28,Stats!$A:$A,0)),FALSE),ROUND(D28+(E28-D28)*(1+G28)*((9-1)/(MaxLevel-1))^(2^F28),0),D28+(E28-D28)*(1+G28)*((9-1)/(MaxLevel-1))^(2^F28)))</f>
        <v/>
      </c>
      <c r="Q28" s="12" t="str">
        <f>IF(OR(D28="",E28=""),"",IF(IFERROR(INDEX(Stats!$D:$D,MATCH($C28,Stats!$A:$A,0)),FALSE),ROUND(D28+(E28-D28)*(1+G28)*((10-1)/(MaxLevel-1))^(2^F28),0),D28+(E28-D28)*(1+G28)*((10-1)/(MaxLevel-1))^(2^F28)))</f>
        <v/>
      </c>
    </row>
    <row r="29" spans="1:17" x14ac:dyDescent="0.25">
      <c r="A29" s="4" t="s">
        <v>185</v>
      </c>
      <c r="B29" s="19" t="s">
        <v>218</v>
      </c>
      <c r="C29" s="4" t="s">
        <v>40</v>
      </c>
      <c r="D29" s="5"/>
      <c r="E29" s="5"/>
      <c r="F29" s="5"/>
      <c r="G29" s="5"/>
      <c r="H29" s="12" t="str">
        <f>IF(OR(D29="",E29=""),"",IF(IFERROR(INDEX(Stats!$D:$D,MATCH($C29,Stats!$A:$A,0)),FALSE),ROUND(D29+(E29-D29)*(1+G29)*((1-1)/(MaxLevel-1))^(2^F29),0),D29+(E29-D29)*(1+G29)*((1-1)/(MaxLevel-1))^(2^F29)))</f>
        <v/>
      </c>
      <c r="I29" s="12" t="str">
        <f>IF(OR(D29="",E29=""),"",IF(IFERROR(INDEX(Stats!$D:$D,MATCH($C29,Stats!$A:$A,0)),FALSE),ROUND(D29+(E29-D29)*(1+G29)*((2-1)/(MaxLevel-1))^(2^F29),0),D29+(E29-D29)*(1+G29)*((2-1)/(MaxLevel-1))^(2^F29)))</f>
        <v/>
      </c>
      <c r="J29" s="12" t="str">
        <f>IF(OR(D29="",E29=""),"",IF(IFERROR(INDEX(Stats!$D:$D,MATCH($C29,Stats!$A:$A,0)),FALSE),ROUND(D29+(E29-D29)*(1+G29)*((3-1)/(MaxLevel-1))^(2^F29),0),D29+(E29-D29)*(1+G29)*((3-1)/(MaxLevel-1))^(2^F29)))</f>
        <v/>
      </c>
      <c r="K29" s="12" t="str">
        <f>IF(OR(D29="",E29=""),"",IF(IFERROR(INDEX(Stats!$D:$D,MATCH($C29,Stats!$A:$A,0)),FALSE),ROUND(D29+(E29-D29)*(1+G29)*((4-1)/(MaxLevel-1))^(2^F29),0),D29+(E29-D29)*(1+G29)*((4-1)/(MaxLevel-1))^(2^F29)))</f>
        <v/>
      </c>
      <c r="L29" s="12" t="str">
        <f>IF(OR(D29="",E29=""),"",IF(IFERROR(INDEX(Stats!$D:$D,MATCH($C29,Stats!$A:$A,0)),FALSE),ROUND(D29+(E29-D29)*(1+G29)*((5-1)/(MaxLevel-1))^(2^F29),0),D29+(E29-D29)*(1+G29)*((5-1)/(MaxLevel-1))^(2^F29)))</f>
        <v/>
      </c>
      <c r="M29" s="12" t="str">
        <f>IF(OR(D29="",E29=""),"",IF(IFERROR(INDEX(Stats!$D:$D,MATCH($C29,Stats!$A:$A,0)),FALSE),ROUND(D29+(E29-D29)*(1+G29)*((6-1)/(MaxLevel-1))^(2^F29),0),D29+(E29-D29)*(1+G29)*((6-1)/(MaxLevel-1))^(2^F29)))</f>
        <v/>
      </c>
      <c r="N29" s="12" t="str">
        <f>IF(OR(D29="",E29=""),"",IF(IFERROR(INDEX(Stats!$D:$D,MATCH($C29,Stats!$A:$A,0)),FALSE),ROUND(D29+(E29-D29)*(1+G29)*((7-1)/(MaxLevel-1))^(2^F29),0),D29+(E29-D29)*(1+G29)*((7-1)/(MaxLevel-1))^(2^F29)))</f>
        <v/>
      </c>
      <c r="O29" s="12" t="str">
        <f>IF(OR(D29="",E29=""),"",IF(IFERROR(INDEX(Stats!$D:$D,MATCH($C29,Stats!$A:$A,0)),FALSE),ROUND(D29+(E29-D29)*(1+G29)*((8-1)/(MaxLevel-1))^(2^F29),0),D29+(E29-D29)*(1+G29)*((8-1)/(MaxLevel-1))^(2^F29)))</f>
        <v/>
      </c>
      <c r="P29" s="12" t="str">
        <f>IF(OR(D29="",E29=""),"",IF(IFERROR(INDEX(Stats!$D:$D,MATCH($C29,Stats!$A:$A,0)),FALSE),ROUND(D29+(E29-D29)*(1+G29)*((9-1)/(MaxLevel-1))^(2^F29),0),D29+(E29-D29)*(1+G29)*((9-1)/(MaxLevel-1))^(2^F29)))</f>
        <v/>
      </c>
      <c r="Q29" s="12" t="str">
        <f>IF(OR(D29="",E29=""),"",IF(IFERROR(INDEX(Stats!$D:$D,MATCH($C29,Stats!$A:$A,0)),FALSE),ROUND(D29+(E29-D29)*(1+G29)*((10-1)/(MaxLevel-1))^(2^F29),0),D29+(E29-D29)*(1+G29)*((10-1)/(MaxLevel-1))^(2^F29)))</f>
        <v/>
      </c>
    </row>
    <row r="30" spans="1:17" x14ac:dyDescent="0.25">
      <c r="A30" s="4" t="s">
        <v>185</v>
      </c>
      <c r="B30" s="19" t="s">
        <v>218</v>
      </c>
      <c r="C30" s="4" t="s">
        <v>42</v>
      </c>
      <c r="D30" s="5"/>
      <c r="E30" s="5"/>
      <c r="F30" s="5"/>
      <c r="G30" s="5"/>
      <c r="H30" s="12" t="str">
        <f>IF(OR(D30="",E30=""),"",IF(IFERROR(INDEX(Stats!$D:$D,MATCH($C30,Stats!$A:$A,0)),FALSE),ROUND(D30+(E30-D30)*(1+G30)*((1-1)/(MaxLevel-1))^(2^F30),0),D30+(E30-D30)*(1+G30)*((1-1)/(MaxLevel-1))^(2^F30)))</f>
        <v/>
      </c>
      <c r="I30" s="12" t="str">
        <f>IF(OR(D30="",E30=""),"",IF(IFERROR(INDEX(Stats!$D:$D,MATCH($C30,Stats!$A:$A,0)),FALSE),ROUND(D30+(E30-D30)*(1+G30)*((2-1)/(MaxLevel-1))^(2^F30),0),D30+(E30-D30)*(1+G30)*((2-1)/(MaxLevel-1))^(2^F30)))</f>
        <v/>
      </c>
      <c r="J30" s="12" t="str">
        <f>IF(OR(D30="",E30=""),"",IF(IFERROR(INDEX(Stats!$D:$D,MATCH($C30,Stats!$A:$A,0)),FALSE),ROUND(D30+(E30-D30)*(1+G30)*((3-1)/(MaxLevel-1))^(2^F30),0),D30+(E30-D30)*(1+G30)*((3-1)/(MaxLevel-1))^(2^F30)))</f>
        <v/>
      </c>
      <c r="K30" s="12" t="str">
        <f>IF(OR(D30="",E30=""),"",IF(IFERROR(INDEX(Stats!$D:$D,MATCH($C30,Stats!$A:$A,0)),FALSE),ROUND(D30+(E30-D30)*(1+G30)*((4-1)/(MaxLevel-1))^(2^F30),0),D30+(E30-D30)*(1+G30)*((4-1)/(MaxLevel-1))^(2^F30)))</f>
        <v/>
      </c>
      <c r="L30" s="12" t="str">
        <f>IF(OR(D30="",E30=""),"",IF(IFERROR(INDEX(Stats!$D:$D,MATCH($C30,Stats!$A:$A,0)),FALSE),ROUND(D30+(E30-D30)*(1+G30)*((5-1)/(MaxLevel-1))^(2^F30),0),D30+(E30-D30)*(1+G30)*((5-1)/(MaxLevel-1))^(2^F30)))</f>
        <v/>
      </c>
      <c r="M30" s="12" t="str">
        <f>IF(OR(D30="",E30=""),"",IF(IFERROR(INDEX(Stats!$D:$D,MATCH($C30,Stats!$A:$A,0)),FALSE),ROUND(D30+(E30-D30)*(1+G30)*((6-1)/(MaxLevel-1))^(2^F30),0),D30+(E30-D30)*(1+G30)*((6-1)/(MaxLevel-1))^(2^F30)))</f>
        <v/>
      </c>
      <c r="N30" s="12" t="str">
        <f>IF(OR(D30="",E30=""),"",IF(IFERROR(INDEX(Stats!$D:$D,MATCH($C30,Stats!$A:$A,0)),FALSE),ROUND(D30+(E30-D30)*(1+G30)*((7-1)/(MaxLevel-1))^(2^F30),0),D30+(E30-D30)*(1+G30)*((7-1)/(MaxLevel-1))^(2^F30)))</f>
        <v/>
      </c>
      <c r="O30" s="12" t="str">
        <f>IF(OR(D30="",E30=""),"",IF(IFERROR(INDEX(Stats!$D:$D,MATCH($C30,Stats!$A:$A,0)),FALSE),ROUND(D30+(E30-D30)*(1+G30)*((8-1)/(MaxLevel-1))^(2^F30),0),D30+(E30-D30)*(1+G30)*((8-1)/(MaxLevel-1))^(2^F30)))</f>
        <v/>
      </c>
      <c r="P30" s="12" t="str">
        <f>IF(OR(D30="",E30=""),"",IF(IFERROR(INDEX(Stats!$D:$D,MATCH($C30,Stats!$A:$A,0)),FALSE),ROUND(D30+(E30-D30)*(1+G30)*((9-1)/(MaxLevel-1))^(2^F30),0),D30+(E30-D30)*(1+G30)*((9-1)/(MaxLevel-1))^(2^F30)))</f>
        <v/>
      </c>
      <c r="Q30" s="12" t="str">
        <f>IF(OR(D30="",E30=""),"",IF(IFERROR(INDEX(Stats!$D:$D,MATCH($C30,Stats!$A:$A,0)),FALSE),ROUND(D30+(E30-D30)*(1+G30)*((10-1)/(MaxLevel-1))^(2^F30),0),D30+(E30-D30)*(1+G30)*((10-1)/(MaxLevel-1))^(2^F30)))</f>
        <v/>
      </c>
    </row>
    <row r="31" spans="1:17" x14ac:dyDescent="0.25">
      <c r="A31" s="4" t="s">
        <v>185</v>
      </c>
      <c r="B31" s="19" t="s">
        <v>218</v>
      </c>
      <c r="C31" s="4" t="s">
        <v>44</v>
      </c>
      <c r="D31" s="5"/>
      <c r="E31" s="5"/>
      <c r="F31" s="5"/>
      <c r="G31" s="5"/>
      <c r="H31" s="12" t="str">
        <f>IF(OR(D31="",E31=""),"",IF(IFERROR(INDEX(Stats!$D:$D,MATCH($C31,Stats!$A:$A,0)),FALSE),ROUND(D31+(E31-D31)*(1+G31)*((1-1)/(MaxLevel-1))^(2^F31),0),D31+(E31-D31)*(1+G31)*((1-1)/(MaxLevel-1))^(2^F31)))</f>
        <v/>
      </c>
      <c r="I31" s="12" t="str">
        <f>IF(OR(D31="",E31=""),"",IF(IFERROR(INDEX(Stats!$D:$D,MATCH($C31,Stats!$A:$A,0)),FALSE),ROUND(D31+(E31-D31)*(1+G31)*((2-1)/(MaxLevel-1))^(2^F31),0),D31+(E31-D31)*(1+G31)*((2-1)/(MaxLevel-1))^(2^F31)))</f>
        <v/>
      </c>
      <c r="J31" s="12" t="str">
        <f>IF(OR(D31="",E31=""),"",IF(IFERROR(INDEX(Stats!$D:$D,MATCH($C31,Stats!$A:$A,0)),FALSE),ROUND(D31+(E31-D31)*(1+G31)*((3-1)/(MaxLevel-1))^(2^F31),0),D31+(E31-D31)*(1+G31)*((3-1)/(MaxLevel-1))^(2^F31)))</f>
        <v/>
      </c>
      <c r="K31" s="12" t="str">
        <f>IF(OR(D31="",E31=""),"",IF(IFERROR(INDEX(Stats!$D:$D,MATCH($C31,Stats!$A:$A,0)),FALSE),ROUND(D31+(E31-D31)*(1+G31)*((4-1)/(MaxLevel-1))^(2^F31),0),D31+(E31-D31)*(1+G31)*((4-1)/(MaxLevel-1))^(2^F31)))</f>
        <v/>
      </c>
      <c r="L31" s="12" t="str">
        <f>IF(OR(D31="",E31=""),"",IF(IFERROR(INDEX(Stats!$D:$D,MATCH($C31,Stats!$A:$A,0)),FALSE),ROUND(D31+(E31-D31)*(1+G31)*((5-1)/(MaxLevel-1))^(2^F31),0),D31+(E31-D31)*(1+G31)*((5-1)/(MaxLevel-1))^(2^F31)))</f>
        <v/>
      </c>
      <c r="M31" s="12" t="str">
        <f>IF(OR(D31="",E31=""),"",IF(IFERROR(INDEX(Stats!$D:$D,MATCH($C31,Stats!$A:$A,0)),FALSE),ROUND(D31+(E31-D31)*(1+G31)*((6-1)/(MaxLevel-1))^(2^F31),0),D31+(E31-D31)*(1+G31)*((6-1)/(MaxLevel-1))^(2^F31)))</f>
        <v/>
      </c>
      <c r="N31" s="12" t="str">
        <f>IF(OR(D31="",E31=""),"",IF(IFERROR(INDEX(Stats!$D:$D,MATCH($C31,Stats!$A:$A,0)),FALSE),ROUND(D31+(E31-D31)*(1+G31)*((7-1)/(MaxLevel-1))^(2^F31),0),D31+(E31-D31)*(1+G31)*((7-1)/(MaxLevel-1))^(2^F31)))</f>
        <v/>
      </c>
      <c r="O31" s="12" t="str">
        <f>IF(OR(D31="",E31=""),"",IF(IFERROR(INDEX(Stats!$D:$D,MATCH($C31,Stats!$A:$A,0)),FALSE),ROUND(D31+(E31-D31)*(1+G31)*((8-1)/(MaxLevel-1))^(2^F31),0),D31+(E31-D31)*(1+G31)*((8-1)/(MaxLevel-1))^(2^F31)))</f>
        <v/>
      </c>
      <c r="P31" s="12" t="str">
        <f>IF(OR(D31="",E31=""),"",IF(IFERROR(INDEX(Stats!$D:$D,MATCH($C31,Stats!$A:$A,0)),FALSE),ROUND(D31+(E31-D31)*(1+G31)*((9-1)/(MaxLevel-1))^(2^F31),0),D31+(E31-D31)*(1+G31)*((9-1)/(MaxLevel-1))^(2^F31)))</f>
        <v/>
      </c>
      <c r="Q31" s="12" t="str">
        <f>IF(OR(D31="",E31=""),"",IF(IFERROR(INDEX(Stats!$D:$D,MATCH($C31,Stats!$A:$A,0)),FALSE),ROUND(D31+(E31-D31)*(1+G31)*((10-1)/(MaxLevel-1))^(2^F31),0),D31+(E31-D31)*(1+G31)*((10-1)/(MaxLevel-1))^(2^F31)))</f>
        <v/>
      </c>
    </row>
    <row r="32" spans="1:17" x14ac:dyDescent="0.25">
      <c r="A32" s="4" t="s">
        <v>185</v>
      </c>
      <c r="B32" s="19" t="s">
        <v>218</v>
      </c>
      <c r="C32" s="4" t="s">
        <v>46</v>
      </c>
      <c r="D32" s="5"/>
      <c r="E32" s="5"/>
      <c r="F32" s="5"/>
      <c r="G32" s="5"/>
      <c r="H32" s="12" t="str">
        <f>IF(OR(D32="",E32=""),"",IF(IFERROR(INDEX(Stats!$D:$D,MATCH($C32,Stats!$A:$A,0)),FALSE),ROUND(D32+(E32-D32)*(1+G32)*((1-1)/(MaxLevel-1))^(2^F32),0),D32+(E32-D32)*(1+G32)*((1-1)/(MaxLevel-1))^(2^F32)))</f>
        <v/>
      </c>
      <c r="I32" s="12" t="str">
        <f>IF(OR(D32="",E32=""),"",IF(IFERROR(INDEX(Stats!$D:$D,MATCH($C32,Stats!$A:$A,0)),FALSE),ROUND(D32+(E32-D32)*(1+G32)*((2-1)/(MaxLevel-1))^(2^F32),0),D32+(E32-D32)*(1+G32)*((2-1)/(MaxLevel-1))^(2^F32)))</f>
        <v/>
      </c>
      <c r="J32" s="12" t="str">
        <f>IF(OR(D32="",E32=""),"",IF(IFERROR(INDEX(Stats!$D:$D,MATCH($C32,Stats!$A:$A,0)),FALSE),ROUND(D32+(E32-D32)*(1+G32)*((3-1)/(MaxLevel-1))^(2^F32),0),D32+(E32-D32)*(1+G32)*((3-1)/(MaxLevel-1))^(2^F32)))</f>
        <v/>
      </c>
      <c r="K32" s="12" t="str">
        <f>IF(OR(D32="",E32=""),"",IF(IFERROR(INDEX(Stats!$D:$D,MATCH($C32,Stats!$A:$A,0)),FALSE),ROUND(D32+(E32-D32)*(1+G32)*((4-1)/(MaxLevel-1))^(2^F32),0),D32+(E32-D32)*(1+G32)*((4-1)/(MaxLevel-1))^(2^F32)))</f>
        <v/>
      </c>
      <c r="L32" s="12" t="str">
        <f>IF(OR(D32="",E32=""),"",IF(IFERROR(INDEX(Stats!$D:$D,MATCH($C32,Stats!$A:$A,0)),FALSE),ROUND(D32+(E32-D32)*(1+G32)*((5-1)/(MaxLevel-1))^(2^F32),0),D32+(E32-D32)*(1+G32)*((5-1)/(MaxLevel-1))^(2^F32)))</f>
        <v/>
      </c>
      <c r="M32" s="12" t="str">
        <f>IF(OR(D32="",E32=""),"",IF(IFERROR(INDEX(Stats!$D:$D,MATCH($C32,Stats!$A:$A,0)),FALSE),ROUND(D32+(E32-D32)*(1+G32)*((6-1)/(MaxLevel-1))^(2^F32),0),D32+(E32-D32)*(1+G32)*((6-1)/(MaxLevel-1))^(2^F32)))</f>
        <v/>
      </c>
      <c r="N32" s="12" t="str">
        <f>IF(OR(D32="",E32=""),"",IF(IFERROR(INDEX(Stats!$D:$D,MATCH($C32,Stats!$A:$A,0)),FALSE),ROUND(D32+(E32-D32)*(1+G32)*((7-1)/(MaxLevel-1))^(2^F32),0),D32+(E32-D32)*(1+G32)*((7-1)/(MaxLevel-1))^(2^F32)))</f>
        <v/>
      </c>
      <c r="O32" s="12" t="str">
        <f>IF(OR(D32="",E32=""),"",IF(IFERROR(INDEX(Stats!$D:$D,MATCH($C32,Stats!$A:$A,0)),FALSE),ROUND(D32+(E32-D32)*(1+G32)*((8-1)/(MaxLevel-1))^(2^F32),0),D32+(E32-D32)*(1+G32)*((8-1)/(MaxLevel-1))^(2^F32)))</f>
        <v/>
      </c>
      <c r="P32" s="12" t="str">
        <f>IF(OR(D32="",E32=""),"",IF(IFERROR(INDEX(Stats!$D:$D,MATCH($C32,Stats!$A:$A,0)),FALSE),ROUND(D32+(E32-D32)*(1+G32)*((9-1)/(MaxLevel-1))^(2^F32),0),D32+(E32-D32)*(1+G32)*((9-1)/(MaxLevel-1))^(2^F32)))</f>
        <v/>
      </c>
      <c r="Q32" s="12" t="str">
        <f>IF(OR(D32="",E32=""),"",IF(IFERROR(INDEX(Stats!$D:$D,MATCH($C32,Stats!$A:$A,0)),FALSE),ROUND(D32+(E32-D32)*(1+G32)*((10-1)/(MaxLevel-1))^(2^F32),0),D32+(E32-D32)*(1+G32)*((10-1)/(MaxLevel-1))^(2^F32)))</f>
        <v/>
      </c>
    </row>
    <row r="33" spans="1:17" x14ac:dyDescent="0.25">
      <c r="A33" s="4" t="s">
        <v>185</v>
      </c>
      <c r="B33" s="19" t="s">
        <v>218</v>
      </c>
      <c r="C33" s="4" t="s">
        <v>48</v>
      </c>
      <c r="D33" s="5"/>
      <c r="E33" s="5"/>
      <c r="F33" s="5"/>
      <c r="G33" s="5"/>
      <c r="H33" s="12" t="str">
        <f>IF(OR(D33="",E33=""),"",IF(IFERROR(INDEX(Stats!$D:$D,MATCH($C33,Stats!$A:$A,0)),FALSE),ROUND(D33+(E33-D33)*(1+G33)*((1-1)/(MaxLevel-1))^(2^F33),0),D33+(E33-D33)*(1+G33)*((1-1)/(MaxLevel-1))^(2^F33)))</f>
        <v/>
      </c>
      <c r="I33" s="12" t="str">
        <f>IF(OR(D33="",E33=""),"",IF(IFERROR(INDEX(Stats!$D:$D,MATCH($C33,Stats!$A:$A,0)),FALSE),ROUND(D33+(E33-D33)*(1+G33)*((2-1)/(MaxLevel-1))^(2^F33),0),D33+(E33-D33)*(1+G33)*((2-1)/(MaxLevel-1))^(2^F33)))</f>
        <v/>
      </c>
      <c r="J33" s="12" t="str">
        <f>IF(OR(D33="",E33=""),"",IF(IFERROR(INDEX(Stats!$D:$D,MATCH($C33,Stats!$A:$A,0)),FALSE),ROUND(D33+(E33-D33)*(1+G33)*((3-1)/(MaxLevel-1))^(2^F33),0),D33+(E33-D33)*(1+G33)*((3-1)/(MaxLevel-1))^(2^F33)))</f>
        <v/>
      </c>
      <c r="K33" s="12" t="str">
        <f>IF(OR(D33="",E33=""),"",IF(IFERROR(INDEX(Stats!$D:$D,MATCH($C33,Stats!$A:$A,0)),FALSE),ROUND(D33+(E33-D33)*(1+G33)*((4-1)/(MaxLevel-1))^(2^F33),0),D33+(E33-D33)*(1+G33)*((4-1)/(MaxLevel-1))^(2^F33)))</f>
        <v/>
      </c>
      <c r="L33" s="12" t="str">
        <f>IF(OR(D33="",E33=""),"",IF(IFERROR(INDEX(Stats!$D:$D,MATCH($C33,Stats!$A:$A,0)),FALSE),ROUND(D33+(E33-D33)*(1+G33)*((5-1)/(MaxLevel-1))^(2^F33),0),D33+(E33-D33)*(1+G33)*((5-1)/(MaxLevel-1))^(2^F33)))</f>
        <v/>
      </c>
      <c r="M33" s="12" t="str">
        <f>IF(OR(D33="",E33=""),"",IF(IFERROR(INDEX(Stats!$D:$D,MATCH($C33,Stats!$A:$A,0)),FALSE),ROUND(D33+(E33-D33)*(1+G33)*((6-1)/(MaxLevel-1))^(2^F33),0),D33+(E33-D33)*(1+G33)*((6-1)/(MaxLevel-1))^(2^F33)))</f>
        <v/>
      </c>
      <c r="N33" s="12" t="str">
        <f>IF(OR(D33="",E33=""),"",IF(IFERROR(INDEX(Stats!$D:$D,MATCH($C33,Stats!$A:$A,0)),FALSE),ROUND(D33+(E33-D33)*(1+G33)*((7-1)/(MaxLevel-1))^(2^F33),0),D33+(E33-D33)*(1+G33)*((7-1)/(MaxLevel-1))^(2^F33)))</f>
        <v/>
      </c>
      <c r="O33" s="12" t="str">
        <f>IF(OR(D33="",E33=""),"",IF(IFERROR(INDEX(Stats!$D:$D,MATCH($C33,Stats!$A:$A,0)),FALSE),ROUND(D33+(E33-D33)*(1+G33)*((8-1)/(MaxLevel-1))^(2^F33),0),D33+(E33-D33)*(1+G33)*((8-1)/(MaxLevel-1))^(2^F33)))</f>
        <v/>
      </c>
      <c r="P33" s="12" t="str">
        <f>IF(OR(D33="",E33=""),"",IF(IFERROR(INDEX(Stats!$D:$D,MATCH($C33,Stats!$A:$A,0)),FALSE),ROUND(D33+(E33-D33)*(1+G33)*((9-1)/(MaxLevel-1))^(2^F33),0),D33+(E33-D33)*(1+G33)*((9-1)/(MaxLevel-1))^(2^F33)))</f>
        <v/>
      </c>
      <c r="Q33" s="12" t="str">
        <f>IF(OR(D33="",E33=""),"",IF(IFERROR(INDEX(Stats!$D:$D,MATCH($C33,Stats!$A:$A,0)),FALSE),ROUND(D33+(E33-D33)*(1+G33)*((10-1)/(MaxLevel-1))^(2^F33),0),D33+(E33-D33)*(1+G33)*((10-1)/(MaxLevel-1))^(2^F33)))</f>
        <v/>
      </c>
    </row>
    <row r="34" spans="1:17" x14ac:dyDescent="0.25">
      <c r="A34" s="4" t="s">
        <v>185</v>
      </c>
      <c r="B34" s="19" t="s">
        <v>218</v>
      </c>
      <c r="C34" s="4" t="s">
        <v>50</v>
      </c>
      <c r="D34" s="5"/>
      <c r="E34" s="5"/>
      <c r="F34" s="5"/>
      <c r="G34" s="5"/>
      <c r="H34" s="12" t="str">
        <f>IF(OR(D34="",E34=""),"",IF(IFERROR(INDEX(Stats!$D:$D,MATCH($C34,Stats!$A:$A,0)),FALSE),ROUND(D34+(E34-D34)*(1+G34)*((1-1)/(MaxLevel-1))^(2^F34),0),D34+(E34-D34)*(1+G34)*((1-1)/(MaxLevel-1))^(2^F34)))</f>
        <v/>
      </c>
      <c r="I34" s="12" t="str">
        <f>IF(OR(D34="",E34=""),"",IF(IFERROR(INDEX(Stats!$D:$D,MATCH($C34,Stats!$A:$A,0)),FALSE),ROUND(D34+(E34-D34)*(1+G34)*((2-1)/(MaxLevel-1))^(2^F34),0),D34+(E34-D34)*(1+G34)*((2-1)/(MaxLevel-1))^(2^F34)))</f>
        <v/>
      </c>
      <c r="J34" s="12" t="str">
        <f>IF(OR(D34="",E34=""),"",IF(IFERROR(INDEX(Stats!$D:$D,MATCH($C34,Stats!$A:$A,0)),FALSE),ROUND(D34+(E34-D34)*(1+G34)*((3-1)/(MaxLevel-1))^(2^F34),0),D34+(E34-D34)*(1+G34)*((3-1)/(MaxLevel-1))^(2^F34)))</f>
        <v/>
      </c>
      <c r="K34" s="12" t="str">
        <f>IF(OR(D34="",E34=""),"",IF(IFERROR(INDEX(Stats!$D:$D,MATCH($C34,Stats!$A:$A,0)),FALSE),ROUND(D34+(E34-D34)*(1+G34)*((4-1)/(MaxLevel-1))^(2^F34),0),D34+(E34-D34)*(1+G34)*((4-1)/(MaxLevel-1))^(2^F34)))</f>
        <v/>
      </c>
      <c r="L34" s="12" t="str">
        <f>IF(OR(D34="",E34=""),"",IF(IFERROR(INDEX(Stats!$D:$D,MATCH($C34,Stats!$A:$A,0)),FALSE),ROUND(D34+(E34-D34)*(1+G34)*((5-1)/(MaxLevel-1))^(2^F34),0),D34+(E34-D34)*(1+G34)*((5-1)/(MaxLevel-1))^(2^F34)))</f>
        <v/>
      </c>
      <c r="M34" s="12" t="str">
        <f>IF(OR(D34="",E34=""),"",IF(IFERROR(INDEX(Stats!$D:$D,MATCH($C34,Stats!$A:$A,0)),FALSE),ROUND(D34+(E34-D34)*(1+G34)*((6-1)/(MaxLevel-1))^(2^F34),0),D34+(E34-D34)*(1+G34)*((6-1)/(MaxLevel-1))^(2^F34)))</f>
        <v/>
      </c>
      <c r="N34" s="12" t="str">
        <f>IF(OR(D34="",E34=""),"",IF(IFERROR(INDEX(Stats!$D:$D,MATCH($C34,Stats!$A:$A,0)),FALSE),ROUND(D34+(E34-D34)*(1+G34)*((7-1)/(MaxLevel-1))^(2^F34),0),D34+(E34-D34)*(1+G34)*((7-1)/(MaxLevel-1))^(2^F34)))</f>
        <v/>
      </c>
      <c r="O34" s="12" t="str">
        <f>IF(OR(D34="",E34=""),"",IF(IFERROR(INDEX(Stats!$D:$D,MATCH($C34,Stats!$A:$A,0)),FALSE),ROUND(D34+(E34-D34)*(1+G34)*((8-1)/(MaxLevel-1))^(2^F34),0),D34+(E34-D34)*(1+G34)*((8-1)/(MaxLevel-1))^(2^F34)))</f>
        <v/>
      </c>
      <c r="P34" s="12" t="str">
        <f>IF(OR(D34="",E34=""),"",IF(IFERROR(INDEX(Stats!$D:$D,MATCH($C34,Stats!$A:$A,0)),FALSE),ROUND(D34+(E34-D34)*(1+G34)*((9-1)/(MaxLevel-1))^(2^F34),0),D34+(E34-D34)*(1+G34)*((9-1)/(MaxLevel-1))^(2^F34)))</f>
        <v/>
      </c>
      <c r="Q34" s="12" t="str">
        <f>IF(OR(D34="",E34=""),"",IF(IFERROR(INDEX(Stats!$D:$D,MATCH($C34,Stats!$A:$A,0)),FALSE),ROUND(D34+(E34-D34)*(1+G34)*((10-1)/(MaxLevel-1))^(2^F34),0),D34+(E34-D34)*(1+G34)*((10-1)/(MaxLevel-1))^(2^F34)))</f>
        <v/>
      </c>
    </row>
    <row r="35" spans="1:17" x14ac:dyDescent="0.25">
      <c r="A35" s="4" t="s">
        <v>185</v>
      </c>
      <c r="B35" s="19" t="s">
        <v>218</v>
      </c>
      <c r="C35" s="4" t="s">
        <v>52</v>
      </c>
      <c r="D35" s="5"/>
      <c r="E35" s="5"/>
      <c r="F35" s="5"/>
      <c r="G35" s="5"/>
      <c r="H35" s="12" t="str">
        <f>IF(OR(D35="",E35=""),"",IF(IFERROR(INDEX(Stats!$D:$D,MATCH($C35,Stats!$A:$A,0)),FALSE),ROUND(D35+(E35-D35)*(1+G35)*((1-1)/(MaxLevel-1))^(2^F35),0),D35+(E35-D35)*(1+G35)*((1-1)/(MaxLevel-1))^(2^F35)))</f>
        <v/>
      </c>
      <c r="I35" s="12" t="str">
        <f>IF(OR(D35="",E35=""),"",IF(IFERROR(INDEX(Stats!$D:$D,MATCH($C35,Stats!$A:$A,0)),FALSE),ROUND(D35+(E35-D35)*(1+G35)*((2-1)/(MaxLevel-1))^(2^F35),0),D35+(E35-D35)*(1+G35)*((2-1)/(MaxLevel-1))^(2^F35)))</f>
        <v/>
      </c>
      <c r="J35" s="12" t="str">
        <f>IF(OR(D35="",E35=""),"",IF(IFERROR(INDEX(Stats!$D:$D,MATCH($C35,Stats!$A:$A,0)),FALSE),ROUND(D35+(E35-D35)*(1+G35)*((3-1)/(MaxLevel-1))^(2^F35),0),D35+(E35-D35)*(1+G35)*((3-1)/(MaxLevel-1))^(2^F35)))</f>
        <v/>
      </c>
      <c r="K35" s="12" t="str">
        <f>IF(OR(D35="",E35=""),"",IF(IFERROR(INDEX(Stats!$D:$D,MATCH($C35,Stats!$A:$A,0)),FALSE),ROUND(D35+(E35-D35)*(1+G35)*((4-1)/(MaxLevel-1))^(2^F35),0),D35+(E35-D35)*(1+G35)*((4-1)/(MaxLevel-1))^(2^F35)))</f>
        <v/>
      </c>
      <c r="L35" s="12" t="str">
        <f>IF(OR(D35="",E35=""),"",IF(IFERROR(INDEX(Stats!$D:$D,MATCH($C35,Stats!$A:$A,0)),FALSE),ROUND(D35+(E35-D35)*(1+G35)*((5-1)/(MaxLevel-1))^(2^F35),0),D35+(E35-D35)*(1+G35)*((5-1)/(MaxLevel-1))^(2^F35)))</f>
        <v/>
      </c>
      <c r="M35" s="12" t="str">
        <f>IF(OR(D35="",E35=""),"",IF(IFERROR(INDEX(Stats!$D:$D,MATCH($C35,Stats!$A:$A,0)),FALSE),ROUND(D35+(E35-D35)*(1+G35)*((6-1)/(MaxLevel-1))^(2^F35),0),D35+(E35-D35)*(1+G35)*((6-1)/(MaxLevel-1))^(2^F35)))</f>
        <v/>
      </c>
      <c r="N35" s="12" t="str">
        <f>IF(OR(D35="",E35=""),"",IF(IFERROR(INDEX(Stats!$D:$D,MATCH($C35,Stats!$A:$A,0)),FALSE),ROUND(D35+(E35-D35)*(1+G35)*((7-1)/(MaxLevel-1))^(2^F35),0),D35+(E35-D35)*(1+G35)*((7-1)/(MaxLevel-1))^(2^F35)))</f>
        <v/>
      </c>
      <c r="O35" s="12" t="str">
        <f>IF(OR(D35="",E35=""),"",IF(IFERROR(INDEX(Stats!$D:$D,MATCH($C35,Stats!$A:$A,0)),FALSE),ROUND(D35+(E35-D35)*(1+G35)*((8-1)/(MaxLevel-1))^(2^F35),0),D35+(E35-D35)*(1+G35)*((8-1)/(MaxLevel-1))^(2^F35)))</f>
        <v/>
      </c>
      <c r="P35" s="12" t="str">
        <f>IF(OR(D35="",E35=""),"",IF(IFERROR(INDEX(Stats!$D:$D,MATCH($C35,Stats!$A:$A,0)),FALSE),ROUND(D35+(E35-D35)*(1+G35)*((9-1)/(MaxLevel-1))^(2^F35),0),D35+(E35-D35)*(1+G35)*((9-1)/(MaxLevel-1))^(2^F35)))</f>
        <v/>
      </c>
      <c r="Q35" s="12" t="str">
        <f>IF(OR(D35="",E35=""),"",IF(IFERROR(INDEX(Stats!$D:$D,MATCH($C35,Stats!$A:$A,0)),FALSE),ROUND(D35+(E35-D35)*(1+G35)*((10-1)/(MaxLevel-1))^(2^F35),0),D35+(E35-D35)*(1+G35)*((10-1)/(MaxLevel-1))^(2^F35)))</f>
        <v/>
      </c>
    </row>
    <row r="36" spans="1:17" x14ac:dyDescent="0.25">
      <c r="A36" s="4" t="s">
        <v>185</v>
      </c>
      <c r="B36" s="19" t="s">
        <v>218</v>
      </c>
      <c r="C36" s="4" t="s">
        <v>54</v>
      </c>
      <c r="D36" s="5"/>
      <c r="E36" s="5"/>
      <c r="F36" s="5"/>
      <c r="G36" s="5"/>
      <c r="H36" s="12" t="str">
        <f>IF(OR(D36="",E36=""),"",IF(IFERROR(INDEX(Stats!$D:$D,MATCH($C36,Stats!$A:$A,0)),FALSE),ROUND(D36+(E36-D36)*(1+G36)*((1-1)/(MaxLevel-1))^(2^F36),0),D36+(E36-D36)*(1+G36)*((1-1)/(MaxLevel-1))^(2^F36)))</f>
        <v/>
      </c>
      <c r="I36" s="12" t="str">
        <f>IF(OR(D36="",E36=""),"",IF(IFERROR(INDEX(Stats!$D:$D,MATCH($C36,Stats!$A:$A,0)),FALSE),ROUND(D36+(E36-D36)*(1+G36)*((2-1)/(MaxLevel-1))^(2^F36),0),D36+(E36-D36)*(1+G36)*((2-1)/(MaxLevel-1))^(2^F36)))</f>
        <v/>
      </c>
      <c r="J36" s="12" t="str">
        <f>IF(OR(D36="",E36=""),"",IF(IFERROR(INDEX(Stats!$D:$D,MATCH($C36,Stats!$A:$A,0)),FALSE),ROUND(D36+(E36-D36)*(1+G36)*((3-1)/(MaxLevel-1))^(2^F36),0),D36+(E36-D36)*(1+G36)*((3-1)/(MaxLevel-1))^(2^F36)))</f>
        <v/>
      </c>
      <c r="K36" s="12" t="str">
        <f>IF(OR(D36="",E36=""),"",IF(IFERROR(INDEX(Stats!$D:$D,MATCH($C36,Stats!$A:$A,0)),FALSE),ROUND(D36+(E36-D36)*(1+G36)*((4-1)/(MaxLevel-1))^(2^F36),0),D36+(E36-D36)*(1+G36)*((4-1)/(MaxLevel-1))^(2^F36)))</f>
        <v/>
      </c>
      <c r="L36" s="12" t="str">
        <f>IF(OR(D36="",E36=""),"",IF(IFERROR(INDEX(Stats!$D:$D,MATCH($C36,Stats!$A:$A,0)),FALSE),ROUND(D36+(E36-D36)*(1+G36)*((5-1)/(MaxLevel-1))^(2^F36),0),D36+(E36-D36)*(1+G36)*((5-1)/(MaxLevel-1))^(2^F36)))</f>
        <v/>
      </c>
      <c r="M36" s="12" t="str">
        <f>IF(OR(D36="",E36=""),"",IF(IFERROR(INDEX(Stats!$D:$D,MATCH($C36,Stats!$A:$A,0)),FALSE),ROUND(D36+(E36-D36)*(1+G36)*((6-1)/(MaxLevel-1))^(2^F36),0),D36+(E36-D36)*(1+G36)*((6-1)/(MaxLevel-1))^(2^F36)))</f>
        <v/>
      </c>
      <c r="N36" s="12" t="str">
        <f>IF(OR(D36="",E36=""),"",IF(IFERROR(INDEX(Stats!$D:$D,MATCH($C36,Stats!$A:$A,0)),FALSE),ROUND(D36+(E36-D36)*(1+G36)*((7-1)/(MaxLevel-1))^(2^F36),0),D36+(E36-D36)*(1+G36)*((7-1)/(MaxLevel-1))^(2^F36)))</f>
        <v/>
      </c>
      <c r="O36" s="12" t="str">
        <f>IF(OR(D36="",E36=""),"",IF(IFERROR(INDEX(Stats!$D:$D,MATCH($C36,Stats!$A:$A,0)),FALSE),ROUND(D36+(E36-D36)*(1+G36)*((8-1)/(MaxLevel-1))^(2^F36),0),D36+(E36-D36)*(1+G36)*((8-1)/(MaxLevel-1))^(2^F36)))</f>
        <v/>
      </c>
      <c r="P36" s="12" t="str">
        <f>IF(OR(D36="",E36=""),"",IF(IFERROR(INDEX(Stats!$D:$D,MATCH($C36,Stats!$A:$A,0)),FALSE),ROUND(D36+(E36-D36)*(1+G36)*((9-1)/(MaxLevel-1))^(2^F36),0),D36+(E36-D36)*(1+G36)*((9-1)/(MaxLevel-1))^(2^F36)))</f>
        <v/>
      </c>
      <c r="Q36" s="12" t="str">
        <f>IF(OR(D36="",E36=""),"",IF(IFERROR(INDEX(Stats!$D:$D,MATCH($C36,Stats!$A:$A,0)),FALSE),ROUND(D36+(E36-D36)*(1+G36)*((10-1)/(MaxLevel-1))^(2^F36),0),D36+(E36-D36)*(1+G36)*((10-1)/(MaxLevel-1))^(2^F36)))</f>
        <v/>
      </c>
    </row>
    <row r="37" spans="1:17" x14ac:dyDescent="0.25">
      <c r="A37" s="4" t="s">
        <v>185</v>
      </c>
      <c r="B37" s="19" t="s">
        <v>218</v>
      </c>
      <c r="C37" s="4" t="s">
        <v>56</v>
      </c>
      <c r="D37" s="5"/>
      <c r="E37" s="5"/>
      <c r="F37" s="5"/>
      <c r="G37" s="5"/>
      <c r="H37" s="12" t="str">
        <f>IF(OR(D37="",E37=""),"",IF(IFERROR(INDEX(Stats!$D:$D,MATCH($C37,Stats!$A:$A,0)),FALSE),ROUND(D37+(E37-D37)*(1+G37)*((1-1)/(MaxLevel-1))^(2^F37),0),D37+(E37-D37)*(1+G37)*((1-1)/(MaxLevel-1))^(2^F37)))</f>
        <v/>
      </c>
      <c r="I37" s="12" t="str">
        <f>IF(OR(D37="",E37=""),"",IF(IFERROR(INDEX(Stats!$D:$D,MATCH($C37,Stats!$A:$A,0)),FALSE),ROUND(D37+(E37-D37)*(1+G37)*((2-1)/(MaxLevel-1))^(2^F37),0),D37+(E37-D37)*(1+G37)*((2-1)/(MaxLevel-1))^(2^F37)))</f>
        <v/>
      </c>
      <c r="J37" s="12" t="str">
        <f>IF(OR(D37="",E37=""),"",IF(IFERROR(INDEX(Stats!$D:$D,MATCH($C37,Stats!$A:$A,0)),FALSE),ROUND(D37+(E37-D37)*(1+G37)*((3-1)/(MaxLevel-1))^(2^F37),0),D37+(E37-D37)*(1+G37)*((3-1)/(MaxLevel-1))^(2^F37)))</f>
        <v/>
      </c>
      <c r="K37" s="12" t="str">
        <f>IF(OR(D37="",E37=""),"",IF(IFERROR(INDEX(Stats!$D:$D,MATCH($C37,Stats!$A:$A,0)),FALSE),ROUND(D37+(E37-D37)*(1+G37)*((4-1)/(MaxLevel-1))^(2^F37),0),D37+(E37-D37)*(1+G37)*((4-1)/(MaxLevel-1))^(2^F37)))</f>
        <v/>
      </c>
      <c r="L37" s="12" t="str">
        <f>IF(OR(D37="",E37=""),"",IF(IFERROR(INDEX(Stats!$D:$D,MATCH($C37,Stats!$A:$A,0)),FALSE),ROUND(D37+(E37-D37)*(1+G37)*((5-1)/(MaxLevel-1))^(2^F37),0),D37+(E37-D37)*(1+G37)*((5-1)/(MaxLevel-1))^(2^F37)))</f>
        <v/>
      </c>
      <c r="M37" s="12" t="str">
        <f>IF(OR(D37="",E37=""),"",IF(IFERROR(INDEX(Stats!$D:$D,MATCH($C37,Stats!$A:$A,0)),FALSE),ROUND(D37+(E37-D37)*(1+G37)*((6-1)/(MaxLevel-1))^(2^F37),0),D37+(E37-D37)*(1+G37)*((6-1)/(MaxLevel-1))^(2^F37)))</f>
        <v/>
      </c>
      <c r="N37" s="12" t="str">
        <f>IF(OR(D37="",E37=""),"",IF(IFERROR(INDEX(Stats!$D:$D,MATCH($C37,Stats!$A:$A,0)),FALSE),ROUND(D37+(E37-D37)*(1+G37)*((7-1)/(MaxLevel-1))^(2^F37),0),D37+(E37-D37)*(1+G37)*((7-1)/(MaxLevel-1))^(2^F37)))</f>
        <v/>
      </c>
      <c r="O37" s="12" t="str">
        <f>IF(OR(D37="",E37=""),"",IF(IFERROR(INDEX(Stats!$D:$D,MATCH($C37,Stats!$A:$A,0)),FALSE),ROUND(D37+(E37-D37)*(1+G37)*((8-1)/(MaxLevel-1))^(2^F37),0),D37+(E37-D37)*(1+G37)*((8-1)/(MaxLevel-1))^(2^F37)))</f>
        <v/>
      </c>
      <c r="P37" s="12" t="str">
        <f>IF(OR(D37="",E37=""),"",IF(IFERROR(INDEX(Stats!$D:$D,MATCH($C37,Stats!$A:$A,0)),FALSE),ROUND(D37+(E37-D37)*(1+G37)*((9-1)/(MaxLevel-1))^(2^F37),0),D37+(E37-D37)*(1+G37)*((9-1)/(MaxLevel-1))^(2^F37)))</f>
        <v/>
      </c>
      <c r="Q37" s="12" t="str">
        <f>IF(OR(D37="",E37=""),"",IF(IFERROR(INDEX(Stats!$D:$D,MATCH($C37,Stats!$A:$A,0)),FALSE),ROUND(D37+(E37-D37)*(1+G37)*((10-1)/(MaxLevel-1))^(2^F37),0),D37+(E37-D37)*(1+G37)*((10-1)/(MaxLevel-1))^(2^F37)))</f>
        <v/>
      </c>
    </row>
    <row r="38" spans="1:17" x14ac:dyDescent="0.25">
      <c r="A38" s="4" t="s">
        <v>185</v>
      </c>
      <c r="B38" s="19" t="s">
        <v>218</v>
      </c>
      <c r="C38" s="4" t="s">
        <v>58</v>
      </c>
      <c r="D38" s="5"/>
      <c r="E38" s="5"/>
      <c r="F38" s="5"/>
      <c r="G38" s="5"/>
      <c r="H38" s="12" t="str">
        <f>IF(OR(D38="",E38=""),"",IF(IFERROR(INDEX(Stats!$D:$D,MATCH($C38,Stats!$A:$A,0)),FALSE),ROUND(D38+(E38-D38)*(1+G38)*((1-1)/(MaxLevel-1))^(2^F38),0),D38+(E38-D38)*(1+G38)*((1-1)/(MaxLevel-1))^(2^F38)))</f>
        <v/>
      </c>
      <c r="I38" s="12" t="str">
        <f>IF(OR(D38="",E38=""),"",IF(IFERROR(INDEX(Stats!$D:$D,MATCH($C38,Stats!$A:$A,0)),FALSE),ROUND(D38+(E38-D38)*(1+G38)*((2-1)/(MaxLevel-1))^(2^F38),0),D38+(E38-D38)*(1+G38)*((2-1)/(MaxLevel-1))^(2^F38)))</f>
        <v/>
      </c>
      <c r="J38" s="12" t="str">
        <f>IF(OR(D38="",E38=""),"",IF(IFERROR(INDEX(Stats!$D:$D,MATCH($C38,Stats!$A:$A,0)),FALSE),ROUND(D38+(E38-D38)*(1+G38)*((3-1)/(MaxLevel-1))^(2^F38),0),D38+(E38-D38)*(1+G38)*((3-1)/(MaxLevel-1))^(2^F38)))</f>
        <v/>
      </c>
      <c r="K38" s="12" t="str">
        <f>IF(OR(D38="",E38=""),"",IF(IFERROR(INDEX(Stats!$D:$D,MATCH($C38,Stats!$A:$A,0)),FALSE),ROUND(D38+(E38-D38)*(1+G38)*((4-1)/(MaxLevel-1))^(2^F38),0),D38+(E38-D38)*(1+G38)*((4-1)/(MaxLevel-1))^(2^F38)))</f>
        <v/>
      </c>
      <c r="L38" s="12" t="str">
        <f>IF(OR(D38="",E38=""),"",IF(IFERROR(INDEX(Stats!$D:$D,MATCH($C38,Stats!$A:$A,0)),FALSE),ROUND(D38+(E38-D38)*(1+G38)*((5-1)/(MaxLevel-1))^(2^F38),0),D38+(E38-D38)*(1+G38)*((5-1)/(MaxLevel-1))^(2^F38)))</f>
        <v/>
      </c>
      <c r="M38" s="12" t="str">
        <f>IF(OR(D38="",E38=""),"",IF(IFERROR(INDEX(Stats!$D:$D,MATCH($C38,Stats!$A:$A,0)),FALSE),ROUND(D38+(E38-D38)*(1+G38)*((6-1)/(MaxLevel-1))^(2^F38),0),D38+(E38-D38)*(1+G38)*((6-1)/(MaxLevel-1))^(2^F38)))</f>
        <v/>
      </c>
      <c r="N38" s="12" t="str">
        <f>IF(OR(D38="",E38=""),"",IF(IFERROR(INDEX(Stats!$D:$D,MATCH($C38,Stats!$A:$A,0)),FALSE),ROUND(D38+(E38-D38)*(1+G38)*((7-1)/(MaxLevel-1))^(2^F38),0),D38+(E38-D38)*(1+G38)*((7-1)/(MaxLevel-1))^(2^F38)))</f>
        <v/>
      </c>
      <c r="O38" s="12" t="str">
        <f>IF(OR(D38="",E38=""),"",IF(IFERROR(INDEX(Stats!$D:$D,MATCH($C38,Stats!$A:$A,0)),FALSE),ROUND(D38+(E38-D38)*(1+G38)*((8-1)/(MaxLevel-1))^(2^F38),0),D38+(E38-D38)*(1+G38)*((8-1)/(MaxLevel-1))^(2^F38)))</f>
        <v/>
      </c>
      <c r="P38" s="12" t="str">
        <f>IF(OR(D38="",E38=""),"",IF(IFERROR(INDEX(Stats!$D:$D,MATCH($C38,Stats!$A:$A,0)),FALSE),ROUND(D38+(E38-D38)*(1+G38)*((9-1)/(MaxLevel-1))^(2^F38),0),D38+(E38-D38)*(1+G38)*((9-1)/(MaxLevel-1))^(2^F38)))</f>
        <v/>
      </c>
      <c r="Q38" s="12" t="str">
        <f>IF(OR(D38="",E38=""),"",IF(IFERROR(INDEX(Stats!$D:$D,MATCH($C38,Stats!$A:$A,0)),FALSE),ROUND(D38+(E38-D38)*(1+G38)*((10-1)/(MaxLevel-1))^(2^F38),0),D38+(E38-D38)*(1+G38)*((10-1)/(MaxLevel-1))^(2^F38)))</f>
        <v/>
      </c>
    </row>
    <row r="39" spans="1:17" x14ac:dyDescent="0.25">
      <c r="A39" s="4" t="s">
        <v>185</v>
      </c>
      <c r="B39" s="19" t="s">
        <v>218</v>
      </c>
      <c r="C39" s="4" t="s">
        <v>60</v>
      </c>
      <c r="D39" s="5">
        <v>0.3</v>
      </c>
      <c r="E39" s="5">
        <v>0.1</v>
      </c>
      <c r="F39" s="5">
        <v>0</v>
      </c>
      <c r="G39" s="5">
        <v>0</v>
      </c>
      <c r="H39" s="12">
        <f>IF(OR(D39="",E39=""),"",IF(IFERROR(INDEX(Stats!$D:$D,MATCH($C39,Stats!$A:$A,0)),FALSE),ROUND(D39+(E39-D39)*(1+G39)*((1-1)/(MaxLevel-1))^(2^F39),0),D39+(E39-D39)*(1+G39)*((1-1)/(MaxLevel-1))^(2^F39)))</f>
        <v>0.3</v>
      </c>
      <c r="I39" s="12">
        <f>IF(OR(D39="",E39=""),"",IF(IFERROR(INDEX(Stats!$D:$D,MATCH($C39,Stats!$A:$A,0)),FALSE),ROUND(D39+(E39-D39)*(1+G39)*((2-1)/(MaxLevel-1))^(2^F39),0),D39+(E39-D39)*(1+G39)*((2-1)/(MaxLevel-1))^(2^F39)))</f>
        <v>0.27777777777777779</v>
      </c>
      <c r="J39" s="12">
        <f>IF(OR(D39="",E39=""),"",IF(IFERROR(INDEX(Stats!$D:$D,MATCH($C39,Stats!$A:$A,0)),FALSE),ROUND(D39+(E39-D39)*(1+G39)*((3-1)/(MaxLevel-1))^(2^F39),0),D39+(E39-D39)*(1+G39)*((3-1)/(MaxLevel-1))^(2^F39)))</f>
        <v>0.25555555555555554</v>
      </c>
      <c r="K39" s="12">
        <f>IF(OR(D39="",E39=""),"",IF(IFERROR(INDEX(Stats!$D:$D,MATCH($C39,Stats!$A:$A,0)),FALSE),ROUND(D39+(E39-D39)*(1+G39)*((4-1)/(MaxLevel-1))^(2^F39),0),D39+(E39-D39)*(1+G39)*((4-1)/(MaxLevel-1))^(2^F39)))</f>
        <v>0.23333333333333334</v>
      </c>
      <c r="L39" s="12">
        <f>IF(OR(D39="",E39=""),"",IF(IFERROR(INDEX(Stats!$D:$D,MATCH($C39,Stats!$A:$A,0)),FALSE),ROUND(D39+(E39-D39)*(1+G39)*((5-1)/(MaxLevel-1))^(2^F39),0),D39+(E39-D39)*(1+G39)*((5-1)/(MaxLevel-1))^(2^F39)))</f>
        <v>0.21111111111111111</v>
      </c>
      <c r="M39" s="12">
        <f>IF(OR(D39="",E39=""),"",IF(IFERROR(INDEX(Stats!$D:$D,MATCH($C39,Stats!$A:$A,0)),FALSE),ROUND(D39+(E39-D39)*(1+G39)*((6-1)/(MaxLevel-1))^(2^F39),0),D39+(E39-D39)*(1+G39)*((6-1)/(MaxLevel-1))^(2^F39)))</f>
        <v>0.18888888888888888</v>
      </c>
      <c r="N39" s="12">
        <f>IF(OR(D39="",E39=""),"",IF(IFERROR(INDEX(Stats!$D:$D,MATCH($C39,Stats!$A:$A,0)),FALSE),ROUND(D39+(E39-D39)*(1+G39)*((7-1)/(MaxLevel-1))^(2^F39),0),D39+(E39-D39)*(1+G39)*((7-1)/(MaxLevel-1))^(2^F39)))</f>
        <v>0.16666666666666669</v>
      </c>
      <c r="O39" s="12">
        <f>IF(OR(D39="",E39=""),"",IF(IFERROR(INDEX(Stats!$D:$D,MATCH($C39,Stats!$A:$A,0)),FALSE),ROUND(D39+(E39-D39)*(1+G39)*((8-1)/(MaxLevel-1))^(2^F39),0),D39+(E39-D39)*(1+G39)*((8-1)/(MaxLevel-1))^(2^F39)))</f>
        <v>0.14444444444444443</v>
      </c>
      <c r="P39" s="12">
        <f>IF(OR(D39="",E39=""),"",IF(IFERROR(INDEX(Stats!$D:$D,MATCH($C39,Stats!$A:$A,0)),FALSE),ROUND(D39+(E39-D39)*(1+G39)*((9-1)/(MaxLevel-1))^(2^F39),0),D39+(E39-D39)*(1+G39)*((9-1)/(MaxLevel-1))^(2^F39)))</f>
        <v>0.12222222222222223</v>
      </c>
      <c r="Q39" s="12">
        <f>IF(OR(D39="",E39=""),"",IF(IFERROR(INDEX(Stats!$D:$D,MATCH($C39,Stats!$A:$A,0)),FALSE),ROUND(D39+(E39-D39)*(1+G39)*((10-1)/(MaxLevel-1))^(2^F39),0),D39+(E39-D39)*(1+G39)*((10-1)/(MaxLevel-1))^(2^F39)))</f>
        <v>0.1</v>
      </c>
    </row>
    <row r="40" spans="1:17" x14ac:dyDescent="0.25">
      <c r="A40" s="4" t="s">
        <v>185</v>
      </c>
      <c r="B40" s="19" t="s">
        <v>219</v>
      </c>
      <c r="C40" s="4" t="s">
        <v>24</v>
      </c>
      <c r="D40" s="5">
        <v>0</v>
      </c>
      <c r="E40" s="5">
        <v>20000</v>
      </c>
      <c r="F40" s="5">
        <v>1</v>
      </c>
      <c r="G40" s="5">
        <v>0</v>
      </c>
      <c r="H40" s="12">
        <f>IF(OR(D40="",E40=""),"",IF(IFERROR(INDEX(Stats!$D:$D,MATCH($C40,Stats!$A:$A,0)),FALSE),ROUND(D40+(E40-D40)*(1+G40)*((1-1)/(MaxLevel-1))^(2^F40),0),D40+(E40-D40)*(1+G40)*((1-1)/(MaxLevel-1))^(2^F40)))</f>
        <v>0</v>
      </c>
      <c r="I40" s="12">
        <f>IF(OR(D40="",E40=""),"",IF(IFERROR(INDEX(Stats!$D:$D,MATCH($C40,Stats!$A:$A,0)),FALSE),ROUND(D40+(E40-D40)*(1+G40)*((2-1)/(MaxLevel-1))^(2^F40),0),D40+(E40-D40)*(1+G40)*((2-1)/(MaxLevel-1))^(2^F40)))</f>
        <v>247</v>
      </c>
      <c r="J40" s="12">
        <f>IF(OR(D40="",E40=""),"",IF(IFERROR(INDEX(Stats!$D:$D,MATCH($C40,Stats!$A:$A,0)),FALSE),ROUND(D40+(E40-D40)*(1+G40)*((3-1)/(MaxLevel-1))^(2^F40),0),D40+(E40-D40)*(1+G40)*((3-1)/(MaxLevel-1))^(2^F40)))</f>
        <v>988</v>
      </c>
      <c r="K40" s="12">
        <f>IF(OR(D40="",E40=""),"",IF(IFERROR(INDEX(Stats!$D:$D,MATCH($C40,Stats!$A:$A,0)),FALSE),ROUND(D40+(E40-D40)*(1+G40)*((4-1)/(MaxLevel-1))^(2^F40),0),D40+(E40-D40)*(1+G40)*((4-1)/(MaxLevel-1))^(2^F40)))</f>
        <v>2222</v>
      </c>
      <c r="L40" s="12">
        <f>IF(OR(D40="",E40=""),"",IF(IFERROR(INDEX(Stats!$D:$D,MATCH($C40,Stats!$A:$A,0)),FALSE),ROUND(D40+(E40-D40)*(1+G40)*((5-1)/(MaxLevel-1))^(2^F40),0),D40+(E40-D40)*(1+G40)*((5-1)/(MaxLevel-1))^(2^F40)))</f>
        <v>3951</v>
      </c>
      <c r="M40" s="12">
        <f>IF(OR(D40="",E40=""),"",IF(IFERROR(INDEX(Stats!$D:$D,MATCH($C40,Stats!$A:$A,0)),FALSE),ROUND(D40+(E40-D40)*(1+G40)*((6-1)/(MaxLevel-1))^(2^F40),0),D40+(E40-D40)*(1+G40)*((6-1)/(MaxLevel-1))^(2^F40)))</f>
        <v>6173</v>
      </c>
      <c r="N40" s="12">
        <f>IF(OR(D40="",E40=""),"",IF(IFERROR(INDEX(Stats!$D:$D,MATCH($C40,Stats!$A:$A,0)),FALSE),ROUND(D40+(E40-D40)*(1+G40)*((7-1)/(MaxLevel-1))^(2^F40),0),D40+(E40-D40)*(1+G40)*((7-1)/(MaxLevel-1))^(2^F40)))</f>
        <v>8889</v>
      </c>
      <c r="O40" s="12">
        <f>IF(OR(D40="",E40=""),"",IF(IFERROR(INDEX(Stats!$D:$D,MATCH($C40,Stats!$A:$A,0)),FALSE),ROUND(D40+(E40-D40)*(1+G40)*((8-1)/(MaxLevel-1))^(2^F40),0),D40+(E40-D40)*(1+G40)*((8-1)/(MaxLevel-1))^(2^F40)))</f>
        <v>12099</v>
      </c>
      <c r="P40" s="12">
        <f>IF(OR(D40="",E40=""),"",IF(IFERROR(INDEX(Stats!$D:$D,MATCH($C40,Stats!$A:$A,0)),FALSE),ROUND(D40+(E40-D40)*(1+G40)*((9-1)/(MaxLevel-1))^(2^F40),0),D40+(E40-D40)*(1+G40)*((9-1)/(MaxLevel-1))^(2^F40)))</f>
        <v>15802</v>
      </c>
      <c r="Q40" s="12">
        <f>IF(OR(D40="",E40=""),"",IF(IFERROR(INDEX(Stats!$D:$D,MATCH($C40,Stats!$A:$A,0)),FALSE),ROUND(D40+(E40-D40)*(1+G40)*((10-1)/(MaxLevel-1))^(2^F40),0),D40+(E40-D40)*(1+G40)*((10-1)/(MaxLevel-1))^(2^F40)))</f>
        <v>20000</v>
      </c>
    </row>
    <row r="41" spans="1:17" x14ac:dyDescent="0.25">
      <c r="A41" s="4" t="s">
        <v>185</v>
      </c>
      <c r="B41" s="19" t="s">
        <v>219</v>
      </c>
      <c r="C41" s="4" t="s">
        <v>26</v>
      </c>
      <c r="D41" s="5">
        <v>50</v>
      </c>
      <c r="E41" s="5">
        <v>300</v>
      </c>
      <c r="F41" s="5">
        <v>0</v>
      </c>
      <c r="G41" s="5">
        <v>0</v>
      </c>
      <c r="H41" s="12">
        <f>IF(OR(D41="",E41=""),"",IF(IFERROR(INDEX(Stats!$D:$D,MATCH($C41,Stats!$A:$A,0)),FALSE),ROUND(D41+(E41-D41)*(1+G41)*((1-1)/(MaxLevel-1))^(2^F41),0),D41+(E41-D41)*(1+G41)*((1-1)/(MaxLevel-1))^(2^F41)))</f>
        <v>50</v>
      </c>
      <c r="I41" s="12">
        <f>IF(OR(D41="",E41=""),"",IF(IFERROR(INDEX(Stats!$D:$D,MATCH($C41,Stats!$A:$A,0)),FALSE),ROUND(D41+(E41-D41)*(1+G41)*((2-1)/(MaxLevel-1))^(2^F41),0),D41+(E41-D41)*(1+G41)*((2-1)/(MaxLevel-1))^(2^F41)))</f>
        <v>78</v>
      </c>
      <c r="J41" s="12">
        <f>IF(OR(D41="",E41=""),"",IF(IFERROR(INDEX(Stats!$D:$D,MATCH($C41,Stats!$A:$A,0)),FALSE),ROUND(D41+(E41-D41)*(1+G41)*((3-1)/(MaxLevel-1))^(2^F41),0),D41+(E41-D41)*(1+G41)*((3-1)/(MaxLevel-1))^(2^F41)))</f>
        <v>106</v>
      </c>
      <c r="K41" s="12">
        <f>IF(OR(D41="",E41=""),"",IF(IFERROR(INDEX(Stats!$D:$D,MATCH($C41,Stats!$A:$A,0)),FALSE),ROUND(D41+(E41-D41)*(1+G41)*((4-1)/(MaxLevel-1))^(2^F41),0),D41+(E41-D41)*(1+G41)*((4-1)/(MaxLevel-1))^(2^F41)))</f>
        <v>133</v>
      </c>
      <c r="L41" s="12">
        <f>IF(OR(D41="",E41=""),"",IF(IFERROR(INDEX(Stats!$D:$D,MATCH($C41,Stats!$A:$A,0)),FALSE),ROUND(D41+(E41-D41)*(1+G41)*((5-1)/(MaxLevel-1))^(2^F41),0),D41+(E41-D41)*(1+G41)*((5-1)/(MaxLevel-1))^(2^F41)))</f>
        <v>161</v>
      </c>
      <c r="M41" s="12">
        <f>IF(OR(D41="",E41=""),"",IF(IFERROR(INDEX(Stats!$D:$D,MATCH($C41,Stats!$A:$A,0)),FALSE),ROUND(D41+(E41-D41)*(1+G41)*((6-1)/(MaxLevel-1))^(2^F41),0),D41+(E41-D41)*(1+G41)*((6-1)/(MaxLevel-1))^(2^F41)))</f>
        <v>189</v>
      </c>
      <c r="N41" s="12">
        <f>IF(OR(D41="",E41=""),"",IF(IFERROR(INDEX(Stats!$D:$D,MATCH($C41,Stats!$A:$A,0)),FALSE),ROUND(D41+(E41-D41)*(1+G41)*((7-1)/(MaxLevel-1))^(2^F41),0),D41+(E41-D41)*(1+G41)*((7-1)/(MaxLevel-1))^(2^F41)))</f>
        <v>217</v>
      </c>
      <c r="O41" s="12">
        <f>IF(OR(D41="",E41=""),"",IF(IFERROR(INDEX(Stats!$D:$D,MATCH($C41,Stats!$A:$A,0)),FALSE),ROUND(D41+(E41-D41)*(1+G41)*((8-1)/(MaxLevel-1))^(2^F41),0),D41+(E41-D41)*(1+G41)*((8-1)/(MaxLevel-1))^(2^F41)))</f>
        <v>244</v>
      </c>
      <c r="P41" s="12">
        <f>IF(OR(D41="",E41=""),"",IF(IFERROR(INDEX(Stats!$D:$D,MATCH($C41,Stats!$A:$A,0)),FALSE),ROUND(D41+(E41-D41)*(1+G41)*((9-1)/(MaxLevel-1))^(2^F41),0),D41+(E41-D41)*(1+G41)*((9-1)/(MaxLevel-1))^(2^F41)))</f>
        <v>272</v>
      </c>
      <c r="Q41" s="12">
        <f>IF(OR(D41="",E41=""),"",IF(IFERROR(INDEX(Stats!$D:$D,MATCH($C41,Stats!$A:$A,0)),FALSE),ROUND(D41+(E41-D41)*(1+G41)*((10-1)/(MaxLevel-1))^(2^F41),0),D41+(E41-D41)*(1+G41)*((10-1)/(MaxLevel-1))^(2^F41)))</f>
        <v>300</v>
      </c>
    </row>
    <row r="42" spans="1:17" x14ac:dyDescent="0.25">
      <c r="A42" s="4" t="s">
        <v>185</v>
      </c>
      <c r="B42" s="19" t="s">
        <v>219</v>
      </c>
      <c r="C42" s="4" t="s">
        <v>28</v>
      </c>
      <c r="D42" s="5">
        <v>400</v>
      </c>
      <c r="E42" s="5">
        <v>1600</v>
      </c>
      <c r="F42" s="5">
        <v>0</v>
      </c>
      <c r="G42" s="5">
        <v>0</v>
      </c>
      <c r="H42" s="12">
        <f>IF(OR(D42="",E42=""),"",IF(IFERROR(INDEX(Stats!$D:$D,MATCH($C42,Stats!$A:$A,0)),FALSE),ROUND(D42+(E42-D42)*(1+G42)*((1-1)/(MaxLevel-1))^(2^F42),0),D42+(E42-D42)*(1+G42)*((1-1)/(MaxLevel-1))^(2^F42)))</f>
        <v>400</v>
      </c>
      <c r="I42" s="12">
        <f>IF(OR(D42="",E42=""),"",IF(IFERROR(INDEX(Stats!$D:$D,MATCH($C42,Stats!$A:$A,0)),FALSE),ROUND(D42+(E42-D42)*(1+G42)*((2-1)/(MaxLevel-1))^(2^F42),0),D42+(E42-D42)*(1+G42)*((2-1)/(MaxLevel-1))^(2^F42)))</f>
        <v>533</v>
      </c>
      <c r="J42" s="12">
        <f>IF(OR(D42="",E42=""),"",IF(IFERROR(INDEX(Stats!$D:$D,MATCH($C42,Stats!$A:$A,0)),FALSE),ROUND(D42+(E42-D42)*(1+G42)*((3-1)/(MaxLevel-1))^(2^F42),0),D42+(E42-D42)*(1+G42)*((3-1)/(MaxLevel-1))^(2^F42)))</f>
        <v>667</v>
      </c>
      <c r="K42" s="12">
        <f>IF(OR(D42="",E42=""),"",IF(IFERROR(INDEX(Stats!$D:$D,MATCH($C42,Stats!$A:$A,0)),FALSE),ROUND(D42+(E42-D42)*(1+G42)*((4-1)/(MaxLevel-1))^(2^F42),0),D42+(E42-D42)*(1+G42)*((4-1)/(MaxLevel-1))^(2^F42)))</f>
        <v>800</v>
      </c>
      <c r="L42" s="12">
        <f>IF(OR(D42="",E42=""),"",IF(IFERROR(INDEX(Stats!$D:$D,MATCH($C42,Stats!$A:$A,0)),FALSE),ROUND(D42+(E42-D42)*(1+G42)*((5-1)/(MaxLevel-1))^(2^F42),0),D42+(E42-D42)*(1+G42)*((5-1)/(MaxLevel-1))^(2^F42)))</f>
        <v>933</v>
      </c>
      <c r="M42" s="12">
        <f>IF(OR(D42="",E42=""),"",IF(IFERROR(INDEX(Stats!$D:$D,MATCH($C42,Stats!$A:$A,0)),FALSE),ROUND(D42+(E42-D42)*(1+G42)*((6-1)/(MaxLevel-1))^(2^F42),0),D42+(E42-D42)*(1+G42)*((6-1)/(MaxLevel-1))^(2^F42)))</f>
        <v>1067</v>
      </c>
      <c r="N42" s="12">
        <f>IF(OR(D42="",E42=""),"",IF(IFERROR(INDEX(Stats!$D:$D,MATCH($C42,Stats!$A:$A,0)),FALSE),ROUND(D42+(E42-D42)*(1+G42)*((7-1)/(MaxLevel-1))^(2^F42),0),D42+(E42-D42)*(1+G42)*((7-1)/(MaxLevel-1))^(2^F42)))</f>
        <v>1200</v>
      </c>
      <c r="O42" s="12">
        <f>IF(OR(D42="",E42=""),"",IF(IFERROR(INDEX(Stats!$D:$D,MATCH($C42,Stats!$A:$A,0)),FALSE),ROUND(D42+(E42-D42)*(1+G42)*((8-1)/(MaxLevel-1))^(2^F42),0),D42+(E42-D42)*(1+G42)*((8-1)/(MaxLevel-1))^(2^F42)))</f>
        <v>1333</v>
      </c>
      <c r="P42" s="12">
        <f>IF(OR(D42="",E42=""),"",IF(IFERROR(INDEX(Stats!$D:$D,MATCH($C42,Stats!$A:$A,0)),FALSE),ROUND(D42+(E42-D42)*(1+G42)*((9-1)/(MaxLevel-1))^(2^F42),0),D42+(E42-D42)*(1+G42)*((9-1)/(MaxLevel-1))^(2^F42)))</f>
        <v>1467</v>
      </c>
      <c r="Q42" s="12">
        <f>IF(OR(D42="",E42=""),"",IF(IFERROR(INDEX(Stats!$D:$D,MATCH($C42,Stats!$A:$A,0)),FALSE),ROUND(D42+(E42-D42)*(1+G42)*((10-1)/(MaxLevel-1))^(2^F42),0),D42+(E42-D42)*(1+G42)*((10-1)/(MaxLevel-1))^(2^F42)))</f>
        <v>1600</v>
      </c>
    </row>
    <row r="43" spans="1:17" x14ac:dyDescent="0.25">
      <c r="A43" s="4" t="s">
        <v>185</v>
      </c>
      <c r="B43" s="19" t="s">
        <v>219</v>
      </c>
      <c r="C43" s="4" t="s">
        <v>30</v>
      </c>
      <c r="D43" s="5">
        <v>30</v>
      </c>
      <c r="E43" s="5">
        <v>120</v>
      </c>
      <c r="F43" s="5">
        <v>0</v>
      </c>
      <c r="G43" s="5">
        <v>0</v>
      </c>
      <c r="H43" s="12">
        <f>IF(OR(D43="",E43=""),"",IF(IFERROR(INDEX(Stats!$D:$D,MATCH($C43,Stats!$A:$A,0)),FALSE),ROUND(D43+(E43-D43)*(1+G43)*((1-1)/(MaxLevel-1))^(2^F43),0),D43+(E43-D43)*(1+G43)*((1-1)/(MaxLevel-1))^(2^F43)))</f>
        <v>30</v>
      </c>
      <c r="I43" s="12">
        <f>IF(OR(D43="",E43=""),"",IF(IFERROR(INDEX(Stats!$D:$D,MATCH($C43,Stats!$A:$A,0)),FALSE),ROUND(D43+(E43-D43)*(1+G43)*((2-1)/(MaxLevel-1))^(2^F43),0),D43+(E43-D43)*(1+G43)*((2-1)/(MaxLevel-1))^(2^F43)))</f>
        <v>40</v>
      </c>
      <c r="J43" s="12">
        <f>IF(OR(D43="",E43=""),"",IF(IFERROR(INDEX(Stats!$D:$D,MATCH($C43,Stats!$A:$A,0)),FALSE),ROUND(D43+(E43-D43)*(1+G43)*((3-1)/(MaxLevel-1))^(2^F43),0),D43+(E43-D43)*(1+G43)*((3-1)/(MaxLevel-1))^(2^F43)))</f>
        <v>50</v>
      </c>
      <c r="K43" s="12">
        <f>IF(OR(D43="",E43=""),"",IF(IFERROR(INDEX(Stats!$D:$D,MATCH($C43,Stats!$A:$A,0)),FALSE),ROUND(D43+(E43-D43)*(1+G43)*((4-1)/(MaxLevel-1))^(2^F43),0),D43+(E43-D43)*(1+G43)*((4-1)/(MaxLevel-1))^(2^F43)))</f>
        <v>60</v>
      </c>
      <c r="L43" s="12">
        <f>IF(OR(D43="",E43=""),"",IF(IFERROR(INDEX(Stats!$D:$D,MATCH($C43,Stats!$A:$A,0)),FALSE),ROUND(D43+(E43-D43)*(1+G43)*((5-1)/(MaxLevel-1))^(2^F43),0),D43+(E43-D43)*(1+G43)*((5-1)/(MaxLevel-1))^(2^F43)))</f>
        <v>70</v>
      </c>
      <c r="M43" s="12">
        <f>IF(OR(D43="",E43=""),"",IF(IFERROR(INDEX(Stats!$D:$D,MATCH($C43,Stats!$A:$A,0)),FALSE),ROUND(D43+(E43-D43)*(1+G43)*((6-1)/(MaxLevel-1))^(2^F43),0),D43+(E43-D43)*(1+G43)*((6-1)/(MaxLevel-1))^(2^F43)))</f>
        <v>80</v>
      </c>
      <c r="N43" s="12">
        <f>IF(OR(D43="",E43=""),"",IF(IFERROR(INDEX(Stats!$D:$D,MATCH($C43,Stats!$A:$A,0)),FALSE),ROUND(D43+(E43-D43)*(1+G43)*((7-1)/(MaxLevel-1))^(2^F43),0),D43+(E43-D43)*(1+G43)*((7-1)/(MaxLevel-1))^(2^F43)))</f>
        <v>90</v>
      </c>
      <c r="O43" s="12">
        <f>IF(OR(D43="",E43=""),"",IF(IFERROR(INDEX(Stats!$D:$D,MATCH($C43,Stats!$A:$A,0)),FALSE),ROUND(D43+(E43-D43)*(1+G43)*((8-1)/(MaxLevel-1))^(2^F43),0),D43+(E43-D43)*(1+G43)*((8-1)/(MaxLevel-1))^(2^F43)))</f>
        <v>100</v>
      </c>
      <c r="P43" s="12">
        <f>IF(OR(D43="",E43=""),"",IF(IFERROR(INDEX(Stats!$D:$D,MATCH($C43,Stats!$A:$A,0)),FALSE),ROUND(D43+(E43-D43)*(1+G43)*((9-1)/(MaxLevel-1))^(2^F43),0),D43+(E43-D43)*(1+G43)*((9-1)/(MaxLevel-1))^(2^F43)))</f>
        <v>110</v>
      </c>
      <c r="Q43" s="12">
        <f>IF(OR(D43="",E43=""),"",IF(IFERROR(INDEX(Stats!$D:$D,MATCH($C43,Stats!$A:$A,0)),FALSE),ROUND(D43+(E43-D43)*(1+G43)*((10-1)/(MaxLevel-1))^(2^F43),0),D43+(E43-D43)*(1+G43)*((10-1)/(MaxLevel-1))^(2^F43)))</f>
        <v>120</v>
      </c>
    </row>
    <row r="44" spans="1:17" x14ac:dyDescent="0.25">
      <c r="A44" s="4" t="s">
        <v>185</v>
      </c>
      <c r="B44" s="19" t="s">
        <v>219</v>
      </c>
      <c r="C44" s="4" t="s">
        <v>32</v>
      </c>
      <c r="D44" s="5">
        <v>0.7</v>
      </c>
      <c r="E44" s="5">
        <v>0.95</v>
      </c>
      <c r="F44" s="5">
        <v>-1</v>
      </c>
      <c r="G44" s="5">
        <v>0</v>
      </c>
      <c r="H44" s="12">
        <f>IF(OR(D44="",E44=""),"",IF(IFERROR(INDEX(Stats!$D:$D,MATCH($C44,Stats!$A:$A,0)),FALSE),ROUND(D44+(E44-D44)*(1+G44)*((1-1)/(MaxLevel-1))^(2^F44),0),D44+(E44-D44)*(1+G44)*((1-1)/(MaxLevel-1))^(2^F44)))</f>
        <v>0.7</v>
      </c>
      <c r="I44" s="12">
        <f>IF(OR(D44="",E44=""),"",IF(IFERROR(INDEX(Stats!$D:$D,MATCH($C44,Stats!$A:$A,0)),FALSE),ROUND(D44+(E44-D44)*(1+G44)*((2-1)/(MaxLevel-1))^(2^F44),0),D44+(E44-D44)*(1+G44)*((2-1)/(MaxLevel-1))^(2^F44)))</f>
        <v>0.78333333333333333</v>
      </c>
      <c r="J44" s="12">
        <f>IF(OR(D44="",E44=""),"",IF(IFERROR(INDEX(Stats!$D:$D,MATCH($C44,Stats!$A:$A,0)),FALSE),ROUND(D44+(E44-D44)*(1+G44)*((3-1)/(MaxLevel-1))^(2^F44),0),D44+(E44-D44)*(1+G44)*((3-1)/(MaxLevel-1))^(2^F44)))</f>
        <v>0.8178511301977579</v>
      </c>
      <c r="K44" s="12">
        <f>IF(OR(D44="",E44=""),"",IF(IFERROR(INDEX(Stats!$D:$D,MATCH($C44,Stats!$A:$A,0)),FALSE),ROUND(D44+(E44-D44)*(1+G44)*((4-1)/(MaxLevel-1))^(2^F44),0),D44+(E44-D44)*(1+G44)*((4-1)/(MaxLevel-1))^(2^F44)))</f>
        <v>0.84433756729740639</v>
      </c>
      <c r="L44" s="12">
        <f>IF(OR(D44="",E44=""),"",IF(IFERROR(INDEX(Stats!$D:$D,MATCH($C44,Stats!$A:$A,0)),FALSE),ROUND(D44+(E44-D44)*(1+G44)*((5-1)/(MaxLevel-1))^(2^F44),0),D44+(E44-D44)*(1+G44)*((5-1)/(MaxLevel-1))^(2^F44)))</f>
        <v>0.86666666666666659</v>
      </c>
      <c r="M44" s="12">
        <f>IF(OR(D44="",E44=""),"",IF(IFERROR(INDEX(Stats!$D:$D,MATCH($C44,Stats!$A:$A,0)),FALSE),ROUND(D44+(E44-D44)*(1+G44)*((6-1)/(MaxLevel-1))^(2^F44),0),D44+(E44-D44)*(1+G44)*((6-1)/(MaxLevel-1))^(2^F44)))</f>
        <v>0.8863389981249824</v>
      </c>
      <c r="N44" s="12">
        <f>IF(OR(D44="",E44=""),"",IF(IFERROR(INDEX(Stats!$D:$D,MATCH($C44,Stats!$A:$A,0)),FALSE),ROUND(D44+(E44-D44)*(1+G44)*((7-1)/(MaxLevel-1))^(2^F44),0),D44+(E44-D44)*(1+G44)*((7-1)/(MaxLevel-1))^(2^F44)))</f>
        <v>0.90412414523193152</v>
      </c>
      <c r="O44" s="12">
        <f>IF(OR(D44="",E44=""),"",IF(IFERROR(INDEX(Stats!$D:$D,MATCH($C44,Stats!$A:$A,0)),FALSE),ROUND(D44+(E44-D44)*(1+G44)*((8-1)/(MaxLevel-1))^(2^F44),0),D44+(E44-D44)*(1+G44)*((8-1)/(MaxLevel-1))^(2^F44)))</f>
        <v>0.92047927592204914</v>
      </c>
      <c r="P44" s="12">
        <f>IF(OR(D44="",E44=""),"",IF(IFERROR(INDEX(Stats!$D:$D,MATCH($C44,Stats!$A:$A,0)),FALSE),ROUND(D44+(E44-D44)*(1+G44)*((9-1)/(MaxLevel-1))^(2^F44),0),D44+(E44-D44)*(1+G44)*((9-1)/(MaxLevel-1))^(2^F44)))</f>
        <v>0.93570226039551585</v>
      </c>
      <c r="Q44" s="12">
        <f>IF(OR(D44="",E44=""),"",IF(IFERROR(INDEX(Stats!$D:$D,MATCH($C44,Stats!$A:$A,0)),FALSE),ROUND(D44+(E44-D44)*(1+G44)*((10-1)/(MaxLevel-1))^(2^F44),0),D44+(E44-D44)*(1+G44)*((10-1)/(MaxLevel-1))^(2^F44)))</f>
        <v>0.95</v>
      </c>
    </row>
    <row r="45" spans="1:17" x14ac:dyDescent="0.25">
      <c r="A45" s="4" t="s">
        <v>185</v>
      </c>
      <c r="B45" s="19" t="s">
        <v>219</v>
      </c>
      <c r="C45" s="4" t="s">
        <v>34</v>
      </c>
      <c r="D45" s="5">
        <v>0.1</v>
      </c>
      <c r="E45" s="5">
        <v>0.3</v>
      </c>
      <c r="F45" s="5">
        <v>0</v>
      </c>
      <c r="G45" s="5">
        <v>0</v>
      </c>
      <c r="H45" s="12">
        <f>IF(OR(D45="",E45=""),"",IF(IFERROR(INDEX(Stats!$D:$D,MATCH($C45,Stats!$A:$A,0)),FALSE),ROUND(D45+(E45-D45)*(1+G45)*((1-1)/(MaxLevel-1))^(2^F45),0),D45+(E45-D45)*(1+G45)*((1-1)/(MaxLevel-1))^(2^F45)))</f>
        <v>0.1</v>
      </c>
      <c r="I45" s="12">
        <f>IF(OR(D45="",E45=""),"",IF(IFERROR(INDEX(Stats!$D:$D,MATCH($C45,Stats!$A:$A,0)),FALSE),ROUND(D45+(E45-D45)*(1+G45)*((2-1)/(MaxLevel-1))^(2^F45),0),D45+(E45-D45)*(1+G45)*((2-1)/(MaxLevel-1))^(2^F45)))</f>
        <v>0.12222222222222223</v>
      </c>
      <c r="J45" s="12">
        <f>IF(OR(D45="",E45=""),"",IF(IFERROR(INDEX(Stats!$D:$D,MATCH($C45,Stats!$A:$A,0)),FALSE),ROUND(D45+(E45-D45)*(1+G45)*((3-1)/(MaxLevel-1))^(2^F45),0),D45+(E45-D45)*(1+G45)*((3-1)/(MaxLevel-1))^(2^F45)))</f>
        <v>0.14444444444444443</v>
      </c>
      <c r="K45" s="12">
        <f>IF(OR(D45="",E45=""),"",IF(IFERROR(INDEX(Stats!$D:$D,MATCH($C45,Stats!$A:$A,0)),FALSE),ROUND(D45+(E45-D45)*(1+G45)*((4-1)/(MaxLevel-1))^(2^F45),0),D45+(E45-D45)*(1+G45)*((4-1)/(MaxLevel-1))^(2^F45)))</f>
        <v>0.16666666666666666</v>
      </c>
      <c r="L45" s="12">
        <f>IF(OR(D45="",E45=""),"",IF(IFERROR(INDEX(Stats!$D:$D,MATCH($C45,Stats!$A:$A,0)),FALSE),ROUND(D45+(E45-D45)*(1+G45)*((5-1)/(MaxLevel-1))^(2^F45),0),D45+(E45-D45)*(1+G45)*((5-1)/(MaxLevel-1))^(2^F45)))</f>
        <v>0.18888888888888888</v>
      </c>
      <c r="M45" s="12">
        <f>IF(OR(D45="",E45=""),"",IF(IFERROR(INDEX(Stats!$D:$D,MATCH($C45,Stats!$A:$A,0)),FALSE),ROUND(D45+(E45-D45)*(1+G45)*((6-1)/(MaxLevel-1))^(2^F45),0),D45+(E45-D45)*(1+G45)*((6-1)/(MaxLevel-1))^(2^F45)))</f>
        <v>0.21111111111111111</v>
      </c>
      <c r="N45" s="12">
        <f>IF(OR(D45="",E45=""),"",IF(IFERROR(INDEX(Stats!$D:$D,MATCH($C45,Stats!$A:$A,0)),FALSE),ROUND(D45+(E45-D45)*(1+G45)*((7-1)/(MaxLevel-1))^(2^F45),0),D45+(E45-D45)*(1+G45)*((7-1)/(MaxLevel-1))^(2^F45)))</f>
        <v>0.23333333333333331</v>
      </c>
      <c r="O45" s="12">
        <f>IF(OR(D45="",E45=""),"",IF(IFERROR(INDEX(Stats!$D:$D,MATCH($C45,Stats!$A:$A,0)),FALSE),ROUND(D45+(E45-D45)*(1+G45)*((8-1)/(MaxLevel-1))^(2^F45),0),D45+(E45-D45)*(1+G45)*((8-1)/(MaxLevel-1))^(2^F45)))</f>
        <v>0.25555555555555554</v>
      </c>
      <c r="P45" s="12">
        <f>IF(OR(D45="",E45=""),"",IF(IFERROR(INDEX(Stats!$D:$D,MATCH($C45,Stats!$A:$A,0)),FALSE),ROUND(D45+(E45-D45)*(1+G45)*((9-1)/(MaxLevel-1))^(2^F45),0),D45+(E45-D45)*(1+G45)*((9-1)/(MaxLevel-1))^(2^F45)))</f>
        <v>0.27777777777777779</v>
      </c>
      <c r="Q45" s="12">
        <f>IF(OR(D45="",E45=""),"",IF(IFERROR(INDEX(Stats!$D:$D,MATCH($C45,Stats!$A:$A,0)),FALSE),ROUND(D45+(E45-D45)*(1+G45)*((10-1)/(MaxLevel-1))^(2^F45),0),D45+(E45-D45)*(1+G45)*((10-1)/(MaxLevel-1))^(2^F45)))</f>
        <v>0.3</v>
      </c>
    </row>
    <row r="46" spans="1:17" x14ac:dyDescent="0.25">
      <c r="A46" s="4" t="s">
        <v>185</v>
      </c>
      <c r="B46" s="19" t="s">
        <v>219</v>
      </c>
      <c r="C46" s="4" t="s">
        <v>36</v>
      </c>
      <c r="D46" s="5"/>
      <c r="E46" s="5"/>
      <c r="F46" s="5"/>
      <c r="G46" s="5"/>
      <c r="H46" s="12" t="str">
        <f>IF(OR(D46="",E46=""),"",IF(IFERROR(INDEX(Stats!$D:$D,MATCH($C46,Stats!$A:$A,0)),FALSE),ROUND(D46+(E46-D46)*(1+G46)*((1-1)/(MaxLevel-1))^(2^F46),0),D46+(E46-D46)*(1+G46)*((1-1)/(MaxLevel-1))^(2^F46)))</f>
        <v/>
      </c>
      <c r="I46" s="12" t="str">
        <f>IF(OR(D46="",E46=""),"",IF(IFERROR(INDEX(Stats!$D:$D,MATCH($C46,Stats!$A:$A,0)),FALSE),ROUND(D46+(E46-D46)*(1+G46)*((2-1)/(MaxLevel-1))^(2^F46),0),D46+(E46-D46)*(1+G46)*((2-1)/(MaxLevel-1))^(2^F46)))</f>
        <v/>
      </c>
      <c r="J46" s="12" t="str">
        <f>IF(OR(D46="",E46=""),"",IF(IFERROR(INDEX(Stats!$D:$D,MATCH($C46,Stats!$A:$A,0)),FALSE),ROUND(D46+(E46-D46)*(1+G46)*((3-1)/(MaxLevel-1))^(2^F46),0),D46+(E46-D46)*(1+G46)*((3-1)/(MaxLevel-1))^(2^F46)))</f>
        <v/>
      </c>
      <c r="K46" s="12" t="str">
        <f>IF(OR(D46="",E46=""),"",IF(IFERROR(INDEX(Stats!$D:$D,MATCH($C46,Stats!$A:$A,0)),FALSE),ROUND(D46+(E46-D46)*(1+G46)*((4-1)/(MaxLevel-1))^(2^F46),0),D46+(E46-D46)*(1+G46)*((4-1)/(MaxLevel-1))^(2^F46)))</f>
        <v/>
      </c>
      <c r="L46" s="12" t="str">
        <f>IF(OR(D46="",E46=""),"",IF(IFERROR(INDEX(Stats!$D:$D,MATCH($C46,Stats!$A:$A,0)),FALSE),ROUND(D46+(E46-D46)*(1+G46)*((5-1)/(MaxLevel-1))^(2^F46),0),D46+(E46-D46)*(1+G46)*((5-1)/(MaxLevel-1))^(2^F46)))</f>
        <v/>
      </c>
      <c r="M46" s="12" t="str">
        <f>IF(OR(D46="",E46=""),"",IF(IFERROR(INDEX(Stats!$D:$D,MATCH($C46,Stats!$A:$A,0)),FALSE),ROUND(D46+(E46-D46)*(1+G46)*((6-1)/(MaxLevel-1))^(2^F46),0),D46+(E46-D46)*(1+G46)*((6-1)/(MaxLevel-1))^(2^F46)))</f>
        <v/>
      </c>
      <c r="N46" s="12" t="str">
        <f>IF(OR(D46="",E46=""),"",IF(IFERROR(INDEX(Stats!$D:$D,MATCH($C46,Stats!$A:$A,0)),FALSE),ROUND(D46+(E46-D46)*(1+G46)*((7-1)/(MaxLevel-1))^(2^F46),0),D46+(E46-D46)*(1+G46)*((7-1)/(MaxLevel-1))^(2^F46)))</f>
        <v/>
      </c>
      <c r="O46" s="12" t="str">
        <f>IF(OR(D46="",E46=""),"",IF(IFERROR(INDEX(Stats!$D:$D,MATCH($C46,Stats!$A:$A,0)),FALSE),ROUND(D46+(E46-D46)*(1+G46)*((8-1)/(MaxLevel-1))^(2^F46),0),D46+(E46-D46)*(1+G46)*((8-1)/(MaxLevel-1))^(2^F46)))</f>
        <v/>
      </c>
      <c r="P46" s="12" t="str">
        <f>IF(OR(D46="",E46=""),"",IF(IFERROR(INDEX(Stats!$D:$D,MATCH($C46,Stats!$A:$A,0)),FALSE),ROUND(D46+(E46-D46)*(1+G46)*((9-1)/(MaxLevel-1))^(2^F46),0),D46+(E46-D46)*(1+G46)*((9-1)/(MaxLevel-1))^(2^F46)))</f>
        <v/>
      </c>
      <c r="Q46" s="12" t="str">
        <f>IF(OR(D46="",E46=""),"",IF(IFERROR(INDEX(Stats!$D:$D,MATCH($C46,Stats!$A:$A,0)),FALSE),ROUND(D46+(E46-D46)*(1+G46)*((10-1)/(MaxLevel-1))^(2^F46),0),D46+(E46-D46)*(1+G46)*((10-1)/(MaxLevel-1))^(2^F46)))</f>
        <v/>
      </c>
    </row>
    <row r="47" spans="1:17" x14ac:dyDescent="0.25">
      <c r="A47" s="4" t="s">
        <v>185</v>
      </c>
      <c r="B47" s="19" t="s">
        <v>219</v>
      </c>
      <c r="C47" s="4" t="s">
        <v>38</v>
      </c>
      <c r="D47" s="5"/>
      <c r="E47" s="5"/>
      <c r="F47" s="5"/>
      <c r="G47" s="5"/>
      <c r="H47" s="12" t="str">
        <f>IF(OR(D47="",E47=""),"",IF(IFERROR(INDEX(Stats!$D:$D,MATCH($C47,Stats!$A:$A,0)),FALSE),ROUND(D47+(E47-D47)*(1+G47)*((1-1)/(MaxLevel-1))^(2^F47),0),D47+(E47-D47)*(1+G47)*((1-1)/(MaxLevel-1))^(2^F47)))</f>
        <v/>
      </c>
      <c r="I47" s="12" t="str">
        <f>IF(OR(D47="",E47=""),"",IF(IFERROR(INDEX(Stats!$D:$D,MATCH($C47,Stats!$A:$A,0)),FALSE),ROUND(D47+(E47-D47)*(1+G47)*((2-1)/(MaxLevel-1))^(2^F47),0),D47+(E47-D47)*(1+G47)*((2-1)/(MaxLevel-1))^(2^F47)))</f>
        <v/>
      </c>
      <c r="J47" s="12" t="str">
        <f>IF(OR(D47="",E47=""),"",IF(IFERROR(INDEX(Stats!$D:$D,MATCH($C47,Stats!$A:$A,0)),FALSE),ROUND(D47+(E47-D47)*(1+G47)*((3-1)/(MaxLevel-1))^(2^F47),0),D47+(E47-D47)*(1+G47)*((3-1)/(MaxLevel-1))^(2^F47)))</f>
        <v/>
      </c>
      <c r="K47" s="12" t="str">
        <f>IF(OR(D47="",E47=""),"",IF(IFERROR(INDEX(Stats!$D:$D,MATCH($C47,Stats!$A:$A,0)),FALSE),ROUND(D47+(E47-D47)*(1+G47)*((4-1)/(MaxLevel-1))^(2^F47),0),D47+(E47-D47)*(1+G47)*((4-1)/(MaxLevel-1))^(2^F47)))</f>
        <v/>
      </c>
      <c r="L47" s="12" t="str">
        <f>IF(OR(D47="",E47=""),"",IF(IFERROR(INDEX(Stats!$D:$D,MATCH($C47,Stats!$A:$A,0)),FALSE),ROUND(D47+(E47-D47)*(1+G47)*((5-1)/(MaxLevel-1))^(2^F47),0),D47+(E47-D47)*(1+G47)*((5-1)/(MaxLevel-1))^(2^F47)))</f>
        <v/>
      </c>
      <c r="M47" s="12" t="str">
        <f>IF(OR(D47="",E47=""),"",IF(IFERROR(INDEX(Stats!$D:$D,MATCH($C47,Stats!$A:$A,0)),FALSE),ROUND(D47+(E47-D47)*(1+G47)*((6-1)/(MaxLevel-1))^(2^F47),0),D47+(E47-D47)*(1+G47)*((6-1)/(MaxLevel-1))^(2^F47)))</f>
        <v/>
      </c>
      <c r="N47" s="12" t="str">
        <f>IF(OR(D47="",E47=""),"",IF(IFERROR(INDEX(Stats!$D:$D,MATCH($C47,Stats!$A:$A,0)),FALSE),ROUND(D47+(E47-D47)*(1+G47)*((7-1)/(MaxLevel-1))^(2^F47),0),D47+(E47-D47)*(1+G47)*((7-1)/(MaxLevel-1))^(2^F47)))</f>
        <v/>
      </c>
      <c r="O47" s="12" t="str">
        <f>IF(OR(D47="",E47=""),"",IF(IFERROR(INDEX(Stats!$D:$D,MATCH($C47,Stats!$A:$A,0)),FALSE),ROUND(D47+(E47-D47)*(1+G47)*((8-1)/(MaxLevel-1))^(2^F47),0),D47+(E47-D47)*(1+G47)*((8-1)/(MaxLevel-1))^(2^F47)))</f>
        <v/>
      </c>
      <c r="P47" s="12" t="str">
        <f>IF(OR(D47="",E47=""),"",IF(IFERROR(INDEX(Stats!$D:$D,MATCH($C47,Stats!$A:$A,0)),FALSE),ROUND(D47+(E47-D47)*(1+G47)*((9-1)/(MaxLevel-1))^(2^F47),0),D47+(E47-D47)*(1+G47)*((9-1)/(MaxLevel-1))^(2^F47)))</f>
        <v/>
      </c>
      <c r="Q47" s="12" t="str">
        <f>IF(OR(D47="",E47=""),"",IF(IFERROR(INDEX(Stats!$D:$D,MATCH($C47,Stats!$A:$A,0)),FALSE),ROUND(D47+(E47-D47)*(1+G47)*((10-1)/(MaxLevel-1))^(2^F47),0),D47+(E47-D47)*(1+G47)*((10-1)/(MaxLevel-1))^(2^F47)))</f>
        <v/>
      </c>
    </row>
    <row r="48" spans="1:17" x14ac:dyDescent="0.25">
      <c r="A48" s="4" t="s">
        <v>185</v>
      </c>
      <c r="B48" s="19" t="s">
        <v>219</v>
      </c>
      <c r="C48" s="4" t="s">
        <v>40</v>
      </c>
      <c r="D48" s="5"/>
      <c r="E48" s="5"/>
      <c r="F48" s="5"/>
      <c r="G48" s="5"/>
      <c r="H48" s="12" t="str">
        <f>IF(OR(D48="",E48=""),"",IF(IFERROR(INDEX(Stats!$D:$D,MATCH($C48,Stats!$A:$A,0)),FALSE),ROUND(D48+(E48-D48)*(1+G48)*((1-1)/(MaxLevel-1))^(2^F48),0),D48+(E48-D48)*(1+G48)*((1-1)/(MaxLevel-1))^(2^F48)))</f>
        <v/>
      </c>
      <c r="I48" s="12" t="str">
        <f>IF(OR(D48="",E48=""),"",IF(IFERROR(INDEX(Stats!$D:$D,MATCH($C48,Stats!$A:$A,0)),FALSE),ROUND(D48+(E48-D48)*(1+G48)*((2-1)/(MaxLevel-1))^(2^F48),0),D48+(E48-D48)*(1+G48)*((2-1)/(MaxLevel-1))^(2^F48)))</f>
        <v/>
      </c>
      <c r="J48" s="12" t="str">
        <f>IF(OR(D48="",E48=""),"",IF(IFERROR(INDEX(Stats!$D:$D,MATCH($C48,Stats!$A:$A,0)),FALSE),ROUND(D48+(E48-D48)*(1+G48)*((3-1)/(MaxLevel-1))^(2^F48),0),D48+(E48-D48)*(1+G48)*((3-1)/(MaxLevel-1))^(2^F48)))</f>
        <v/>
      </c>
      <c r="K48" s="12" t="str">
        <f>IF(OR(D48="",E48=""),"",IF(IFERROR(INDEX(Stats!$D:$D,MATCH($C48,Stats!$A:$A,0)),FALSE),ROUND(D48+(E48-D48)*(1+G48)*((4-1)/(MaxLevel-1))^(2^F48),0),D48+(E48-D48)*(1+G48)*((4-1)/(MaxLevel-1))^(2^F48)))</f>
        <v/>
      </c>
      <c r="L48" s="12" t="str">
        <f>IF(OR(D48="",E48=""),"",IF(IFERROR(INDEX(Stats!$D:$D,MATCH($C48,Stats!$A:$A,0)),FALSE),ROUND(D48+(E48-D48)*(1+G48)*((5-1)/(MaxLevel-1))^(2^F48),0),D48+(E48-D48)*(1+G48)*((5-1)/(MaxLevel-1))^(2^F48)))</f>
        <v/>
      </c>
      <c r="M48" s="12" t="str">
        <f>IF(OR(D48="",E48=""),"",IF(IFERROR(INDEX(Stats!$D:$D,MATCH($C48,Stats!$A:$A,0)),FALSE),ROUND(D48+(E48-D48)*(1+G48)*((6-1)/(MaxLevel-1))^(2^F48),0),D48+(E48-D48)*(1+G48)*((6-1)/(MaxLevel-1))^(2^F48)))</f>
        <v/>
      </c>
      <c r="N48" s="12" t="str">
        <f>IF(OR(D48="",E48=""),"",IF(IFERROR(INDEX(Stats!$D:$D,MATCH($C48,Stats!$A:$A,0)),FALSE),ROUND(D48+(E48-D48)*(1+G48)*((7-1)/(MaxLevel-1))^(2^F48),0),D48+(E48-D48)*(1+G48)*((7-1)/(MaxLevel-1))^(2^F48)))</f>
        <v/>
      </c>
      <c r="O48" s="12" t="str">
        <f>IF(OR(D48="",E48=""),"",IF(IFERROR(INDEX(Stats!$D:$D,MATCH($C48,Stats!$A:$A,0)),FALSE),ROUND(D48+(E48-D48)*(1+G48)*((8-1)/(MaxLevel-1))^(2^F48),0),D48+(E48-D48)*(1+G48)*((8-1)/(MaxLevel-1))^(2^F48)))</f>
        <v/>
      </c>
      <c r="P48" s="12" t="str">
        <f>IF(OR(D48="",E48=""),"",IF(IFERROR(INDEX(Stats!$D:$D,MATCH($C48,Stats!$A:$A,0)),FALSE),ROUND(D48+(E48-D48)*(1+G48)*((9-1)/(MaxLevel-1))^(2^F48),0),D48+(E48-D48)*(1+G48)*((9-1)/(MaxLevel-1))^(2^F48)))</f>
        <v/>
      </c>
      <c r="Q48" s="12" t="str">
        <f>IF(OR(D48="",E48=""),"",IF(IFERROR(INDEX(Stats!$D:$D,MATCH($C48,Stats!$A:$A,0)),FALSE),ROUND(D48+(E48-D48)*(1+G48)*((10-1)/(MaxLevel-1))^(2^F48),0),D48+(E48-D48)*(1+G48)*((10-1)/(MaxLevel-1))^(2^F48)))</f>
        <v/>
      </c>
    </row>
    <row r="49" spans="1:17" x14ac:dyDescent="0.25">
      <c r="A49" s="4" t="s">
        <v>185</v>
      </c>
      <c r="B49" s="19" t="s">
        <v>219</v>
      </c>
      <c r="C49" s="4" t="s">
        <v>42</v>
      </c>
      <c r="D49" s="5"/>
      <c r="E49" s="5"/>
      <c r="F49" s="5"/>
      <c r="G49" s="5"/>
      <c r="H49" s="12" t="str">
        <f>IF(OR(D49="",E49=""),"",IF(IFERROR(INDEX(Stats!$D:$D,MATCH($C49,Stats!$A:$A,0)),FALSE),ROUND(D49+(E49-D49)*(1+G49)*((1-1)/(MaxLevel-1))^(2^F49),0),D49+(E49-D49)*(1+G49)*((1-1)/(MaxLevel-1))^(2^F49)))</f>
        <v/>
      </c>
      <c r="I49" s="12" t="str">
        <f>IF(OR(D49="",E49=""),"",IF(IFERROR(INDEX(Stats!$D:$D,MATCH($C49,Stats!$A:$A,0)),FALSE),ROUND(D49+(E49-D49)*(1+G49)*((2-1)/(MaxLevel-1))^(2^F49),0),D49+(E49-D49)*(1+G49)*((2-1)/(MaxLevel-1))^(2^F49)))</f>
        <v/>
      </c>
      <c r="J49" s="12" t="str">
        <f>IF(OR(D49="",E49=""),"",IF(IFERROR(INDEX(Stats!$D:$D,MATCH($C49,Stats!$A:$A,0)),FALSE),ROUND(D49+(E49-D49)*(1+G49)*((3-1)/(MaxLevel-1))^(2^F49),0),D49+(E49-D49)*(1+G49)*((3-1)/(MaxLevel-1))^(2^F49)))</f>
        <v/>
      </c>
      <c r="K49" s="12" t="str">
        <f>IF(OR(D49="",E49=""),"",IF(IFERROR(INDEX(Stats!$D:$D,MATCH($C49,Stats!$A:$A,0)),FALSE),ROUND(D49+(E49-D49)*(1+G49)*((4-1)/(MaxLevel-1))^(2^F49),0),D49+(E49-D49)*(1+G49)*((4-1)/(MaxLevel-1))^(2^F49)))</f>
        <v/>
      </c>
      <c r="L49" s="12" t="str">
        <f>IF(OR(D49="",E49=""),"",IF(IFERROR(INDEX(Stats!$D:$D,MATCH($C49,Stats!$A:$A,0)),FALSE),ROUND(D49+(E49-D49)*(1+G49)*((5-1)/(MaxLevel-1))^(2^F49),0),D49+(E49-D49)*(1+G49)*((5-1)/(MaxLevel-1))^(2^F49)))</f>
        <v/>
      </c>
      <c r="M49" s="12" t="str">
        <f>IF(OR(D49="",E49=""),"",IF(IFERROR(INDEX(Stats!$D:$D,MATCH($C49,Stats!$A:$A,0)),FALSE),ROUND(D49+(E49-D49)*(1+G49)*((6-1)/(MaxLevel-1))^(2^F49),0),D49+(E49-D49)*(1+G49)*((6-1)/(MaxLevel-1))^(2^F49)))</f>
        <v/>
      </c>
      <c r="N49" s="12" t="str">
        <f>IF(OR(D49="",E49=""),"",IF(IFERROR(INDEX(Stats!$D:$D,MATCH($C49,Stats!$A:$A,0)),FALSE),ROUND(D49+(E49-D49)*(1+G49)*((7-1)/(MaxLevel-1))^(2^F49),0),D49+(E49-D49)*(1+G49)*((7-1)/(MaxLevel-1))^(2^F49)))</f>
        <v/>
      </c>
      <c r="O49" s="12" t="str">
        <f>IF(OR(D49="",E49=""),"",IF(IFERROR(INDEX(Stats!$D:$D,MATCH($C49,Stats!$A:$A,0)),FALSE),ROUND(D49+(E49-D49)*(1+G49)*((8-1)/(MaxLevel-1))^(2^F49),0),D49+(E49-D49)*(1+G49)*((8-1)/(MaxLevel-1))^(2^F49)))</f>
        <v/>
      </c>
      <c r="P49" s="12" t="str">
        <f>IF(OR(D49="",E49=""),"",IF(IFERROR(INDEX(Stats!$D:$D,MATCH($C49,Stats!$A:$A,0)),FALSE),ROUND(D49+(E49-D49)*(1+G49)*((9-1)/(MaxLevel-1))^(2^F49),0),D49+(E49-D49)*(1+G49)*((9-1)/(MaxLevel-1))^(2^F49)))</f>
        <v/>
      </c>
      <c r="Q49" s="12" t="str">
        <f>IF(OR(D49="",E49=""),"",IF(IFERROR(INDEX(Stats!$D:$D,MATCH($C49,Stats!$A:$A,0)),FALSE),ROUND(D49+(E49-D49)*(1+G49)*((10-1)/(MaxLevel-1))^(2^F49),0),D49+(E49-D49)*(1+G49)*((10-1)/(MaxLevel-1))^(2^F49)))</f>
        <v/>
      </c>
    </row>
    <row r="50" spans="1:17" x14ac:dyDescent="0.25">
      <c r="A50" s="4" t="s">
        <v>185</v>
      </c>
      <c r="B50" s="19" t="s">
        <v>219</v>
      </c>
      <c r="C50" s="4" t="s">
        <v>44</v>
      </c>
      <c r="D50" s="5"/>
      <c r="E50" s="5"/>
      <c r="F50" s="5"/>
      <c r="G50" s="5"/>
      <c r="H50" s="12" t="str">
        <f>IF(OR(D50="",E50=""),"",IF(IFERROR(INDEX(Stats!$D:$D,MATCH($C50,Stats!$A:$A,0)),FALSE),ROUND(D50+(E50-D50)*(1+G50)*((1-1)/(MaxLevel-1))^(2^F50),0),D50+(E50-D50)*(1+G50)*((1-1)/(MaxLevel-1))^(2^F50)))</f>
        <v/>
      </c>
      <c r="I50" s="12" t="str">
        <f>IF(OR(D50="",E50=""),"",IF(IFERROR(INDEX(Stats!$D:$D,MATCH($C50,Stats!$A:$A,0)),FALSE),ROUND(D50+(E50-D50)*(1+G50)*((2-1)/(MaxLevel-1))^(2^F50),0),D50+(E50-D50)*(1+G50)*((2-1)/(MaxLevel-1))^(2^F50)))</f>
        <v/>
      </c>
      <c r="J50" s="12" t="str">
        <f>IF(OR(D50="",E50=""),"",IF(IFERROR(INDEX(Stats!$D:$D,MATCH($C50,Stats!$A:$A,0)),FALSE),ROUND(D50+(E50-D50)*(1+G50)*((3-1)/(MaxLevel-1))^(2^F50),0),D50+(E50-D50)*(1+G50)*((3-1)/(MaxLevel-1))^(2^F50)))</f>
        <v/>
      </c>
      <c r="K50" s="12" t="str">
        <f>IF(OR(D50="",E50=""),"",IF(IFERROR(INDEX(Stats!$D:$D,MATCH($C50,Stats!$A:$A,0)),FALSE),ROUND(D50+(E50-D50)*(1+G50)*((4-1)/(MaxLevel-1))^(2^F50),0),D50+(E50-D50)*(1+G50)*((4-1)/(MaxLevel-1))^(2^F50)))</f>
        <v/>
      </c>
      <c r="L50" s="12" t="str">
        <f>IF(OR(D50="",E50=""),"",IF(IFERROR(INDEX(Stats!$D:$D,MATCH($C50,Stats!$A:$A,0)),FALSE),ROUND(D50+(E50-D50)*(1+G50)*((5-1)/(MaxLevel-1))^(2^F50),0),D50+(E50-D50)*(1+G50)*((5-1)/(MaxLevel-1))^(2^F50)))</f>
        <v/>
      </c>
      <c r="M50" s="12" t="str">
        <f>IF(OR(D50="",E50=""),"",IF(IFERROR(INDEX(Stats!$D:$D,MATCH($C50,Stats!$A:$A,0)),FALSE),ROUND(D50+(E50-D50)*(1+G50)*((6-1)/(MaxLevel-1))^(2^F50),0),D50+(E50-D50)*(1+G50)*((6-1)/(MaxLevel-1))^(2^F50)))</f>
        <v/>
      </c>
      <c r="N50" s="12" t="str">
        <f>IF(OR(D50="",E50=""),"",IF(IFERROR(INDEX(Stats!$D:$D,MATCH($C50,Stats!$A:$A,0)),FALSE),ROUND(D50+(E50-D50)*(1+G50)*((7-1)/(MaxLevel-1))^(2^F50),0),D50+(E50-D50)*(1+G50)*((7-1)/(MaxLevel-1))^(2^F50)))</f>
        <v/>
      </c>
      <c r="O50" s="12" t="str">
        <f>IF(OR(D50="",E50=""),"",IF(IFERROR(INDEX(Stats!$D:$D,MATCH($C50,Stats!$A:$A,0)),FALSE),ROUND(D50+(E50-D50)*(1+G50)*((8-1)/(MaxLevel-1))^(2^F50),0),D50+(E50-D50)*(1+G50)*((8-1)/(MaxLevel-1))^(2^F50)))</f>
        <v/>
      </c>
      <c r="P50" s="12" t="str">
        <f>IF(OR(D50="",E50=""),"",IF(IFERROR(INDEX(Stats!$D:$D,MATCH($C50,Stats!$A:$A,0)),FALSE),ROUND(D50+(E50-D50)*(1+G50)*((9-1)/(MaxLevel-1))^(2^F50),0),D50+(E50-D50)*(1+G50)*((9-1)/(MaxLevel-1))^(2^F50)))</f>
        <v/>
      </c>
      <c r="Q50" s="12" t="str">
        <f>IF(OR(D50="",E50=""),"",IF(IFERROR(INDEX(Stats!$D:$D,MATCH($C50,Stats!$A:$A,0)),FALSE),ROUND(D50+(E50-D50)*(1+G50)*((10-1)/(MaxLevel-1))^(2^F50),0),D50+(E50-D50)*(1+G50)*((10-1)/(MaxLevel-1))^(2^F50)))</f>
        <v/>
      </c>
    </row>
    <row r="51" spans="1:17" x14ac:dyDescent="0.25">
      <c r="A51" s="4" t="s">
        <v>185</v>
      </c>
      <c r="B51" s="19" t="s">
        <v>219</v>
      </c>
      <c r="C51" s="4" t="s">
        <v>46</v>
      </c>
      <c r="D51" s="5"/>
      <c r="E51" s="5"/>
      <c r="F51" s="5"/>
      <c r="G51" s="5"/>
      <c r="H51" s="12" t="str">
        <f>IF(OR(D51="",E51=""),"",IF(IFERROR(INDEX(Stats!$D:$D,MATCH($C51,Stats!$A:$A,0)),FALSE),ROUND(D51+(E51-D51)*(1+G51)*((1-1)/(MaxLevel-1))^(2^F51),0),D51+(E51-D51)*(1+G51)*((1-1)/(MaxLevel-1))^(2^F51)))</f>
        <v/>
      </c>
      <c r="I51" s="12" t="str">
        <f>IF(OR(D51="",E51=""),"",IF(IFERROR(INDEX(Stats!$D:$D,MATCH($C51,Stats!$A:$A,0)),FALSE),ROUND(D51+(E51-D51)*(1+G51)*((2-1)/(MaxLevel-1))^(2^F51),0),D51+(E51-D51)*(1+G51)*((2-1)/(MaxLevel-1))^(2^F51)))</f>
        <v/>
      </c>
      <c r="J51" s="12" t="str">
        <f>IF(OR(D51="",E51=""),"",IF(IFERROR(INDEX(Stats!$D:$D,MATCH($C51,Stats!$A:$A,0)),FALSE),ROUND(D51+(E51-D51)*(1+G51)*((3-1)/(MaxLevel-1))^(2^F51),0),D51+(E51-D51)*(1+G51)*((3-1)/(MaxLevel-1))^(2^F51)))</f>
        <v/>
      </c>
      <c r="K51" s="12" t="str">
        <f>IF(OR(D51="",E51=""),"",IF(IFERROR(INDEX(Stats!$D:$D,MATCH($C51,Stats!$A:$A,0)),FALSE),ROUND(D51+(E51-D51)*(1+G51)*((4-1)/(MaxLevel-1))^(2^F51),0),D51+(E51-D51)*(1+G51)*((4-1)/(MaxLevel-1))^(2^F51)))</f>
        <v/>
      </c>
      <c r="L51" s="12" t="str">
        <f>IF(OR(D51="",E51=""),"",IF(IFERROR(INDEX(Stats!$D:$D,MATCH($C51,Stats!$A:$A,0)),FALSE),ROUND(D51+(E51-D51)*(1+G51)*((5-1)/(MaxLevel-1))^(2^F51),0),D51+(E51-D51)*(1+G51)*((5-1)/(MaxLevel-1))^(2^F51)))</f>
        <v/>
      </c>
      <c r="M51" s="12" t="str">
        <f>IF(OR(D51="",E51=""),"",IF(IFERROR(INDEX(Stats!$D:$D,MATCH($C51,Stats!$A:$A,0)),FALSE),ROUND(D51+(E51-D51)*(1+G51)*((6-1)/(MaxLevel-1))^(2^F51),0),D51+(E51-D51)*(1+G51)*((6-1)/(MaxLevel-1))^(2^F51)))</f>
        <v/>
      </c>
      <c r="N51" s="12" t="str">
        <f>IF(OR(D51="",E51=""),"",IF(IFERROR(INDEX(Stats!$D:$D,MATCH($C51,Stats!$A:$A,0)),FALSE),ROUND(D51+(E51-D51)*(1+G51)*((7-1)/(MaxLevel-1))^(2^F51),0),D51+(E51-D51)*(1+G51)*((7-1)/(MaxLevel-1))^(2^F51)))</f>
        <v/>
      </c>
      <c r="O51" s="12" t="str">
        <f>IF(OR(D51="",E51=""),"",IF(IFERROR(INDEX(Stats!$D:$D,MATCH($C51,Stats!$A:$A,0)),FALSE),ROUND(D51+(E51-D51)*(1+G51)*((8-1)/(MaxLevel-1))^(2^F51),0),D51+(E51-D51)*(1+G51)*((8-1)/(MaxLevel-1))^(2^F51)))</f>
        <v/>
      </c>
      <c r="P51" s="12" t="str">
        <f>IF(OR(D51="",E51=""),"",IF(IFERROR(INDEX(Stats!$D:$D,MATCH($C51,Stats!$A:$A,0)),FALSE),ROUND(D51+(E51-D51)*(1+G51)*((9-1)/(MaxLevel-1))^(2^F51),0),D51+(E51-D51)*(1+G51)*((9-1)/(MaxLevel-1))^(2^F51)))</f>
        <v/>
      </c>
      <c r="Q51" s="12" t="str">
        <f>IF(OR(D51="",E51=""),"",IF(IFERROR(INDEX(Stats!$D:$D,MATCH($C51,Stats!$A:$A,0)),FALSE),ROUND(D51+(E51-D51)*(1+G51)*((10-1)/(MaxLevel-1))^(2^F51),0),D51+(E51-D51)*(1+G51)*((10-1)/(MaxLevel-1))^(2^F51)))</f>
        <v/>
      </c>
    </row>
    <row r="52" spans="1:17" x14ac:dyDescent="0.25">
      <c r="A52" s="4" t="s">
        <v>185</v>
      </c>
      <c r="B52" s="19" t="s">
        <v>219</v>
      </c>
      <c r="C52" s="4" t="s">
        <v>48</v>
      </c>
      <c r="D52" s="5"/>
      <c r="E52" s="5"/>
      <c r="F52" s="5"/>
      <c r="G52" s="5"/>
      <c r="H52" s="12" t="str">
        <f>IF(OR(D52="",E52=""),"",IF(IFERROR(INDEX(Stats!$D:$D,MATCH($C52,Stats!$A:$A,0)),FALSE),ROUND(D52+(E52-D52)*(1+G52)*((1-1)/(MaxLevel-1))^(2^F52),0),D52+(E52-D52)*(1+G52)*((1-1)/(MaxLevel-1))^(2^F52)))</f>
        <v/>
      </c>
      <c r="I52" s="12" t="str">
        <f>IF(OR(D52="",E52=""),"",IF(IFERROR(INDEX(Stats!$D:$D,MATCH($C52,Stats!$A:$A,0)),FALSE),ROUND(D52+(E52-D52)*(1+G52)*((2-1)/(MaxLevel-1))^(2^F52),0),D52+(E52-D52)*(1+G52)*((2-1)/(MaxLevel-1))^(2^F52)))</f>
        <v/>
      </c>
      <c r="J52" s="12" t="str">
        <f>IF(OR(D52="",E52=""),"",IF(IFERROR(INDEX(Stats!$D:$D,MATCH($C52,Stats!$A:$A,0)),FALSE),ROUND(D52+(E52-D52)*(1+G52)*((3-1)/(MaxLevel-1))^(2^F52),0),D52+(E52-D52)*(1+G52)*((3-1)/(MaxLevel-1))^(2^F52)))</f>
        <v/>
      </c>
      <c r="K52" s="12" t="str">
        <f>IF(OR(D52="",E52=""),"",IF(IFERROR(INDEX(Stats!$D:$D,MATCH($C52,Stats!$A:$A,0)),FALSE),ROUND(D52+(E52-D52)*(1+G52)*((4-1)/(MaxLevel-1))^(2^F52),0),D52+(E52-D52)*(1+G52)*((4-1)/(MaxLevel-1))^(2^F52)))</f>
        <v/>
      </c>
      <c r="L52" s="12" t="str">
        <f>IF(OR(D52="",E52=""),"",IF(IFERROR(INDEX(Stats!$D:$D,MATCH($C52,Stats!$A:$A,0)),FALSE),ROUND(D52+(E52-D52)*(1+G52)*((5-1)/(MaxLevel-1))^(2^F52),0),D52+(E52-D52)*(1+G52)*((5-1)/(MaxLevel-1))^(2^F52)))</f>
        <v/>
      </c>
      <c r="M52" s="12" t="str">
        <f>IF(OR(D52="",E52=""),"",IF(IFERROR(INDEX(Stats!$D:$D,MATCH($C52,Stats!$A:$A,0)),FALSE),ROUND(D52+(E52-D52)*(1+G52)*((6-1)/(MaxLevel-1))^(2^F52),0),D52+(E52-D52)*(1+G52)*((6-1)/(MaxLevel-1))^(2^F52)))</f>
        <v/>
      </c>
      <c r="N52" s="12" t="str">
        <f>IF(OR(D52="",E52=""),"",IF(IFERROR(INDEX(Stats!$D:$D,MATCH($C52,Stats!$A:$A,0)),FALSE),ROUND(D52+(E52-D52)*(1+G52)*((7-1)/(MaxLevel-1))^(2^F52),0),D52+(E52-D52)*(1+G52)*((7-1)/(MaxLevel-1))^(2^F52)))</f>
        <v/>
      </c>
      <c r="O52" s="12" t="str">
        <f>IF(OR(D52="",E52=""),"",IF(IFERROR(INDEX(Stats!$D:$D,MATCH($C52,Stats!$A:$A,0)),FALSE),ROUND(D52+(E52-D52)*(1+G52)*((8-1)/(MaxLevel-1))^(2^F52),0),D52+(E52-D52)*(1+G52)*((8-1)/(MaxLevel-1))^(2^F52)))</f>
        <v/>
      </c>
      <c r="P52" s="12" t="str">
        <f>IF(OR(D52="",E52=""),"",IF(IFERROR(INDEX(Stats!$D:$D,MATCH($C52,Stats!$A:$A,0)),FALSE),ROUND(D52+(E52-D52)*(1+G52)*((9-1)/(MaxLevel-1))^(2^F52),0),D52+(E52-D52)*(1+G52)*((9-1)/(MaxLevel-1))^(2^F52)))</f>
        <v/>
      </c>
      <c r="Q52" s="12" t="str">
        <f>IF(OR(D52="",E52=""),"",IF(IFERROR(INDEX(Stats!$D:$D,MATCH($C52,Stats!$A:$A,0)),FALSE),ROUND(D52+(E52-D52)*(1+G52)*((10-1)/(MaxLevel-1))^(2^F52),0),D52+(E52-D52)*(1+G52)*((10-1)/(MaxLevel-1))^(2^F52)))</f>
        <v/>
      </c>
    </row>
    <row r="53" spans="1:17" x14ac:dyDescent="0.25">
      <c r="A53" s="4" t="s">
        <v>185</v>
      </c>
      <c r="B53" s="19" t="s">
        <v>219</v>
      </c>
      <c r="C53" s="4" t="s">
        <v>50</v>
      </c>
      <c r="D53" s="5"/>
      <c r="E53" s="5"/>
      <c r="F53" s="5"/>
      <c r="G53" s="5"/>
      <c r="H53" s="12" t="str">
        <f>IF(OR(D53="",E53=""),"",IF(IFERROR(INDEX(Stats!$D:$D,MATCH($C53,Stats!$A:$A,0)),FALSE),ROUND(D53+(E53-D53)*(1+G53)*((1-1)/(MaxLevel-1))^(2^F53),0),D53+(E53-D53)*(1+G53)*((1-1)/(MaxLevel-1))^(2^F53)))</f>
        <v/>
      </c>
      <c r="I53" s="12" t="str">
        <f>IF(OR(D53="",E53=""),"",IF(IFERROR(INDEX(Stats!$D:$D,MATCH($C53,Stats!$A:$A,0)),FALSE),ROUND(D53+(E53-D53)*(1+G53)*((2-1)/(MaxLevel-1))^(2^F53),0),D53+(E53-D53)*(1+G53)*((2-1)/(MaxLevel-1))^(2^F53)))</f>
        <v/>
      </c>
      <c r="J53" s="12" t="str">
        <f>IF(OR(D53="",E53=""),"",IF(IFERROR(INDEX(Stats!$D:$D,MATCH($C53,Stats!$A:$A,0)),FALSE),ROUND(D53+(E53-D53)*(1+G53)*((3-1)/(MaxLevel-1))^(2^F53),0),D53+(E53-D53)*(1+G53)*((3-1)/(MaxLevel-1))^(2^F53)))</f>
        <v/>
      </c>
      <c r="K53" s="12" t="str">
        <f>IF(OR(D53="",E53=""),"",IF(IFERROR(INDEX(Stats!$D:$D,MATCH($C53,Stats!$A:$A,0)),FALSE),ROUND(D53+(E53-D53)*(1+G53)*((4-1)/(MaxLevel-1))^(2^F53),0),D53+(E53-D53)*(1+G53)*((4-1)/(MaxLevel-1))^(2^F53)))</f>
        <v/>
      </c>
      <c r="L53" s="12" t="str">
        <f>IF(OR(D53="",E53=""),"",IF(IFERROR(INDEX(Stats!$D:$D,MATCH($C53,Stats!$A:$A,0)),FALSE),ROUND(D53+(E53-D53)*(1+G53)*((5-1)/(MaxLevel-1))^(2^F53),0),D53+(E53-D53)*(1+G53)*((5-1)/(MaxLevel-1))^(2^F53)))</f>
        <v/>
      </c>
      <c r="M53" s="12" t="str">
        <f>IF(OR(D53="",E53=""),"",IF(IFERROR(INDEX(Stats!$D:$D,MATCH($C53,Stats!$A:$A,0)),FALSE),ROUND(D53+(E53-D53)*(1+G53)*((6-1)/(MaxLevel-1))^(2^F53),0),D53+(E53-D53)*(1+G53)*((6-1)/(MaxLevel-1))^(2^F53)))</f>
        <v/>
      </c>
      <c r="N53" s="12" t="str">
        <f>IF(OR(D53="",E53=""),"",IF(IFERROR(INDEX(Stats!$D:$D,MATCH($C53,Stats!$A:$A,0)),FALSE),ROUND(D53+(E53-D53)*(1+G53)*((7-1)/(MaxLevel-1))^(2^F53),0),D53+(E53-D53)*(1+G53)*((7-1)/(MaxLevel-1))^(2^F53)))</f>
        <v/>
      </c>
      <c r="O53" s="12" t="str">
        <f>IF(OR(D53="",E53=""),"",IF(IFERROR(INDEX(Stats!$D:$D,MATCH($C53,Stats!$A:$A,0)),FALSE),ROUND(D53+(E53-D53)*(1+G53)*((8-1)/(MaxLevel-1))^(2^F53),0),D53+(E53-D53)*(1+G53)*((8-1)/(MaxLevel-1))^(2^F53)))</f>
        <v/>
      </c>
      <c r="P53" s="12" t="str">
        <f>IF(OR(D53="",E53=""),"",IF(IFERROR(INDEX(Stats!$D:$D,MATCH($C53,Stats!$A:$A,0)),FALSE),ROUND(D53+(E53-D53)*(1+G53)*((9-1)/(MaxLevel-1))^(2^F53),0),D53+(E53-D53)*(1+G53)*((9-1)/(MaxLevel-1))^(2^F53)))</f>
        <v/>
      </c>
      <c r="Q53" s="12" t="str">
        <f>IF(OR(D53="",E53=""),"",IF(IFERROR(INDEX(Stats!$D:$D,MATCH($C53,Stats!$A:$A,0)),FALSE),ROUND(D53+(E53-D53)*(1+G53)*((10-1)/(MaxLevel-1))^(2^F53),0),D53+(E53-D53)*(1+G53)*((10-1)/(MaxLevel-1))^(2^F53)))</f>
        <v/>
      </c>
    </row>
    <row r="54" spans="1:17" x14ac:dyDescent="0.25">
      <c r="A54" s="4" t="s">
        <v>185</v>
      </c>
      <c r="B54" s="19" t="s">
        <v>219</v>
      </c>
      <c r="C54" s="4" t="s">
        <v>52</v>
      </c>
      <c r="D54" s="5"/>
      <c r="E54" s="5"/>
      <c r="F54" s="5"/>
      <c r="G54" s="5"/>
      <c r="H54" s="12" t="str">
        <f>IF(OR(D54="",E54=""),"",IF(IFERROR(INDEX(Stats!$D:$D,MATCH($C54,Stats!$A:$A,0)),FALSE),ROUND(D54+(E54-D54)*(1+G54)*((1-1)/(MaxLevel-1))^(2^F54),0),D54+(E54-D54)*(1+G54)*((1-1)/(MaxLevel-1))^(2^F54)))</f>
        <v/>
      </c>
      <c r="I54" s="12" t="str">
        <f>IF(OR(D54="",E54=""),"",IF(IFERROR(INDEX(Stats!$D:$D,MATCH($C54,Stats!$A:$A,0)),FALSE),ROUND(D54+(E54-D54)*(1+G54)*((2-1)/(MaxLevel-1))^(2^F54),0),D54+(E54-D54)*(1+G54)*((2-1)/(MaxLevel-1))^(2^F54)))</f>
        <v/>
      </c>
      <c r="J54" s="12" t="str">
        <f>IF(OR(D54="",E54=""),"",IF(IFERROR(INDEX(Stats!$D:$D,MATCH($C54,Stats!$A:$A,0)),FALSE),ROUND(D54+(E54-D54)*(1+G54)*((3-1)/(MaxLevel-1))^(2^F54),0),D54+(E54-D54)*(1+G54)*((3-1)/(MaxLevel-1))^(2^F54)))</f>
        <v/>
      </c>
      <c r="K54" s="12" t="str">
        <f>IF(OR(D54="",E54=""),"",IF(IFERROR(INDEX(Stats!$D:$D,MATCH($C54,Stats!$A:$A,0)),FALSE),ROUND(D54+(E54-D54)*(1+G54)*((4-1)/(MaxLevel-1))^(2^F54),0),D54+(E54-D54)*(1+G54)*((4-1)/(MaxLevel-1))^(2^F54)))</f>
        <v/>
      </c>
      <c r="L54" s="12" t="str">
        <f>IF(OR(D54="",E54=""),"",IF(IFERROR(INDEX(Stats!$D:$D,MATCH($C54,Stats!$A:$A,0)),FALSE),ROUND(D54+(E54-D54)*(1+G54)*((5-1)/(MaxLevel-1))^(2^F54),0),D54+(E54-D54)*(1+G54)*((5-1)/(MaxLevel-1))^(2^F54)))</f>
        <v/>
      </c>
      <c r="M54" s="12" t="str">
        <f>IF(OR(D54="",E54=""),"",IF(IFERROR(INDEX(Stats!$D:$D,MATCH($C54,Stats!$A:$A,0)),FALSE),ROUND(D54+(E54-D54)*(1+G54)*((6-1)/(MaxLevel-1))^(2^F54),0),D54+(E54-D54)*(1+G54)*((6-1)/(MaxLevel-1))^(2^F54)))</f>
        <v/>
      </c>
      <c r="N54" s="12" t="str">
        <f>IF(OR(D54="",E54=""),"",IF(IFERROR(INDEX(Stats!$D:$D,MATCH($C54,Stats!$A:$A,0)),FALSE),ROUND(D54+(E54-D54)*(1+G54)*((7-1)/(MaxLevel-1))^(2^F54),0),D54+(E54-D54)*(1+G54)*((7-1)/(MaxLevel-1))^(2^F54)))</f>
        <v/>
      </c>
      <c r="O54" s="12" t="str">
        <f>IF(OR(D54="",E54=""),"",IF(IFERROR(INDEX(Stats!$D:$D,MATCH($C54,Stats!$A:$A,0)),FALSE),ROUND(D54+(E54-D54)*(1+G54)*((8-1)/(MaxLevel-1))^(2^F54),0),D54+(E54-D54)*(1+G54)*((8-1)/(MaxLevel-1))^(2^F54)))</f>
        <v/>
      </c>
      <c r="P54" s="12" t="str">
        <f>IF(OR(D54="",E54=""),"",IF(IFERROR(INDEX(Stats!$D:$D,MATCH($C54,Stats!$A:$A,0)),FALSE),ROUND(D54+(E54-D54)*(1+G54)*((9-1)/(MaxLevel-1))^(2^F54),0),D54+(E54-D54)*(1+G54)*((9-1)/(MaxLevel-1))^(2^F54)))</f>
        <v/>
      </c>
      <c r="Q54" s="12" t="str">
        <f>IF(OR(D54="",E54=""),"",IF(IFERROR(INDEX(Stats!$D:$D,MATCH($C54,Stats!$A:$A,0)),FALSE),ROUND(D54+(E54-D54)*(1+G54)*((10-1)/(MaxLevel-1))^(2^F54),0),D54+(E54-D54)*(1+G54)*((10-1)/(MaxLevel-1))^(2^F54)))</f>
        <v/>
      </c>
    </row>
    <row r="55" spans="1:17" x14ac:dyDescent="0.25">
      <c r="A55" s="4" t="s">
        <v>185</v>
      </c>
      <c r="B55" s="19" t="s">
        <v>219</v>
      </c>
      <c r="C55" s="4" t="s">
        <v>54</v>
      </c>
      <c r="D55" s="5"/>
      <c r="E55" s="5"/>
      <c r="F55" s="5"/>
      <c r="G55" s="5"/>
      <c r="H55" s="12" t="str">
        <f>IF(OR(D55="",E55=""),"",IF(IFERROR(INDEX(Stats!$D:$D,MATCH($C55,Stats!$A:$A,0)),FALSE),ROUND(D55+(E55-D55)*(1+G55)*((1-1)/(MaxLevel-1))^(2^F55),0),D55+(E55-D55)*(1+G55)*((1-1)/(MaxLevel-1))^(2^F55)))</f>
        <v/>
      </c>
      <c r="I55" s="12" t="str">
        <f>IF(OR(D55="",E55=""),"",IF(IFERROR(INDEX(Stats!$D:$D,MATCH($C55,Stats!$A:$A,0)),FALSE),ROUND(D55+(E55-D55)*(1+G55)*((2-1)/(MaxLevel-1))^(2^F55),0),D55+(E55-D55)*(1+G55)*((2-1)/(MaxLevel-1))^(2^F55)))</f>
        <v/>
      </c>
      <c r="J55" s="12" t="str">
        <f>IF(OR(D55="",E55=""),"",IF(IFERROR(INDEX(Stats!$D:$D,MATCH($C55,Stats!$A:$A,0)),FALSE),ROUND(D55+(E55-D55)*(1+G55)*((3-1)/(MaxLevel-1))^(2^F55),0),D55+(E55-D55)*(1+G55)*((3-1)/(MaxLevel-1))^(2^F55)))</f>
        <v/>
      </c>
      <c r="K55" s="12" t="str">
        <f>IF(OR(D55="",E55=""),"",IF(IFERROR(INDEX(Stats!$D:$D,MATCH($C55,Stats!$A:$A,0)),FALSE),ROUND(D55+(E55-D55)*(1+G55)*((4-1)/(MaxLevel-1))^(2^F55),0),D55+(E55-D55)*(1+G55)*((4-1)/(MaxLevel-1))^(2^F55)))</f>
        <v/>
      </c>
      <c r="L55" s="12" t="str">
        <f>IF(OR(D55="",E55=""),"",IF(IFERROR(INDEX(Stats!$D:$D,MATCH($C55,Stats!$A:$A,0)),FALSE),ROUND(D55+(E55-D55)*(1+G55)*((5-1)/(MaxLevel-1))^(2^F55),0),D55+(E55-D55)*(1+G55)*((5-1)/(MaxLevel-1))^(2^F55)))</f>
        <v/>
      </c>
      <c r="M55" s="12" t="str">
        <f>IF(OR(D55="",E55=""),"",IF(IFERROR(INDEX(Stats!$D:$D,MATCH($C55,Stats!$A:$A,0)),FALSE),ROUND(D55+(E55-D55)*(1+G55)*((6-1)/(MaxLevel-1))^(2^F55),0),D55+(E55-D55)*(1+G55)*((6-1)/(MaxLevel-1))^(2^F55)))</f>
        <v/>
      </c>
      <c r="N55" s="12" t="str">
        <f>IF(OR(D55="",E55=""),"",IF(IFERROR(INDEX(Stats!$D:$D,MATCH($C55,Stats!$A:$A,0)),FALSE),ROUND(D55+(E55-D55)*(1+G55)*((7-1)/(MaxLevel-1))^(2^F55),0),D55+(E55-D55)*(1+G55)*((7-1)/(MaxLevel-1))^(2^F55)))</f>
        <v/>
      </c>
      <c r="O55" s="12" t="str">
        <f>IF(OR(D55="",E55=""),"",IF(IFERROR(INDEX(Stats!$D:$D,MATCH($C55,Stats!$A:$A,0)),FALSE),ROUND(D55+(E55-D55)*(1+G55)*((8-1)/(MaxLevel-1))^(2^F55),0),D55+(E55-D55)*(1+G55)*((8-1)/(MaxLevel-1))^(2^F55)))</f>
        <v/>
      </c>
      <c r="P55" s="12" t="str">
        <f>IF(OR(D55="",E55=""),"",IF(IFERROR(INDEX(Stats!$D:$D,MATCH($C55,Stats!$A:$A,0)),FALSE),ROUND(D55+(E55-D55)*(1+G55)*((9-1)/(MaxLevel-1))^(2^F55),0),D55+(E55-D55)*(1+G55)*((9-1)/(MaxLevel-1))^(2^F55)))</f>
        <v/>
      </c>
      <c r="Q55" s="12" t="str">
        <f>IF(OR(D55="",E55=""),"",IF(IFERROR(INDEX(Stats!$D:$D,MATCH($C55,Stats!$A:$A,0)),FALSE),ROUND(D55+(E55-D55)*(1+G55)*((10-1)/(MaxLevel-1))^(2^F55),0),D55+(E55-D55)*(1+G55)*((10-1)/(MaxLevel-1))^(2^F55)))</f>
        <v/>
      </c>
    </row>
    <row r="56" spans="1:17" x14ac:dyDescent="0.25">
      <c r="A56" s="4" t="s">
        <v>185</v>
      </c>
      <c r="B56" s="19" t="s">
        <v>219</v>
      </c>
      <c r="C56" s="4" t="s">
        <v>56</v>
      </c>
      <c r="D56" s="5"/>
      <c r="E56" s="5"/>
      <c r="F56" s="5"/>
      <c r="G56" s="5"/>
      <c r="H56" s="12" t="str">
        <f>IF(OR(D56="",E56=""),"",IF(IFERROR(INDEX(Stats!$D:$D,MATCH($C56,Stats!$A:$A,0)),FALSE),ROUND(D56+(E56-D56)*(1+G56)*((1-1)/(MaxLevel-1))^(2^F56),0),D56+(E56-D56)*(1+G56)*((1-1)/(MaxLevel-1))^(2^F56)))</f>
        <v/>
      </c>
      <c r="I56" s="12" t="str">
        <f>IF(OR(D56="",E56=""),"",IF(IFERROR(INDEX(Stats!$D:$D,MATCH($C56,Stats!$A:$A,0)),FALSE),ROUND(D56+(E56-D56)*(1+G56)*((2-1)/(MaxLevel-1))^(2^F56),0),D56+(E56-D56)*(1+G56)*((2-1)/(MaxLevel-1))^(2^F56)))</f>
        <v/>
      </c>
      <c r="J56" s="12" t="str">
        <f>IF(OR(D56="",E56=""),"",IF(IFERROR(INDEX(Stats!$D:$D,MATCH($C56,Stats!$A:$A,0)),FALSE),ROUND(D56+(E56-D56)*(1+G56)*((3-1)/(MaxLevel-1))^(2^F56),0),D56+(E56-D56)*(1+G56)*((3-1)/(MaxLevel-1))^(2^F56)))</f>
        <v/>
      </c>
      <c r="K56" s="12" t="str">
        <f>IF(OR(D56="",E56=""),"",IF(IFERROR(INDEX(Stats!$D:$D,MATCH($C56,Stats!$A:$A,0)),FALSE),ROUND(D56+(E56-D56)*(1+G56)*((4-1)/(MaxLevel-1))^(2^F56),0),D56+(E56-D56)*(1+G56)*((4-1)/(MaxLevel-1))^(2^F56)))</f>
        <v/>
      </c>
      <c r="L56" s="12" t="str">
        <f>IF(OR(D56="",E56=""),"",IF(IFERROR(INDEX(Stats!$D:$D,MATCH($C56,Stats!$A:$A,0)),FALSE),ROUND(D56+(E56-D56)*(1+G56)*((5-1)/(MaxLevel-1))^(2^F56),0),D56+(E56-D56)*(1+G56)*((5-1)/(MaxLevel-1))^(2^F56)))</f>
        <v/>
      </c>
      <c r="M56" s="12" t="str">
        <f>IF(OR(D56="",E56=""),"",IF(IFERROR(INDEX(Stats!$D:$D,MATCH($C56,Stats!$A:$A,0)),FALSE),ROUND(D56+(E56-D56)*(1+G56)*((6-1)/(MaxLevel-1))^(2^F56),0),D56+(E56-D56)*(1+G56)*((6-1)/(MaxLevel-1))^(2^F56)))</f>
        <v/>
      </c>
      <c r="N56" s="12" t="str">
        <f>IF(OR(D56="",E56=""),"",IF(IFERROR(INDEX(Stats!$D:$D,MATCH($C56,Stats!$A:$A,0)),FALSE),ROUND(D56+(E56-D56)*(1+G56)*((7-1)/(MaxLevel-1))^(2^F56),0),D56+(E56-D56)*(1+G56)*((7-1)/(MaxLevel-1))^(2^F56)))</f>
        <v/>
      </c>
      <c r="O56" s="12" t="str">
        <f>IF(OR(D56="",E56=""),"",IF(IFERROR(INDEX(Stats!$D:$D,MATCH($C56,Stats!$A:$A,0)),FALSE),ROUND(D56+(E56-D56)*(1+G56)*((8-1)/(MaxLevel-1))^(2^F56),0),D56+(E56-D56)*(1+G56)*((8-1)/(MaxLevel-1))^(2^F56)))</f>
        <v/>
      </c>
      <c r="P56" s="12" t="str">
        <f>IF(OR(D56="",E56=""),"",IF(IFERROR(INDEX(Stats!$D:$D,MATCH($C56,Stats!$A:$A,0)),FALSE),ROUND(D56+(E56-D56)*(1+G56)*((9-1)/(MaxLevel-1))^(2^F56),0),D56+(E56-D56)*(1+G56)*((9-1)/(MaxLevel-1))^(2^F56)))</f>
        <v/>
      </c>
      <c r="Q56" s="12" t="str">
        <f>IF(OR(D56="",E56=""),"",IF(IFERROR(INDEX(Stats!$D:$D,MATCH($C56,Stats!$A:$A,0)),FALSE),ROUND(D56+(E56-D56)*(1+G56)*((10-1)/(MaxLevel-1))^(2^F56),0),D56+(E56-D56)*(1+G56)*((10-1)/(MaxLevel-1))^(2^F56)))</f>
        <v/>
      </c>
    </row>
    <row r="57" spans="1:17" x14ac:dyDescent="0.25">
      <c r="A57" s="4" t="s">
        <v>185</v>
      </c>
      <c r="B57" s="19" t="s">
        <v>219</v>
      </c>
      <c r="C57" s="4" t="s">
        <v>58</v>
      </c>
      <c r="D57" s="5"/>
      <c r="E57" s="5"/>
      <c r="F57" s="5"/>
      <c r="G57" s="5"/>
      <c r="H57" s="12" t="str">
        <f>IF(OR(D57="",E57=""),"",IF(IFERROR(INDEX(Stats!$D:$D,MATCH($C57,Stats!$A:$A,0)),FALSE),ROUND(D57+(E57-D57)*(1+G57)*((1-1)/(MaxLevel-1))^(2^F57),0),D57+(E57-D57)*(1+G57)*((1-1)/(MaxLevel-1))^(2^F57)))</f>
        <v/>
      </c>
      <c r="I57" s="12" t="str">
        <f>IF(OR(D57="",E57=""),"",IF(IFERROR(INDEX(Stats!$D:$D,MATCH($C57,Stats!$A:$A,0)),FALSE),ROUND(D57+(E57-D57)*(1+G57)*((2-1)/(MaxLevel-1))^(2^F57),0),D57+(E57-D57)*(1+G57)*((2-1)/(MaxLevel-1))^(2^F57)))</f>
        <v/>
      </c>
      <c r="J57" s="12" t="str">
        <f>IF(OR(D57="",E57=""),"",IF(IFERROR(INDEX(Stats!$D:$D,MATCH($C57,Stats!$A:$A,0)),FALSE),ROUND(D57+(E57-D57)*(1+G57)*((3-1)/(MaxLevel-1))^(2^F57),0),D57+(E57-D57)*(1+G57)*((3-1)/(MaxLevel-1))^(2^F57)))</f>
        <v/>
      </c>
      <c r="K57" s="12" t="str">
        <f>IF(OR(D57="",E57=""),"",IF(IFERROR(INDEX(Stats!$D:$D,MATCH($C57,Stats!$A:$A,0)),FALSE),ROUND(D57+(E57-D57)*(1+G57)*((4-1)/(MaxLevel-1))^(2^F57),0),D57+(E57-D57)*(1+G57)*((4-1)/(MaxLevel-1))^(2^F57)))</f>
        <v/>
      </c>
      <c r="L57" s="12" t="str">
        <f>IF(OR(D57="",E57=""),"",IF(IFERROR(INDEX(Stats!$D:$D,MATCH($C57,Stats!$A:$A,0)),FALSE),ROUND(D57+(E57-D57)*(1+G57)*((5-1)/(MaxLevel-1))^(2^F57),0),D57+(E57-D57)*(1+G57)*((5-1)/(MaxLevel-1))^(2^F57)))</f>
        <v/>
      </c>
      <c r="M57" s="12" t="str">
        <f>IF(OR(D57="",E57=""),"",IF(IFERROR(INDEX(Stats!$D:$D,MATCH($C57,Stats!$A:$A,0)),FALSE),ROUND(D57+(E57-D57)*(1+G57)*((6-1)/(MaxLevel-1))^(2^F57),0),D57+(E57-D57)*(1+G57)*((6-1)/(MaxLevel-1))^(2^F57)))</f>
        <v/>
      </c>
      <c r="N57" s="12" t="str">
        <f>IF(OR(D57="",E57=""),"",IF(IFERROR(INDEX(Stats!$D:$D,MATCH($C57,Stats!$A:$A,0)),FALSE),ROUND(D57+(E57-D57)*(1+G57)*((7-1)/(MaxLevel-1))^(2^F57),0),D57+(E57-D57)*(1+G57)*((7-1)/(MaxLevel-1))^(2^F57)))</f>
        <v/>
      </c>
      <c r="O57" s="12" t="str">
        <f>IF(OR(D57="",E57=""),"",IF(IFERROR(INDEX(Stats!$D:$D,MATCH($C57,Stats!$A:$A,0)),FALSE),ROUND(D57+(E57-D57)*(1+G57)*((8-1)/(MaxLevel-1))^(2^F57),0),D57+(E57-D57)*(1+G57)*((8-1)/(MaxLevel-1))^(2^F57)))</f>
        <v/>
      </c>
      <c r="P57" s="12" t="str">
        <f>IF(OR(D57="",E57=""),"",IF(IFERROR(INDEX(Stats!$D:$D,MATCH($C57,Stats!$A:$A,0)),FALSE),ROUND(D57+(E57-D57)*(1+G57)*((9-1)/(MaxLevel-1))^(2^F57),0),D57+(E57-D57)*(1+G57)*((9-1)/(MaxLevel-1))^(2^F57)))</f>
        <v/>
      </c>
      <c r="Q57" s="12" t="str">
        <f>IF(OR(D57="",E57=""),"",IF(IFERROR(INDEX(Stats!$D:$D,MATCH($C57,Stats!$A:$A,0)),FALSE),ROUND(D57+(E57-D57)*(1+G57)*((10-1)/(MaxLevel-1))^(2^F57),0),D57+(E57-D57)*(1+G57)*((10-1)/(MaxLevel-1))^(2^F57)))</f>
        <v/>
      </c>
    </row>
    <row r="58" spans="1:17" x14ac:dyDescent="0.25">
      <c r="A58" s="4" t="s">
        <v>185</v>
      </c>
      <c r="B58" s="19" t="s">
        <v>219</v>
      </c>
      <c r="C58" s="4" t="s">
        <v>60</v>
      </c>
      <c r="D58" s="5">
        <v>0.3</v>
      </c>
      <c r="E58" s="5">
        <v>0.1</v>
      </c>
      <c r="F58" s="5">
        <v>0</v>
      </c>
      <c r="G58" s="5">
        <v>0</v>
      </c>
      <c r="H58" s="12">
        <f>IF(OR(D58="",E58=""),"",IF(IFERROR(INDEX(Stats!$D:$D,MATCH($C58,Stats!$A:$A,0)),FALSE),ROUND(D58+(E58-D58)*(1+G58)*((1-1)/(MaxLevel-1))^(2^F58),0),D58+(E58-D58)*(1+G58)*((1-1)/(MaxLevel-1))^(2^F58)))</f>
        <v>0.3</v>
      </c>
      <c r="I58" s="12">
        <f>IF(OR(D58="",E58=""),"",IF(IFERROR(INDEX(Stats!$D:$D,MATCH($C58,Stats!$A:$A,0)),FALSE),ROUND(D58+(E58-D58)*(1+G58)*((2-1)/(MaxLevel-1))^(2^F58),0),D58+(E58-D58)*(1+G58)*((2-1)/(MaxLevel-1))^(2^F58)))</f>
        <v>0.27777777777777779</v>
      </c>
      <c r="J58" s="12">
        <f>IF(OR(D58="",E58=""),"",IF(IFERROR(INDEX(Stats!$D:$D,MATCH($C58,Stats!$A:$A,0)),FALSE),ROUND(D58+(E58-D58)*(1+G58)*((3-1)/(MaxLevel-1))^(2^F58),0),D58+(E58-D58)*(1+G58)*((3-1)/(MaxLevel-1))^(2^F58)))</f>
        <v>0.25555555555555554</v>
      </c>
      <c r="K58" s="12">
        <f>IF(OR(D58="",E58=""),"",IF(IFERROR(INDEX(Stats!$D:$D,MATCH($C58,Stats!$A:$A,0)),FALSE),ROUND(D58+(E58-D58)*(1+G58)*((4-1)/(MaxLevel-1))^(2^F58),0),D58+(E58-D58)*(1+G58)*((4-1)/(MaxLevel-1))^(2^F58)))</f>
        <v>0.23333333333333334</v>
      </c>
      <c r="L58" s="12">
        <f>IF(OR(D58="",E58=""),"",IF(IFERROR(INDEX(Stats!$D:$D,MATCH($C58,Stats!$A:$A,0)),FALSE),ROUND(D58+(E58-D58)*(1+G58)*((5-1)/(MaxLevel-1))^(2^F58),0),D58+(E58-D58)*(1+G58)*((5-1)/(MaxLevel-1))^(2^F58)))</f>
        <v>0.21111111111111111</v>
      </c>
      <c r="M58" s="12">
        <f>IF(OR(D58="",E58=""),"",IF(IFERROR(INDEX(Stats!$D:$D,MATCH($C58,Stats!$A:$A,0)),FALSE),ROUND(D58+(E58-D58)*(1+G58)*((6-1)/(MaxLevel-1))^(2^F58),0),D58+(E58-D58)*(1+G58)*((6-1)/(MaxLevel-1))^(2^F58)))</f>
        <v>0.18888888888888888</v>
      </c>
      <c r="N58" s="12">
        <f>IF(OR(D58="",E58=""),"",IF(IFERROR(INDEX(Stats!$D:$D,MATCH($C58,Stats!$A:$A,0)),FALSE),ROUND(D58+(E58-D58)*(1+G58)*((7-1)/(MaxLevel-1))^(2^F58),0),D58+(E58-D58)*(1+G58)*((7-1)/(MaxLevel-1))^(2^F58)))</f>
        <v>0.16666666666666669</v>
      </c>
      <c r="O58" s="12">
        <f>IF(OR(D58="",E58=""),"",IF(IFERROR(INDEX(Stats!$D:$D,MATCH($C58,Stats!$A:$A,0)),FALSE),ROUND(D58+(E58-D58)*(1+G58)*((8-1)/(MaxLevel-1))^(2^F58),0),D58+(E58-D58)*(1+G58)*((8-1)/(MaxLevel-1))^(2^F58)))</f>
        <v>0.14444444444444443</v>
      </c>
      <c r="P58" s="12">
        <f>IF(OR(D58="",E58=""),"",IF(IFERROR(INDEX(Stats!$D:$D,MATCH($C58,Stats!$A:$A,0)),FALSE),ROUND(D58+(E58-D58)*(1+G58)*((9-1)/(MaxLevel-1))^(2^F58),0),D58+(E58-D58)*(1+G58)*((9-1)/(MaxLevel-1))^(2^F58)))</f>
        <v>0.12222222222222223</v>
      </c>
      <c r="Q58" s="12">
        <f>IF(OR(D58="",E58=""),"",IF(IFERROR(INDEX(Stats!$D:$D,MATCH($C58,Stats!$A:$A,0)),FALSE),ROUND(D58+(E58-D58)*(1+G58)*((10-1)/(MaxLevel-1))^(2^F58),0),D58+(E58-D58)*(1+G58)*((10-1)/(MaxLevel-1))^(2^F58)))</f>
        <v>0.1</v>
      </c>
    </row>
    <row r="59" spans="1:17" x14ac:dyDescent="0.25">
      <c r="A59" s="4" t="s">
        <v>185</v>
      </c>
      <c r="B59" s="19" t="s">
        <v>220</v>
      </c>
      <c r="C59" s="4" t="s">
        <v>24</v>
      </c>
      <c r="D59" s="5">
        <v>0</v>
      </c>
      <c r="E59" s="5">
        <v>20000</v>
      </c>
      <c r="F59" s="5">
        <v>1</v>
      </c>
      <c r="G59" s="5">
        <v>0</v>
      </c>
      <c r="H59" s="12">
        <f>IF(OR(D59="",E59=""),"",IF(IFERROR(INDEX(Stats!$D:$D,MATCH($C59,Stats!$A:$A,0)),FALSE),ROUND(D59+(E59-D59)*(1+G59)*((1-1)/(MaxLevel-1))^(2^F59),0),D59+(E59-D59)*(1+G59)*((1-1)/(MaxLevel-1))^(2^F59)))</f>
        <v>0</v>
      </c>
      <c r="I59" s="12">
        <f>IF(OR(D59="",E59=""),"",IF(IFERROR(INDEX(Stats!$D:$D,MATCH($C59,Stats!$A:$A,0)),FALSE),ROUND(D59+(E59-D59)*(1+G59)*((2-1)/(MaxLevel-1))^(2^F59),0),D59+(E59-D59)*(1+G59)*((2-1)/(MaxLevel-1))^(2^F59)))</f>
        <v>247</v>
      </c>
      <c r="J59" s="12">
        <f>IF(OR(D59="",E59=""),"",IF(IFERROR(INDEX(Stats!$D:$D,MATCH($C59,Stats!$A:$A,0)),FALSE),ROUND(D59+(E59-D59)*(1+G59)*((3-1)/(MaxLevel-1))^(2^F59),0),D59+(E59-D59)*(1+G59)*((3-1)/(MaxLevel-1))^(2^F59)))</f>
        <v>988</v>
      </c>
      <c r="K59" s="12">
        <f>IF(OR(D59="",E59=""),"",IF(IFERROR(INDEX(Stats!$D:$D,MATCH($C59,Stats!$A:$A,0)),FALSE),ROUND(D59+(E59-D59)*(1+G59)*((4-1)/(MaxLevel-1))^(2^F59),0),D59+(E59-D59)*(1+G59)*((4-1)/(MaxLevel-1))^(2^F59)))</f>
        <v>2222</v>
      </c>
      <c r="L59" s="12">
        <f>IF(OR(D59="",E59=""),"",IF(IFERROR(INDEX(Stats!$D:$D,MATCH($C59,Stats!$A:$A,0)),FALSE),ROUND(D59+(E59-D59)*(1+G59)*((5-1)/(MaxLevel-1))^(2^F59),0),D59+(E59-D59)*(1+G59)*((5-1)/(MaxLevel-1))^(2^F59)))</f>
        <v>3951</v>
      </c>
      <c r="M59" s="12">
        <f>IF(OR(D59="",E59=""),"",IF(IFERROR(INDEX(Stats!$D:$D,MATCH($C59,Stats!$A:$A,0)),FALSE),ROUND(D59+(E59-D59)*(1+G59)*((6-1)/(MaxLevel-1))^(2^F59),0),D59+(E59-D59)*(1+G59)*((6-1)/(MaxLevel-1))^(2^F59)))</f>
        <v>6173</v>
      </c>
      <c r="N59" s="12">
        <f>IF(OR(D59="",E59=""),"",IF(IFERROR(INDEX(Stats!$D:$D,MATCH($C59,Stats!$A:$A,0)),FALSE),ROUND(D59+(E59-D59)*(1+G59)*((7-1)/(MaxLevel-1))^(2^F59),0),D59+(E59-D59)*(1+G59)*((7-1)/(MaxLevel-1))^(2^F59)))</f>
        <v>8889</v>
      </c>
      <c r="O59" s="12">
        <f>IF(OR(D59="",E59=""),"",IF(IFERROR(INDEX(Stats!$D:$D,MATCH($C59,Stats!$A:$A,0)),FALSE),ROUND(D59+(E59-D59)*(1+G59)*((8-1)/(MaxLevel-1))^(2^F59),0),D59+(E59-D59)*(1+G59)*((8-1)/(MaxLevel-1))^(2^F59)))</f>
        <v>12099</v>
      </c>
      <c r="P59" s="12">
        <f>IF(OR(D59="",E59=""),"",IF(IFERROR(INDEX(Stats!$D:$D,MATCH($C59,Stats!$A:$A,0)),FALSE),ROUND(D59+(E59-D59)*(1+G59)*((9-1)/(MaxLevel-1))^(2^F59),0),D59+(E59-D59)*(1+G59)*((9-1)/(MaxLevel-1))^(2^F59)))</f>
        <v>15802</v>
      </c>
      <c r="Q59" s="12">
        <f>IF(OR(D59="",E59=""),"",IF(IFERROR(INDEX(Stats!$D:$D,MATCH($C59,Stats!$A:$A,0)),FALSE),ROUND(D59+(E59-D59)*(1+G59)*((10-1)/(MaxLevel-1))^(2^F59),0),D59+(E59-D59)*(1+G59)*((10-1)/(MaxLevel-1))^(2^F59)))</f>
        <v>20000</v>
      </c>
    </row>
    <row r="60" spans="1:17" x14ac:dyDescent="0.25">
      <c r="A60" s="4" t="s">
        <v>185</v>
      </c>
      <c r="B60" s="19" t="s">
        <v>220</v>
      </c>
      <c r="C60" s="4" t="s">
        <v>26</v>
      </c>
      <c r="D60" s="5">
        <v>50</v>
      </c>
      <c r="E60" s="5">
        <v>300</v>
      </c>
      <c r="F60" s="5">
        <v>0</v>
      </c>
      <c r="G60" s="5">
        <v>0</v>
      </c>
      <c r="H60" s="12">
        <f>IF(OR(D60="",E60=""),"",IF(IFERROR(INDEX(Stats!$D:$D,MATCH($C60,Stats!$A:$A,0)),FALSE),ROUND(D60+(E60-D60)*(1+G60)*((1-1)/(MaxLevel-1))^(2^F60),0),D60+(E60-D60)*(1+G60)*((1-1)/(MaxLevel-1))^(2^F60)))</f>
        <v>50</v>
      </c>
      <c r="I60" s="12">
        <f>IF(OR(D60="",E60=""),"",IF(IFERROR(INDEX(Stats!$D:$D,MATCH($C60,Stats!$A:$A,0)),FALSE),ROUND(D60+(E60-D60)*(1+G60)*((2-1)/(MaxLevel-1))^(2^F60),0),D60+(E60-D60)*(1+G60)*((2-1)/(MaxLevel-1))^(2^F60)))</f>
        <v>78</v>
      </c>
      <c r="J60" s="12">
        <f>IF(OR(D60="",E60=""),"",IF(IFERROR(INDEX(Stats!$D:$D,MATCH($C60,Stats!$A:$A,0)),FALSE),ROUND(D60+(E60-D60)*(1+G60)*((3-1)/(MaxLevel-1))^(2^F60),0),D60+(E60-D60)*(1+G60)*((3-1)/(MaxLevel-1))^(2^F60)))</f>
        <v>106</v>
      </c>
      <c r="K60" s="12">
        <f>IF(OR(D60="",E60=""),"",IF(IFERROR(INDEX(Stats!$D:$D,MATCH($C60,Stats!$A:$A,0)),FALSE),ROUND(D60+(E60-D60)*(1+G60)*((4-1)/(MaxLevel-1))^(2^F60),0),D60+(E60-D60)*(1+G60)*((4-1)/(MaxLevel-1))^(2^F60)))</f>
        <v>133</v>
      </c>
      <c r="L60" s="12">
        <f>IF(OR(D60="",E60=""),"",IF(IFERROR(INDEX(Stats!$D:$D,MATCH($C60,Stats!$A:$A,0)),FALSE),ROUND(D60+(E60-D60)*(1+G60)*((5-1)/(MaxLevel-1))^(2^F60),0),D60+(E60-D60)*(1+G60)*((5-1)/(MaxLevel-1))^(2^F60)))</f>
        <v>161</v>
      </c>
      <c r="M60" s="12">
        <f>IF(OR(D60="",E60=""),"",IF(IFERROR(INDEX(Stats!$D:$D,MATCH($C60,Stats!$A:$A,0)),FALSE),ROUND(D60+(E60-D60)*(1+G60)*((6-1)/(MaxLevel-1))^(2^F60),0),D60+(E60-D60)*(1+G60)*((6-1)/(MaxLevel-1))^(2^F60)))</f>
        <v>189</v>
      </c>
      <c r="N60" s="12">
        <f>IF(OR(D60="",E60=""),"",IF(IFERROR(INDEX(Stats!$D:$D,MATCH($C60,Stats!$A:$A,0)),FALSE),ROUND(D60+(E60-D60)*(1+G60)*((7-1)/(MaxLevel-1))^(2^F60),0),D60+(E60-D60)*(1+G60)*((7-1)/(MaxLevel-1))^(2^F60)))</f>
        <v>217</v>
      </c>
      <c r="O60" s="12">
        <f>IF(OR(D60="",E60=""),"",IF(IFERROR(INDEX(Stats!$D:$D,MATCH($C60,Stats!$A:$A,0)),FALSE),ROUND(D60+(E60-D60)*(1+G60)*((8-1)/(MaxLevel-1))^(2^F60),0),D60+(E60-D60)*(1+G60)*((8-1)/(MaxLevel-1))^(2^F60)))</f>
        <v>244</v>
      </c>
      <c r="P60" s="12">
        <f>IF(OR(D60="",E60=""),"",IF(IFERROR(INDEX(Stats!$D:$D,MATCH($C60,Stats!$A:$A,0)),FALSE),ROUND(D60+(E60-D60)*(1+G60)*((9-1)/(MaxLevel-1))^(2^F60),0),D60+(E60-D60)*(1+G60)*((9-1)/(MaxLevel-1))^(2^F60)))</f>
        <v>272</v>
      </c>
      <c r="Q60" s="12">
        <f>IF(OR(D60="",E60=""),"",IF(IFERROR(INDEX(Stats!$D:$D,MATCH($C60,Stats!$A:$A,0)),FALSE),ROUND(D60+(E60-D60)*(1+G60)*((10-1)/(MaxLevel-1))^(2^F60),0),D60+(E60-D60)*(1+G60)*((10-1)/(MaxLevel-1))^(2^F60)))</f>
        <v>300</v>
      </c>
    </row>
    <row r="61" spans="1:17" x14ac:dyDescent="0.25">
      <c r="A61" s="4" t="s">
        <v>185</v>
      </c>
      <c r="B61" s="19" t="s">
        <v>220</v>
      </c>
      <c r="C61" s="4" t="s">
        <v>28</v>
      </c>
      <c r="D61" s="5">
        <v>400</v>
      </c>
      <c r="E61" s="5">
        <v>1600</v>
      </c>
      <c r="F61" s="5">
        <v>0</v>
      </c>
      <c r="G61" s="5">
        <v>0</v>
      </c>
      <c r="H61" s="12">
        <f>IF(OR(D61="",E61=""),"",IF(IFERROR(INDEX(Stats!$D:$D,MATCH($C61,Stats!$A:$A,0)),FALSE),ROUND(D61+(E61-D61)*(1+G61)*((1-1)/(MaxLevel-1))^(2^F61),0),D61+(E61-D61)*(1+G61)*((1-1)/(MaxLevel-1))^(2^F61)))</f>
        <v>400</v>
      </c>
      <c r="I61" s="12">
        <f>IF(OR(D61="",E61=""),"",IF(IFERROR(INDEX(Stats!$D:$D,MATCH($C61,Stats!$A:$A,0)),FALSE),ROUND(D61+(E61-D61)*(1+G61)*((2-1)/(MaxLevel-1))^(2^F61),0),D61+(E61-D61)*(1+G61)*((2-1)/(MaxLevel-1))^(2^F61)))</f>
        <v>533</v>
      </c>
      <c r="J61" s="12">
        <f>IF(OR(D61="",E61=""),"",IF(IFERROR(INDEX(Stats!$D:$D,MATCH($C61,Stats!$A:$A,0)),FALSE),ROUND(D61+(E61-D61)*(1+G61)*((3-1)/(MaxLevel-1))^(2^F61),0),D61+(E61-D61)*(1+G61)*((3-1)/(MaxLevel-1))^(2^F61)))</f>
        <v>667</v>
      </c>
      <c r="K61" s="12">
        <f>IF(OR(D61="",E61=""),"",IF(IFERROR(INDEX(Stats!$D:$D,MATCH($C61,Stats!$A:$A,0)),FALSE),ROUND(D61+(E61-D61)*(1+G61)*((4-1)/(MaxLevel-1))^(2^F61),0),D61+(E61-D61)*(1+G61)*((4-1)/(MaxLevel-1))^(2^F61)))</f>
        <v>800</v>
      </c>
      <c r="L61" s="12">
        <f>IF(OR(D61="",E61=""),"",IF(IFERROR(INDEX(Stats!$D:$D,MATCH($C61,Stats!$A:$A,0)),FALSE),ROUND(D61+(E61-D61)*(1+G61)*((5-1)/(MaxLevel-1))^(2^F61),0),D61+(E61-D61)*(1+G61)*((5-1)/(MaxLevel-1))^(2^F61)))</f>
        <v>933</v>
      </c>
      <c r="M61" s="12">
        <f>IF(OR(D61="",E61=""),"",IF(IFERROR(INDEX(Stats!$D:$D,MATCH($C61,Stats!$A:$A,0)),FALSE),ROUND(D61+(E61-D61)*(1+G61)*((6-1)/(MaxLevel-1))^(2^F61),0),D61+(E61-D61)*(1+G61)*((6-1)/(MaxLevel-1))^(2^F61)))</f>
        <v>1067</v>
      </c>
      <c r="N61" s="12">
        <f>IF(OR(D61="",E61=""),"",IF(IFERROR(INDEX(Stats!$D:$D,MATCH($C61,Stats!$A:$A,0)),FALSE),ROUND(D61+(E61-D61)*(1+G61)*((7-1)/(MaxLevel-1))^(2^F61),0),D61+(E61-D61)*(1+G61)*((7-1)/(MaxLevel-1))^(2^F61)))</f>
        <v>1200</v>
      </c>
      <c r="O61" s="12">
        <f>IF(OR(D61="",E61=""),"",IF(IFERROR(INDEX(Stats!$D:$D,MATCH($C61,Stats!$A:$A,0)),FALSE),ROUND(D61+(E61-D61)*(1+G61)*((8-1)/(MaxLevel-1))^(2^F61),0),D61+(E61-D61)*(1+G61)*((8-1)/(MaxLevel-1))^(2^F61)))</f>
        <v>1333</v>
      </c>
      <c r="P61" s="12">
        <f>IF(OR(D61="",E61=""),"",IF(IFERROR(INDEX(Stats!$D:$D,MATCH($C61,Stats!$A:$A,0)),FALSE),ROUND(D61+(E61-D61)*(1+G61)*((9-1)/(MaxLevel-1))^(2^F61),0),D61+(E61-D61)*(1+G61)*((9-1)/(MaxLevel-1))^(2^F61)))</f>
        <v>1467</v>
      </c>
      <c r="Q61" s="12">
        <f>IF(OR(D61="",E61=""),"",IF(IFERROR(INDEX(Stats!$D:$D,MATCH($C61,Stats!$A:$A,0)),FALSE),ROUND(D61+(E61-D61)*(1+G61)*((10-1)/(MaxLevel-1))^(2^F61),0),D61+(E61-D61)*(1+G61)*((10-1)/(MaxLevel-1))^(2^F61)))</f>
        <v>1600</v>
      </c>
    </row>
    <row r="62" spans="1:17" x14ac:dyDescent="0.25">
      <c r="A62" s="4" t="s">
        <v>185</v>
      </c>
      <c r="B62" s="19" t="s">
        <v>220</v>
      </c>
      <c r="C62" s="4" t="s">
        <v>30</v>
      </c>
      <c r="D62" s="5">
        <v>30</v>
      </c>
      <c r="E62" s="5">
        <v>120</v>
      </c>
      <c r="F62" s="5">
        <v>0</v>
      </c>
      <c r="G62" s="5">
        <v>0</v>
      </c>
      <c r="H62" s="12">
        <f>IF(OR(D62="",E62=""),"",IF(IFERROR(INDEX(Stats!$D:$D,MATCH($C62,Stats!$A:$A,0)),FALSE),ROUND(D62+(E62-D62)*(1+G62)*((1-1)/(MaxLevel-1))^(2^F62),0),D62+(E62-D62)*(1+G62)*((1-1)/(MaxLevel-1))^(2^F62)))</f>
        <v>30</v>
      </c>
      <c r="I62" s="12">
        <f>IF(OR(D62="",E62=""),"",IF(IFERROR(INDEX(Stats!$D:$D,MATCH($C62,Stats!$A:$A,0)),FALSE),ROUND(D62+(E62-D62)*(1+G62)*((2-1)/(MaxLevel-1))^(2^F62),0),D62+(E62-D62)*(1+G62)*((2-1)/(MaxLevel-1))^(2^F62)))</f>
        <v>40</v>
      </c>
      <c r="J62" s="12">
        <f>IF(OR(D62="",E62=""),"",IF(IFERROR(INDEX(Stats!$D:$D,MATCH($C62,Stats!$A:$A,0)),FALSE),ROUND(D62+(E62-D62)*(1+G62)*((3-1)/(MaxLevel-1))^(2^F62),0),D62+(E62-D62)*(1+G62)*((3-1)/(MaxLevel-1))^(2^F62)))</f>
        <v>50</v>
      </c>
      <c r="K62" s="12">
        <f>IF(OR(D62="",E62=""),"",IF(IFERROR(INDEX(Stats!$D:$D,MATCH($C62,Stats!$A:$A,0)),FALSE),ROUND(D62+(E62-D62)*(1+G62)*((4-1)/(MaxLevel-1))^(2^F62),0),D62+(E62-D62)*(1+G62)*((4-1)/(MaxLevel-1))^(2^F62)))</f>
        <v>60</v>
      </c>
      <c r="L62" s="12">
        <f>IF(OR(D62="",E62=""),"",IF(IFERROR(INDEX(Stats!$D:$D,MATCH($C62,Stats!$A:$A,0)),FALSE),ROUND(D62+(E62-D62)*(1+G62)*((5-1)/(MaxLevel-1))^(2^F62),0),D62+(E62-D62)*(1+G62)*((5-1)/(MaxLevel-1))^(2^F62)))</f>
        <v>70</v>
      </c>
      <c r="M62" s="12">
        <f>IF(OR(D62="",E62=""),"",IF(IFERROR(INDEX(Stats!$D:$D,MATCH($C62,Stats!$A:$A,0)),FALSE),ROUND(D62+(E62-D62)*(1+G62)*((6-1)/(MaxLevel-1))^(2^F62),0),D62+(E62-D62)*(1+G62)*((6-1)/(MaxLevel-1))^(2^F62)))</f>
        <v>80</v>
      </c>
      <c r="N62" s="12">
        <f>IF(OR(D62="",E62=""),"",IF(IFERROR(INDEX(Stats!$D:$D,MATCH($C62,Stats!$A:$A,0)),FALSE),ROUND(D62+(E62-D62)*(1+G62)*((7-1)/(MaxLevel-1))^(2^F62),0),D62+(E62-D62)*(1+G62)*((7-1)/(MaxLevel-1))^(2^F62)))</f>
        <v>90</v>
      </c>
      <c r="O62" s="12">
        <f>IF(OR(D62="",E62=""),"",IF(IFERROR(INDEX(Stats!$D:$D,MATCH($C62,Stats!$A:$A,0)),FALSE),ROUND(D62+(E62-D62)*(1+G62)*((8-1)/(MaxLevel-1))^(2^F62),0),D62+(E62-D62)*(1+G62)*((8-1)/(MaxLevel-1))^(2^F62)))</f>
        <v>100</v>
      </c>
      <c r="P62" s="12">
        <f>IF(OR(D62="",E62=""),"",IF(IFERROR(INDEX(Stats!$D:$D,MATCH($C62,Stats!$A:$A,0)),FALSE),ROUND(D62+(E62-D62)*(1+G62)*((9-1)/(MaxLevel-1))^(2^F62),0),D62+(E62-D62)*(1+G62)*((9-1)/(MaxLevel-1))^(2^F62)))</f>
        <v>110</v>
      </c>
      <c r="Q62" s="12">
        <f>IF(OR(D62="",E62=""),"",IF(IFERROR(INDEX(Stats!$D:$D,MATCH($C62,Stats!$A:$A,0)),FALSE),ROUND(D62+(E62-D62)*(1+G62)*((10-1)/(MaxLevel-1))^(2^F62),0),D62+(E62-D62)*(1+G62)*((10-1)/(MaxLevel-1))^(2^F62)))</f>
        <v>120</v>
      </c>
    </row>
    <row r="63" spans="1:17" x14ac:dyDescent="0.25">
      <c r="A63" s="4" t="s">
        <v>185</v>
      </c>
      <c r="B63" s="19" t="s">
        <v>220</v>
      </c>
      <c r="C63" s="4" t="s">
        <v>32</v>
      </c>
      <c r="D63" s="5">
        <v>0.7</v>
      </c>
      <c r="E63" s="5">
        <v>0.95</v>
      </c>
      <c r="F63" s="5">
        <v>-1</v>
      </c>
      <c r="G63" s="5">
        <v>0</v>
      </c>
      <c r="H63" s="12">
        <f>IF(OR(D63="",E63=""),"",IF(IFERROR(INDEX(Stats!$D:$D,MATCH($C63,Stats!$A:$A,0)),FALSE),ROUND(D63+(E63-D63)*(1+G63)*((1-1)/(MaxLevel-1))^(2^F63),0),D63+(E63-D63)*(1+G63)*((1-1)/(MaxLevel-1))^(2^F63)))</f>
        <v>0.7</v>
      </c>
      <c r="I63" s="12">
        <f>IF(OR(D63="",E63=""),"",IF(IFERROR(INDEX(Stats!$D:$D,MATCH($C63,Stats!$A:$A,0)),FALSE),ROUND(D63+(E63-D63)*(1+G63)*((2-1)/(MaxLevel-1))^(2^F63),0),D63+(E63-D63)*(1+G63)*((2-1)/(MaxLevel-1))^(2^F63)))</f>
        <v>0.78333333333333333</v>
      </c>
      <c r="J63" s="12">
        <f>IF(OR(D63="",E63=""),"",IF(IFERROR(INDEX(Stats!$D:$D,MATCH($C63,Stats!$A:$A,0)),FALSE),ROUND(D63+(E63-D63)*(1+G63)*((3-1)/(MaxLevel-1))^(2^F63),0),D63+(E63-D63)*(1+G63)*((3-1)/(MaxLevel-1))^(2^F63)))</f>
        <v>0.8178511301977579</v>
      </c>
      <c r="K63" s="12">
        <f>IF(OR(D63="",E63=""),"",IF(IFERROR(INDEX(Stats!$D:$D,MATCH($C63,Stats!$A:$A,0)),FALSE),ROUND(D63+(E63-D63)*(1+G63)*((4-1)/(MaxLevel-1))^(2^F63),0),D63+(E63-D63)*(1+G63)*((4-1)/(MaxLevel-1))^(2^F63)))</f>
        <v>0.84433756729740639</v>
      </c>
      <c r="L63" s="12">
        <f>IF(OR(D63="",E63=""),"",IF(IFERROR(INDEX(Stats!$D:$D,MATCH($C63,Stats!$A:$A,0)),FALSE),ROUND(D63+(E63-D63)*(1+G63)*((5-1)/(MaxLevel-1))^(2^F63),0),D63+(E63-D63)*(1+G63)*((5-1)/(MaxLevel-1))^(2^F63)))</f>
        <v>0.86666666666666659</v>
      </c>
      <c r="M63" s="12">
        <f>IF(OR(D63="",E63=""),"",IF(IFERROR(INDEX(Stats!$D:$D,MATCH($C63,Stats!$A:$A,0)),FALSE),ROUND(D63+(E63-D63)*(1+G63)*((6-1)/(MaxLevel-1))^(2^F63),0),D63+(E63-D63)*(1+G63)*((6-1)/(MaxLevel-1))^(2^F63)))</f>
        <v>0.8863389981249824</v>
      </c>
      <c r="N63" s="12">
        <f>IF(OR(D63="",E63=""),"",IF(IFERROR(INDEX(Stats!$D:$D,MATCH($C63,Stats!$A:$A,0)),FALSE),ROUND(D63+(E63-D63)*(1+G63)*((7-1)/(MaxLevel-1))^(2^F63),0),D63+(E63-D63)*(1+G63)*((7-1)/(MaxLevel-1))^(2^F63)))</f>
        <v>0.90412414523193152</v>
      </c>
      <c r="O63" s="12">
        <f>IF(OR(D63="",E63=""),"",IF(IFERROR(INDEX(Stats!$D:$D,MATCH($C63,Stats!$A:$A,0)),FALSE),ROUND(D63+(E63-D63)*(1+G63)*((8-1)/(MaxLevel-1))^(2^F63),0),D63+(E63-D63)*(1+G63)*((8-1)/(MaxLevel-1))^(2^F63)))</f>
        <v>0.92047927592204914</v>
      </c>
      <c r="P63" s="12">
        <f>IF(OR(D63="",E63=""),"",IF(IFERROR(INDEX(Stats!$D:$D,MATCH($C63,Stats!$A:$A,0)),FALSE),ROUND(D63+(E63-D63)*(1+G63)*((9-1)/(MaxLevel-1))^(2^F63),0),D63+(E63-D63)*(1+G63)*((9-1)/(MaxLevel-1))^(2^F63)))</f>
        <v>0.93570226039551585</v>
      </c>
      <c r="Q63" s="12">
        <f>IF(OR(D63="",E63=""),"",IF(IFERROR(INDEX(Stats!$D:$D,MATCH($C63,Stats!$A:$A,0)),FALSE),ROUND(D63+(E63-D63)*(1+G63)*((10-1)/(MaxLevel-1))^(2^F63),0),D63+(E63-D63)*(1+G63)*((10-1)/(MaxLevel-1))^(2^F63)))</f>
        <v>0.95</v>
      </c>
    </row>
    <row r="64" spans="1:17" x14ac:dyDescent="0.25">
      <c r="A64" s="4" t="s">
        <v>185</v>
      </c>
      <c r="B64" s="19" t="s">
        <v>220</v>
      </c>
      <c r="C64" s="4" t="s">
        <v>34</v>
      </c>
      <c r="D64" s="5">
        <v>0.1</v>
      </c>
      <c r="E64" s="5">
        <v>0.3</v>
      </c>
      <c r="F64" s="5">
        <v>0</v>
      </c>
      <c r="G64" s="5">
        <v>0</v>
      </c>
      <c r="H64" s="12">
        <f>IF(OR(D64="",E64=""),"",IF(IFERROR(INDEX(Stats!$D:$D,MATCH($C64,Stats!$A:$A,0)),FALSE),ROUND(D64+(E64-D64)*(1+G64)*((1-1)/(MaxLevel-1))^(2^F64),0),D64+(E64-D64)*(1+G64)*((1-1)/(MaxLevel-1))^(2^F64)))</f>
        <v>0.1</v>
      </c>
      <c r="I64" s="12">
        <f>IF(OR(D64="",E64=""),"",IF(IFERROR(INDEX(Stats!$D:$D,MATCH($C64,Stats!$A:$A,0)),FALSE),ROUND(D64+(E64-D64)*(1+G64)*((2-1)/(MaxLevel-1))^(2^F64),0),D64+(E64-D64)*(1+G64)*((2-1)/(MaxLevel-1))^(2^F64)))</f>
        <v>0.12222222222222223</v>
      </c>
      <c r="J64" s="12">
        <f>IF(OR(D64="",E64=""),"",IF(IFERROR(INDEX(Stats!$D:$D,MATCH($C64,Stats!$A:$A,0)),FALSE),ROUND(D64+(E64-D64)*(1+G64)*((3-1)/(MaxLevel-1))^(2^F64),0),D64+(E64-D64)*(1+G64)*((3-1)/(MaxLevel-1))^(2^F64)))</f>
        <v>0.14444444444444443</v>
      </c>
      <c r="K64" s="12">
        <f>IF(OR(D64="",E64=""),"",IF(IFERROR(INDEX(Stats!$D:$D,MATCH($C64,Stats!$A:$A,0)),FALSE),ROUND(D64+(E64-D64)*(1+G64)*((4-1)/(MaxLevel-1))^(2^F64),0),D64+(E64-D64)*(1+G64)*((4-1)/(MaxLevel-1))^(2^F64)))</f>
        <v>0.16666666666666666</v>
      </c>
      <c r="L64" s="12">
        <f>IF(OR(D64="",E64=""),"",IF(IFERROR(INDEX(Stats!$D:$D,MATCH($C64,Stats!$A:$A,0)),FALSE),ROUND(D64+(E64-D64)*(1+G64)*((5-1)/(MaxLevel-1))^(2^F64),0),D64+(E64-D64)*(1+G64)*((5-1)/(MaxLevel-1))^(2^F64)))</f>
        <v>0.18888888888888888</v>
      </c>
      <c r="M64" s="12">
        <f>IF(OR(D64="",E64=""),"",IF(IFERROR(INDEX(Stats!$D:$D,MATCH($C64,Stats!$A:$A,0)),FALSE),ROUND(D64+(E64-D64)*(1+G64)*((6-1)/(MaxLevel-1))^(2^F64),0),D64+(E64-D64)*(1+G64)*((6-1)/(MaxLevel-1))^(2^F64)))</f>
        <v>0.21111111111111111</v>
      </c>
      <c r="N64" s="12">
        <f>IF(OR(D64="",E64=""),"",IF(IFERROR(INDEX(Stats!$D:$D,MATCH($C64,Stats!$A:$A,0)),FALSE),ROUND(D64+(E64-D64)*(1+G64)*((7-1)/(MaxLevel-1))^(2^F64),0),D64+(E64-D64)*(1+G64)*((7-1)/(MaxLevel-1))^(2^F64)))</f>
        <v>0.23333333333333331</v>
      </c>
      <c r="O64" s="12">
        <f>IF(OR(D64="",E64=""),"",IF(IFERROR(INDEX(Stats!$D:$D,MATCH($C64,Stats!$A:$A,0)),FALSE),ROUND(D64+(E64-D64)*(1+G64)*((8-1)/(MaxLevel-1))^(2^F64),0),D64+(E64-D64)*(1+G64)*((8-1)/(MaxLevel-1))^(2^F64)))</f>
        <v>0.25555555555555554</v>
      </c>
      <c r="P64" s="12">
        <f>IF(OR(D64="",E64=""),"",IF(IFERROR(INDEX(Stats!$D:$D,MATCH($C64,Stats!$A:$A,0)),FALSE),ROUND(D64+(E64-D64)*(1+G64)*((9-1)/(MaxLevel-1))^(2^F64),0),D64+(E64-D64)*(1+G64)*((9-1)/(MaxLevel-1))^(2^F64)))</f>
        <v>0.27777777777777779</v>
      </c>
      <c r="Q64" s="12">
        <f>IF(OR(D64="",E64=""),"",IF(IFERROR(INDEX(Stats!$D:$D,MATCH($C64,Stats!$A:$A,0)),FALSE),ROUND(D64+(E64-D64)*(1+G64)*((10-1)/(MaxLevel-1))^(2^F64),0),D64+(E64-D64)*(1+G64)*((10-1)/(MaxLevel-1))^(2^F64)))</f>
        <v>0.3</v>
      </c>
    </row>
    <row r="65" spans="1:17" x14ac:dyDescent="0.25">
      <c r="A65" s="4" t="s">
        <v>185</v>
      </c>
      <c r="B65" s="19" t="s">
        <v>220</v>
      </c>
      <c r="C65" s="4" t="s">
        <v>36</v>
      </c>
      <c r="D65" s="5"/>
      <c r="E65" s="5"/>
      <c r="F65" s="5"/>
      <c r="G65" s="5"/>
      <c r="H65" s="12" t="str">
        <f>IF(OR(D65="",E65=""),"",IF(IFERROR(INDEX(Stats!$D:$D,MATCH($C65,Stats!$A:$A,0)),FALSE),ROUND(D65+(E65-D65)*(1+G65)*((1-1)/(MaxLevel-1))^(2^F65),0),D65+(E65-D65)*(1+G65)*((1-1)/(MaxLevel-1))^(2^F65)))</f>
        <v/>
      </c>
      <c r="I65" s="12" t="str">
        <f>IF(OR(D65="",E65=""),"",IF(IFERROR(INDEX(Stats!$D:$D,MATCH($C65,Stats!$A:$A,0)),FALSE),ROUND(D65+(E65-D65)*(1+G65)*((2-1)/(MaxLevel-1))^(2^F65),0),D65+(E65-D65)*(1+G65)*((2-1)/(MaxLevel-1))^(2^F65)))</f>
        <v/>
      </c>
      <c r="J65" s="12" t="str">
        <f>IF(OR(D65="",E65=""),"",IF(IFERROR(INDEX(Stats!$D:$D,MATCH($C65,Stats!$A:$A,0)),FALSE),ROUND(D65+(E65-D65)*(1+G65)*((3-1)/(MaxLevel-1))^(2^F65),0),D65+(E65-D65)*(1+G65)*((3-1)/(MaxLevel-1))^(2^F65)))</f>
        <v/>
      </c>
      <c r="K65" s="12" t="str">
        <f>IF(OR(D65="",E65=""),"",IF(IFERROR(INDEX(Stats!$D:$D,MATCH($C65,Stats!$A:$A,0)),FALSE),ROUND(D65+(E65-D65)*(1+G65)*((4-1)/(MaxLevel-1))^(2^F65),0),D65+(E65-D65)*(1+G65)*((4-1)/(MaxLevel-1))^(2^F65)))</f>
        <v/>
      </c>
      <c r="L65" s="12" t="str">
        <f>IF(OR(D65="",E65=""),"",IF(IFERROR(INDEX(Stats!$D:$D,MATCH($C65,Stats!$A:$A,0)),FALSE),ROUND(D65+(E65-D65)*(1+G65)*((5-1)/(MaxLevel-1))^(2^F65),0),D65+(E65-D65)*(1+G65)*((5-1)/(MaxLevel-1))^(2^F65)))</f>
        <v/>
      </c>
      <c r="M65" s="12" t="str">
        <f>IF(OR(D65="",E65=""),"",IF(IFERROR(INDEX(Stats!$D:$D,MATCH($C65,Stats!$A:$A,0)),FALSE),ROUND(D65+(E65-D65)*(1+G65)*((6-1)/(MaxLevel-1))^(2^F65),0),D65+(E65-D65)*(1+G65)*((6-1)/(MaxLevel-1))^(2^F65)))</f>
        <v/>
      </c>
      <c r="N65" s="12" t="str">
        <f>IF(OR(D65="",E65=""),"",IF(IFERROR(INDEX(Stats!$D:$D,MATCH($C65,Stats!$A:$A,0)),FALSE),ROUND(D65+(E65-D65)*(1+G65)*((7-1)/(MaxLevel-1))^(2^F65),0),D65+(E65-D65)*(1+G65)*((7-1)/(MaxLevel-1))^(2^F65)))</f>
        <v/>
      </c>
      <c r="O65" s="12" t="str">
        <f>IF(OR(D65="",E65=""),"",IF(IFERROR(INDEX(Stats!$D:$D,MATCH($C65,Stats!$A:$A,0)),FALSE),ROUND(D65+(E65-D65)*(1+G65)*((8-1)/(MaxLevel-1))^(2^F65),0),D65+(E65-D65)*(1+G65)*((8-1)/(MaxLevel-1))^(2^F65)))</f>
        <v/>
      </c>
      <c r="P65" s="12" t="str">
        <f>IF(OR(D65="",E65=""),"",IF(IFERROR(INDEX(Stats!$D:$D,MATCH($C65,Stats!$A:$A,0)),FALSE),ROUND(D65+(E65-D65)*(1+G65)*((9-1)/(MaxLevel-1))^(2^F65),0),D65+(E65-D65)*(1+G65)*((9-1)/(MaxLevel-1))^(2^F65)))</f>
        <v/>
      </c>
      <c r="Q65" s="12" t="str">
        <f>IF(OR(D65="",E65=""),"",IF(IFERROR(INDEX(Stats!$D:$D,MATCH($C65,Stats!$A:$A,0)),FALSE),ROUND(D65+(E65-D65)*(1+G65)*((10-1)/(MaxLevel-1))^(2^F65),0),D65+(E65-D65)*(1+G65)*((10-1)/(MaxLevel-1))^(2^F65)))</f>
        <v/>
      </c>
    </row>
    <row r="66" spans="1:17" x14ac:dyDescent="0.25">
      <c r="A66" s="4" t="s">
        <v>185</v>
      </c>
      <c r="B66" s="19" t="s">
        <v>220</v>
      </c>
      <c r="C66" s="4" t="s">
        <v>38</v>
      </c>
      <c r="D66" s="5"/>
      <c r="E66" s="5"/>
      <c r="F66" s="5"/>
      <c r="G66" s="5"/>
      <c r="H66" s="12" t="str">
        <f>IF(OR(D66="",E66=""),"",IF(IFERROR(INDEX(Stats!$D:$D,MATCH($C66,Stats!$A:$A,0)),FALSE),ROUND(D66+(E66-D66)*(1+G66)*((1-1)/(MaxLevel-1))^(2^F66),0),D66+(E66-D66)*(1+G66)*((1-1)/(MaxLevel-1))^(2^F66)))</f>
        <v/>
      </c>
      <c r="I66" s="12" t="str">
        <f>IF(OR(D66="",E66=""),"",IF(IFERROR(INDEX(Stats!$D:$D,MATCH($C66,Stats!$A:$A,0)),FALSE),ROUND(D66+(E66-D66)*(1+G66)*((2-1)/(MaxLevel-1))^(2^F66),0),D66+(E66-D66)*(1+G66)*((2-1)/(MaxLevel-1))^(2^F66)))</f>
        <v/>
      </c>
      <c r="J66" s="12" t="str">
        <f>IF(OR(D66="",E66=""),"",IF(IFERROR(INDEX(Stats!$D:$D,MATCH($C66,Stats!$A:$A,0)),FALSE),ROUND(D66+(E66-D66)*(1+G66)*((3-1)/(MaxLevel-1))^(2^F66),0),D66+(E66-D66)*(1+G66)*((3-1)/(MaxLevel-1))^(2^F66)))</f>
        <v/>
      </c>
      <c r="K66" s="12" t="str">
        <f>IF(OR(D66="",E66=""),"",IF(IFERROR(INDEX(Stats!$D:$D,MATCH($C66,Stats!$A:$A,0)),FALSE),ROUND(D66+(E66-D66)*(1+G66)*((4-1)/(MaxLevel-1))^(2^F66),0),D66+(E66-D66)*(1+G66)*((4-1)/(MaxLevel-1))^(2^F66)))</f>
        <v/>
      </c>
      <c r="L66" s="12" t="str">
        <f>IF(OR(D66="",E66=""),"",IF(IFERROR(INDEX(Stats!$D:$D,MATCH($C66,Stats!$A:$A,0)),FALSE),ROUND(D66+(E66-D66)*(1+G66)*((5-1)/(MaxLevel-1))^(2^F66),0),D66+(E66-D66)*(1+G66)*((5-1)/(MaxLevel-1))^(2^F66)))</f>
        <v/>
      </c>
      <c r="M66" s="12" t="str">
        <f>IF(OR(D66="",E66=""),"",IF(IFERROR(INDEX(Stats!$D:$D,MATCH($C66,Stats!$A:$A,0)),FALSE),ROUND(D66+(E66-D66)*(1+G66)*((6-1)/(MaxLevel-1))^(2^F66),0),D66+(E66-D66)*(1+G66)*((6-1)/(MaxLevel-1))^(2^F66)))</f>
        <v/>
      </c>
      <c r="N66" s="12" t="str">
        <f>IF(OR(D66="",E66=""),"",IF(IFERROR(INDEX(Stats!$D:$D,MATCH($C66,Stats!$A:$A,0)),FALSE),ROUND(D66+(E66-D66)*(1+G66)*((7-1)/(MaxLevel-1))^(2^F66),0),D66+(E66-D66)*(1+G66)*((7-1)/(MaxLevel-1))^(2^F66)))</f>
        <v/>
      </c>
      <c r="O66" s="12" t="str">
        <f>IF(OR(D66="",E66=""),"",IF(IFERROR(INDEX(Stats!$D:$D,MATCH($C66,Stats!$A:$A,0)),FALSE),ROUND(D66+(E66-D66)*(1+G66)*((8-1)/(MaxLevel-1))^(2^F66),0),D66+(E66-D66)*(1+G66)*((8-1)/(MaxLevel-1))^(2^F66)))</f>
        <v/>
      </c>
      <c r="P66" s="12" t="str">
        <f>IF(OR(D66="",E66=""),"",IF(IFERROR(INDEX(Stats!$D:$D,MATCH($C66,Stats!$A:$A,0)),FALSE),ROUND(D66+(E66-D66)*(1+G66)*((9-1)/(MaxLevel-1))^(2^F66),0),D66+(E66-D66)*(1+G66)*((9-1)/(MaxLevel-1))^(2^F66)))</f>
        <v/>
      </c>
      <c r="Q66" s="12" t="str">
        <f>IF(OR(D66="",E66=""),"",IF(IFERROR(INDEX(Stats!$D:$D,MATCH($C66,Stats!$A:$A,0)),FALSE),ROUND(D66+(E66-D66)*(1+G66)*((10-1)/(MaxLevel-1))^(2^F66),0),D66+(E66-D66)*(1+G66)*((10-1)/(MaxLevel-1))^(2^F66)))</f>
        <v/>
      </c>
    </row>
    <row r="67" spans="1:17" x14ac:dyDescent="0.25">
      <c r="A67" s="4" t="s">
        <v>185</v>
      </c>
      <c r="B67" s="19" t="s">
        <v>220</v>
      </c>
      <c r="C67" s="4" t="s">
        <v>40</v>
      </c>
      <c r="D67" s="5"/>
      <c r="E67" s="5"/>
      <c r="F67" s="5"/>
      <c r="G67" s="5"/>
      <c r="H67" s="12" t="str">
        <f>IF(OR(D67="",E67=""),"",IF(IFERROR(INDEX(Stats!$D:$D,MATCH($C67,Stats!$A:$A,0)),FALSE),ROUND(D67+(E67-D67)*(1+G67)*((1-1)/(MaxLevel-1))^(2^F67),0),D67+(E67-D67)*(1+G67)*((1-1)/(MaxLevel-1))^(2^F67)))</f>
        <v/>
      </c>
      <c r="I67" s="12" t="str">
        <f>IF(OR(D67="",E67=""),"",IF(IFERROR(INDEX(Stats!$D:$D,MATCH($C67,Stats!$A:$A,0)),FALSE),ROUND(D67+(E67-D67)*(1+G67)*((2-1)/(MaxLevel-1))^(2^F67),0),D67+(E67-D67)*(1+G67)*((2-1)/(MaxLevel-1))^(2^F67)))</f>
        <v/>
      </c>
      <c r="J67" s="12" t="str">
        <f>IF(OR(D67="",E67=""),"",IF(IFERROR(INDEX(Stats!$D:$D,MATCH($C67,Stats!$A:$A,0)),FALSE),ROUND(D67+(E67-D67)*(1+G67)*((3-1)/(MaxLevel-1))^(2^F67),0),D67+(E67-D67)*(1+G67)*((3-1)/(MaxLevel-1))^(2^F67)))</f>
        <v/>
      </c>
      <c r="K67" s="12" t="str">
        <f>IF(OR(D67="",E67=""),"",IF(IFERROR(INDEX(Stats!$D:$D,MATCH($C67,Stats!$A:$A,0)),FALSE),ROUND(D67+(E67-D67)*(1+G67)*((4-1)/(MaxLevel-1))^(2^F67),0),D67+(E67-D67)*(1+G67)*((4-1)/(MaxLevel-1))^(2^F67)))</f>
        <v/>
      </c>
      <c r="L67" s="12" t="str">
        <f>IF(OR(D67="",E67=""),"",IF(IFERROR(INDEX(Stats!$D:$D,MATCH($C67,Stats!$A:$A,0)),FALSE),ROUND(D67+(E67-D67)*(1+G67)*((5-1)/(MaxLevel-1))^(2^F67),0),D67+(E67-D67)*(1+G67)*((5-1)/(MaxLevel-1))^(2^F67)))</f>
        <v/>
      </c>
      <c r="M67" s="12" t="str">
        <f>IF(OR(D67="",E67=""),"",IF(IFERROR(INDEX(Stats!$D:$D,MATCH($C67,Stats!$A:$A,0)),FALSE),ROUND(D67+(E67-D67)*(1+G67)*((6-1)/(MaxLevel-1))^(2^F67),0),D67+(E67-D67)*(1+G67)*((6-1)/(MaxLevel-1))^(2^F67)))</f>
        <v/>
      </c>
      <c r="N67" s="12" t="str">
        <f>IF(OR(D67="",E67=""),"",IF(IFERROR(INDEX(Stats!$D:$D,MATCH($C67,Stats!$A:$A,0)),FALSE),ROUND(D67+(E67-D67)*(1+G67)*((7-1)/(MaxLevel-1))^(2^F67),0),D67+(E67-D67)*(1+G67)*((7-1)/(MaxLevel-1))^(2^F67)))</f>
        <v/>
      </c>
      <c r="O67" s="12" t="str">
        <f>IF(OR(D67="",E67=""),"",IF(IFERROR(INDEX(Stats!$D:$D,MATCH($C67,Stats!$A:$A,0)),FALSE),ROUND(D67+(E67-D67)*(1+G67)*((8-1)/(MaxLevel-1))^(2^F67),0),D67+(E67-D67)*(1+G67)*((8-1)/(MaxLevel-1))^(2^F67)))</f>
        <v/>
      </c>
      <c r="P67" s="12" t="str">
        <f>IF(OR(D67="",E67=""),"",IF(IFERROR(INDEX(Stats!$D:$D,MATCH($C67,Stats!$A:$A,0)),FALSE),ROUND(D67+(E67-D67)*(1+G67)*((9-1)/(MaxLevel-1))^(2^F67),0),D67+(E67-D67)*(1+G67)*((9-1)/(MaxLevel-1))^(2^F67)))</f>
        <v/>
      </c>
      <c r="Q67" s="12" t="str">
        <f>IF(OR(D67="",E67=""),"",IF(IFERROR(INDEX(Stats!$D:$D,MATCH($C67,Stats!$A:$A,0)),FALSE),ROUND(D67+(E67-D67)*(1+G67)*((10-1)/(MaxLevel-1))^(2^F67),0),D67+(E67-D67)*(1+G67)*((10-1)/(MaxLevel-1))^(2^F67)))</f>
        <v/>
      </c>
    </row>
    <row r="68" spans="1:17" x14ac:dyDescent="0.25">
      <c r="A68" s="4" t="s">
        <v>185</v>
      </c>
      <c r="B68" s="19" t="s">
        <v>220</v>
      </c>
      <c r="C68" s="4" t="s">
        <v>42</v>
      </c>
      <c r="D68" s="5"/>
      <c r="E68" s="5"/>
      <c r="F68" s="5"/>
      <c r="G68" s="5"/>
      <c r="H68" s="12" t="str">
        <f>IF(OR(D68="",E68=""),"",IF(IFERROR(INDEX(Stats!$D:$D,MATCH($C68,Stats!$A:$A,0)),FALSE),ROUND(D68+(E68-D68)*(1+G68)*((1-1)/(MaxLevel-1))^(2^F68),0),D68+(E68-D68)*(1+G68)*((1-1)/(MaxLevel-1))^(2^F68)))</f>
        <v/>
      </c>
      <c r="I68" s="12" t="str">
        <f>IF(OR(D68="",E68=""),"",IF(IFERROR(INDEX(Stats!$D:$D,MATCH($C68,Stats!$A:$A,0)),FALSE),ROUND(D68+(E68-D68)*(1+G68)*((2-1)/(MaxLevel-1))^(2^F68),0),D68+(E68-D68)*(1+G68)*((2-1)/(MaxLevel-1))^(2^F68)))</f>
        <v/>
      </c>
      <c r="J68" s="12" t="str">
        <f>IF(OR(D68="",E68=""),"",IF(IFERROR(INDEX(Stats!$D:$D,MATCH($C68,Stats!$A:$A,0)),FALSE),ROUND(D68+(E68-D68)*(1+G68)*((3-1)/(MaxLevel-1))^(2^F68),0),D68+(E68-D68)*(1+G68)*((3-1)/(MaxLevel-1))^(2^F68)))</f>
        <v/>
      </c>
      <c r="K68" s="12" t="str">
        <f>IF(OR(D68="",E68=""),"",IF(IFERROR(INDEX(Stats!$D:$D,MATCH($C68,Stats!$A:$A,0)),FALSE),ROUND(D68+(E68-D68)*(1+G68)*((4-1)/(MaxLevel-1))^(2^F68),0),D68+(E68-D68)*(1+G68)*((4-1)/(MaxLevel-1))^(2^F68)))</f>
        <v/>
      </c>
      <c r="L68" s="12" t="str">
        <f>IF(OR(D68="",E68=""),"",IF(IFERROR(INDEX(Stats!$D:$D,MATCH($C68,Stats!$A:$A,0)),FALSE),ROUND(D68+(E68-D68)*(1+G68)*((5-1)/(MaxLevel-1))^(2^F68),0),D68+(E68-D68)*(1+G68)*((5-1)/(MaxLevel-1))^(2^F68)))</f>
        <v/>
      </c>
      <c r="M68" s="12" t="str">
        <f>IF(OR(D68="",E68=""),"",IF(IFERROR(INDEX(Stats!$D:$D,MATCH($C68,Stats!$A:$A,0)),FALSE),ROUND(D68+(E68-D68)*(1+G68)*((6-1)/(MaxLevel-1))^(2^F68),0),D68+(E68-D68)*(1+G68)*((6-1)/(MaxLevel-1))^(2^F68)))</f>
        <v/>
      </c>
      <c r="N68" s="12" t="str">
        <f>IF(OR(D68="",E68=""),"",IF(IFERROR(INDEX(Stats!$D:$D,MATCH($C68,Stats!$A:$A,0)),FALSE),ROUND(D68+(E68-D68)*(1+G68)*((7-1)/(MaxLevel-1))^(2^F68),0),D68+(E68-D68)*(1+G68)*((7-1)/(MaxLevel-1))^(2^F68)))</f>
        <v/>
      </c>
      <c r="O68" s="12" t="str">
        <f>IF(OR(D68="",E68=""),"",IF(IFERROR(INDEX(Stats!$D:$D,MATCH($C68,Stats!$A:$A,0)),FALSE),ROUND(D68+(E68-D68)*(1+G68)*((8-1)/(MaxLevel-1))^(2^F68),0),D68+(E68-D68)*(1+G68)*((8-1)/(MaxLevel-1))^(2^F68)))</f>
        <v/>
      </c>
      <c r="P68" s="12" t="str">
        <f>IF(OR(D68="",E68=""),"",IF(IFERROR(INDEX(Stats!$D:$D,MATCH($C68,Stats!$A:$A,0)),FALSE),ROUND(D68+(E68-D68)*(1+G68)*((9-1)/(MaxLevel-1))^(2^F68),0),D68+(E68-D68)*(1+G68)*((9-1)/(MaxLevel-1))^(2^F68)))</f>
        <v/>
      </c>
      <c r="Q68" s="12" t="str">
        <f>IF(OR(D68="",E68=""),"",IF(IFERROR(INDEX(Stats!$D:$D,MATCH($C68,Stats!$A:$A,0)),FALSE),ROUND(D68+(E68-D68)*(1+G68)*((10-1)/(MaxLevel-1))^(2^F68),0),D68+(E68-D68)*(1+G68)*((10-1)/(MaxLevel-1))^(2^F68)))</f>
        <v/>
      </c>
    </row>
    <row r="69" spans="1:17" x14ac:dyDescent="0.25">
      <c r="A69" s="4" t="s">
        <v>185</v>
      </c>
      <c r="B69" s="19" t="s">
        <v>220</v>
      </c>
      <c r="C69" s="4" t="s">
        <v>44</v>
      </c>
      <c r="D69" s="5"/>
      <c r="E69" s="5"/>
      <c r="F69" s="5"/>
      <c r="G69" s="5"/>
      <c r="H69" s="12" t="str">
        <f>IF(OR(D69="",E69=""),"",IF(IFERROR(INDEX(Stats!$D:$D,MATCH($C69,Stats!$A:$A,0)),FALSE),ROUND(D69+(E69-D69)*(1+G69)*((1-1)/(MaxLevel-1))^(2^F69),0),D69+(E69-D69)*(1+G69)*((1-1)/(MaxLevel-1))^(2^F69)))</f>
        <v/>
      </c>
      <c r="I69" s="12" t="str">
        <f>IF(OR(D69="",E69=""),"",IF(IFERROR(INDEX(Stats!$D:$D,MATCH($C69,Stats!$A:$A,0)),FALSE),ROUND(D69+(E69-D69)*(1+G69)*((2-1)/(MaxLevel-1))^(2^F69),0),D69+(E69-D69)*(1+G69)*((2-1)/(MaxLevel-1))^(2^F69)))</f>
        <v/>
      </c>
      <c r="J69" s="12" t="str">
        <f>IF(OR(D69="",E69=""),"",IF(IFERROR(INDEX(Stats!$D:$D,MATCH($C69,Stats!$A:$A,0)),FALSE),ROUND(D69+(E69-D69)*(1+G69)*((3-1)/(MaxLevel-1))^(2^F69),0),D69+(E69-D69)*(1+G69)*((3-1)/(MaxLevel-1))^(2^F69)))</f>
        <v/>
      </c>
      <c r="K69" s="12" t="str">
        <f>IF(OR(D69="",E69=""),"",IF(IFERROR(INDEX(Stats!$D:$D,MATCH($C69,Stats!$A:$A,0)),FALSE),ROUND(D69+(E69-D69)*(1+G69)*((4-1)/(MaxLevel-1))^(2^F69),0),D69+(E69-D69)*(1+G69)*((4-1)/(MaxLevel-1))^(2^F69)))</f>
        <v/>
      </c>
      <c r="L69" s="12" t="str">
        <f>IF(OR(D69="",E69=""),"",IF(IFERROR(INDEX(Stats!$D:$D,MATCH($C69,Stats!$A:$A,0)),FALSE),ROUND(D69+(E69-D69)*(1+G69)*((5-1)/(MaxLevel-1))^(2^F69),0),D69+(E69-D69)*(1+G69)*((5-1)/(MaxLevel-1))^(2^F69)))</f>
        <v/>
      </c>
      <c r="M69" s="12" t="str">
        <f>IF(OR(D69="",E69=""),"",IF(IFERROR(INDEX(Stats!$D:$D,MATCH($C69,Stats!$A:$A,0)),FALSE),ROUND(D69+(E69-D69)*(1+G69)*((6-1)/(MaxLevel-1))^(2^F69),0),D69+(E69-D69)*(1+G69)*((6-1)/(MaxLevel-1))^(2^F69)))</f>
        <v/>
      </c>
      <c r="N69" s="12" t="str">
        <f>IF(OR(D69="",E69=""),"",IF(IFERROR(INDEX(Stats!$D:$D,MATCH($C69,Stats!$A:$A,0)),FALSE),ROUND(D69+(E69-D69)*(1+G69)*((7-1)/(MaxLevel-1))^(2^F69),0),D69+(E69-D69)*(1+G69)*((7-1)/(MaxLevel-1))^(2^F69)))</f>
        <v/>
      </c>
      <c r="O69" s="12" t="str">
        <f>IF(OR(D69="",E69=""),"",IF(IFERROR(INDEX(Stats!$D:$D,MATCH($C69,Stats!$A:$A,0)),FALSE),ROUND(D69+(E69-D69)*(1+G69)*((8-1)/(MaxLevel-1))^(2^F69),0),D69+(E69-D69)*(1+G69)*((8-1)/(MaxLevel-1))^(2^F69)))</f>
        <v/>
      </c>
      <c r="P69" s="12" t="str">
        <f>IF(OR(D69="",E69=""),"",IF(IFERROR(INDEX(Stats!$D:$D,MATCH($C69,Stats!$A:$A,0)),FALSE),ROUND(D69+(E69-D69)*(1+G69)*((9-1)/(MaxLevel-1))^(2^F69),0),D69+(E69-D69)*(1+G69)*((9-1)/(MaxLevel-1))^(2^F69)))</f>
        <v/>
      </c>
      <c r="Q69" s="12" t="str">
        <f>IF(OR(D69="",E69=""),"",IF(IFERROR(INDEX(Stats!$D:$D,MATCH($C69,Stats!$A:$A,0)),FALSE),ROUND(D69+(E69-D69)*(1+G69)*((10-1)/(MaxLevel-1))^(2^F69),0),D69+(E69-D69)*(1+G69)*((10-1)/(MaxLevel-1))^(2^F69)))</f>
        <v/>
      </c>
    </row>
    <row r="70" spans="1:17" x14ac:dyDescent="0.25">
      <c r="A70" s="4" t="s">
        <v>185</v>
      </c>
      <c r="B70" s="19" t="s">
        <v>220</v>
      </c>
      <c r="C70" s="4" t="s">
        <v>46</v>
      </c>
      <c r="D70" s="5"/>
      <c r="E70" s="5"/>
      <c r="F70" s="5"/>
      <c r="G70" s="5"/>
      <c r="H70" s="12" t="str">
        <f>IF(OR(D70="",E70=""),"",IF(IFERROR(INDEX(Stats!$D:$D,MATCH($C70,Stats!$A:$A,0)),FALSE),ROUND(D70+(E70-D70)*(1+G70)*((1-1)/(MaxLevel-1))^(2^F70),0),D70+(E70-D70)*(1+G70)*((1-1)/(MaxLevel-1))^(2^F70)))</f>
        <v/>
      </c>
      <c r="I70" s="12" t="str">
        <f>IF(OR(D70="",E70=""),"",IF(IFERROR(INDEX(Stats!$D:$D,MATCH($C70,Stats!$A:$A,0)),FALSE),ROUND(D70+(E70-D70)*(1+G70)*((2-1)/(MaxLevel-1))^(2^F70),0),D70+(E70-D70)*(1+G70)*((2-1)/(MaxLevel-1))^(2^F70)))</f>
        <v/>
      </c>
      <c r="J70" s="12" t="str">
        <f>IF(OR(D70="",E70=""),"",IF(IFERROR(INDEX(Stats!$D:$D,MATCH($C70,Stats!$A:$A,0)),FALSE),ROUND(D70+(E70-D70)*(1+G70)*((3-1)/(MaxLevel-1))^(2^F70),0),D70+(E70-D70)*(1+G70)*((3-1)/(MaxLevel-1))^(2^F70)))</f>
        <v/>
      </c>
      <c r="K70" s="12" t="str">
        <f>IF(OR(D70="",E70=""),"",IF(IFERROR(INDEX(Stats!$D:$D,MATCH($C70,Stats!$A:$A,0)),FALSE),ROUND(D70+(E70-D70)*(1+G70)*((4-1)/(MaxLevel-1))^(2^F70),0),D70+(E70-D70)*(1+G70)*((4-1)/(MaxLevel-1))^(2^F70)))</f>
        <v/>
      </c>
      <c r="L70" s="12" t="str">
        <f>IF(OR(D70="",E70=""),"",IF(IFERROR(INDEX(Stats!$D:$D,MATCH($C70,Stats!$A:$A,0)),FALSE),ROUND(D70+(E70-D70)*(1+G70)*((5-1)/(MaxLevel-1))^(2^F70),0),D70+(E70-D70)*(1+G70)*((5-1)/(MaxLevel-1))^(2^F70)))</f>
        <v/>
      </c>
      <c r="M70" s="12" t="str">
        <f>IF(OR(D70="",E70=""),"",IF(IFERROR(INDEX(Stats!$D:$D,MATCH($C70,Stats!$A:$A,0)),FALSE),ROUND(D70+(E70-D70)*(1+G70)*((6-1)/(MaxLevel-1))^(2^F70),0),D70+(E70-D70)*(1+G70)*((6-1)/(MaxLevel-1))^(2^F70)))</f>
        <v/>
      </c>
      <c r="N70" s="12" t="str">
        <f>IF(OR(D70="",E70=""),"",IF(IFERROR(INDEX(Stats!$D:$D,MATCH($C70,Stats!$A:$A,0)),FALSE),ROUND(D70+(E70-D70)*(1+G70)*((7-1)/(MaxLevel-1))^(2^F70),0),D70+(E70-D70)*(1+G70)*((7-1)/(MaxLevel-1))^(2^F70)))</f>
        <v/>
      </c>
      <c r="O70" s="12" t="str">
        <f>IF(OR(D70="",E70=""),"",IF(IFERROR(INDEX(Stats!$D:$D,MATCH($C70,Stats!$A:$A,0)),FALSE),ROUND(D70+(E70-D70)*(1+G70)*((8-1)/(MaxLevel-1))^(2^F70),0),D70+(E70-D70)*(1+G70)*((8-1)/(MaxLevel-1))^(2^F70)))</f>
        <v/>
      </c>
      <c r="P70" s="12" t="str">
        <f>IF(OR(D70="",E70=""),"",IF(IFERROR(INDEX(Stats!$D:$D,MATCH($C70,Stats!$A:$A,0)),FALSE),ROUND(D70+(E70-D70)*(1+G70)*((9-1)/(MaxLevel-1))^(2^F70),0),D70+(E70-D70)*(1+G70)*((9-1)/(MaxLevel-1))^(2^F70)))</f>
        <v/>
      </c>
      <c r="Q70" s="12" t="str">
        <f>IF(OR(D70="",E70=""),"",IF(IFERROR(INDEX(Stats!$D:$D,MATCH($C70,Stats!$A:$A,0)),FALSE),ROUND(D70+(E70-D70)*(1+G70)*((10-1)/(MaxLevel-1))^(2^F70),0),D70+(E70-D70)*(1+G70)*((10-1)/(MaxLevel-1))^(2^F70)))</f>
        <v/>
      </c>
    </row>
    <row r="71" spans="1:17" x14ac:dyDescent="0.25">
      <c r="A71" s="4" t="s">
        <v>185</v>
      </c>
      <c r="B71" s="19" t="s">
        <v>220</v>
      </c>
      <c r="C71" s="4" t="s">
        <v>48</v>
      </c>
      <c r="D71" s="5"/>
      <c r="E71" s="5"/>
      <c r="F71" s="5"/>
      <c r="G71" s="5"/>
      <c r="H71" s="12" t="str">
        <f>IF(OR(D71="",E71=""),"",IF(IFERROR(INDEX(Stats!$D:$D,MATCH($C71,Stats!$A:$A,0)),FALSE),ROUND(D71+(E71-D71)*(1+G71)*((1-1)/(MaxLevel-1))^(2^F71),0),D71+(E71-D71)*(1+G71)*((1-1)/(MaxLevel-1))^(2^F71)))</f>
        <v/>
      </c>
      <c r="I71" s="12" t="str">
        <f>IF(OR(D71="",E71=""),"",IF(IFERROR(INDEX(Stats!$D:$D,MATCH($C71,Stats!$A:$A,0)),FALSE),ROUND(D71+(E71-D71)*(1+G71)*((2-1)/(MaxLevel-1))^(2^F71),0),D71+(E71-D71)*(1+G71)*((2-1)/(MaxLevel-1))^(2^F71)))</f>
        <v/>
      </c>
      <c r="J71" s="12" t="str">
        <f>IF(OR(D71="",E71=""),"",IF(IFERROR(INDEX(Stats!$D:$D,MATCH($C71,Stats!$A:$A,0)),FALSE),ROUND(D71+(E71-D71)*(1+G71)*((3-1)/(MaxLevel-1))^(2^F71),0),D71+(E71-D71)*(1+G71)*((3-1)/(MaxLevel-1))^(2^F71)))</f>
        <v/>
      </c>
      <c r="K71" s="12" t="str">
        <f>IF(OR(D71="",E71=""),"",IF(IFERROR(INDEX(Stats!$D:$D,MATCH($C71,Stats!$A:$A,0)),FALSE),ROUND(D71+(E71-D71)*(1+G71)*((4-1)/(MaxLevel-1))^(2^F71),0),D71+(E71-D71)*(1+G71)*((4-1)/(MaxLevel-1))^(2^F71)))</f>
        <v/>
      </c>
      <c r="L71" s="12" t="str">
        <f>IF(OR(D71="",E71=""),"",IF(IFERROR(INDEX(Stats!$D:$D,MATCH($C71,Stats!$A:$A,0)),FALSE),ROUND(D71+(E71-D71)*(1+G71)*((5-1)/(MaxLevel-1))^(2^F71),0),D71+(E71-D71)*(1+G71)*((5-1)/(MaxLevel-1))^(2^F71)))</f>
        <v/>
      </c>
      <c r="M71" s="12" t="str">
        <f>IF(OR(D71="",E71=""),"",IF(IFERROR(INDEX(Stats!$D:$D,MATCH($C71,Stats!$A:$A,0)),FALSE),ROUND(D71+(E71-D71)*(1+G71)*((6-1)/(MaxLevel-1))^(2^F71),0),D71+(E71-D71)*(1+G71)*((6-1)/(MaxLevel-1))^(2^F71)))</f>
        <v/>
      </c>
      <c r="N71" s="12" t="str">
        <f>IF(OR(D71="",E71=""),"",IF(IFERROR(INDEX(Stats!$D:$D,MATCH($C71,Stats!$A:$A,0)),FALSE),ROUND(D71+(E71-D71)*(1+G71)*((7-1)/(MaxLevel-1))^(2^F71),0),D71+(E71-D71)*(1+G71)*((7-1)/(MaxLevel-1))^(2^F71)))</f>
        <v/>
      </c>
      <c r="O71" s="12" t="str">
        <f>IF(OR(D71="",E71=""),"",IF(IFERROR(INDEX(Stats!$D:$D,MATCH($C71,Stats!$A:$A,0)),FALSE),ROUND(D71+(E71-D71)*(1+G71)*((8-1)/(MaxLevel-1))^(2^F71),0),D71+(E71-D71)*(1+G71)*((8-1)/(MaxLevel-1))^(2^F71)))</f>
        <v/>
      </c>
      <c r="P71" s="12" t="str">
        <f>IF(OR(D71="",E71=""),"",IF(IFERROR(INDEX(Stats!$D:$D,MATCH($C71,Stats!$A:$A,0)),FALSE),ROUND(D71+(E71-D71)*(1+G71)*((9-1)/(MaxLevel-1))^(2^F71),0),D71+(E71-D71)*(1+G71)*((9-1)/(MaxLevel-1))^(2^F71)))</f>
        <v/>
      </c>
      <c r="Q71" s="12" t="str">
        <f>IF(OR(D71="",E71=""),"",IF(IFERROR(INDEX(Stats!$D:$D,MATCH($C71,Stats!$A:$A,0)),FALSE),ROUND(D71+(E71-D71)*(1+G71)*((10-1)/(MaxLevel-1))^(2^F71),0),D71+(E71-D71)*(1+G71)*((10-1)/(MaxLevel-1))^(2^F71)))</f>
        <v/>
      </c>
    </row>
    <row r="72" spans="1:17" x14ac:dyDescent="0.25">
      <c r="A72" s="4" t="s">
        <v>185</v>
      </c>
      <c r="B72" s="19" t="s">
        <v>220</v>
      </c>
      <c r="C72" s="4" t="s">
        <v>50</v>
      </c>
      <c r="D72" s="5"/>
      <c r="E72" s="5"/>
      <c r="F72" s="5"/>
      <c r="G72" s="5"/>
      <c r="H72" s="12" t="str">
        <f>IF(OR(D72="",E72=""),"",IF(IFERROR(INDEX(Stats!$D:$D,MATCH($C72,Stats!$A:$A,0)),FALSE),ROUND(D72+(E72-D72)*(1+G72)*((1-1)/(MaxLevel-1))^(2^F72),0),D72+(E72-D72)*(1+G72)*((1-1)/(MaxLevel-1))^(2^F72)))</f>
        <v/>
      </c>
      <c r="I72" s="12" t="str">
        <f>IF(OR(D72="",E72=""),"",IF(IFERROR(INDEX(Stats!$D:$D,MATCH($C72,Stats!$A:$A,0)),FALSE),ROUND(D72+(E72-D72)*(1+G72)*((2-1)/(MaxLevel-1))^(2^F72),0),D72+(E72-D72)*(1+G72)*((2-1)/(MaxLevel-1))^(2^F72)))</f>
        <v/>
      </c>
      <c r="J72" s="12" t="str">
        <f>IF(OR(D72="",E72=""),"",IF(IFERROR(INDEX(Stats!$D:$D,MATCH($C72,Stats!$A:$A,0)),FALSE),ROUND(D72+(E72-D72)*(1+G72)*((3-1)/(MaxLevel-1))^(2^F72),0),D72+(E72-D72)*(1+G72)*((3-1)/(MaxLevel-1))^(2^F72)))</f>
        <v/>
      </c>
      <c r="K72" s="12" t="str">
        <f>IF(OR(D72="",E72=""),"",IF(IFERROR(INDEX(Stats!$D:$D,MATCH($C72,Stats!$A:$A,0)),FALSE),ROUND(D72+(E72-D72)*(1+G72)*((4-1)/(MaxLevel-1))^(2^F72),0),D72+(E72-D72)*(1+G72)*((4-1)/(MaxLevel-1))^(2^F72)))</f>
        <v/>
      </c>
      <c r="L72" s="12" t="str">
        <f>IF(OR(D72="",E72=""),"",IF(IFERROR(INDEX(Stats!$D:$D,MATCH($C72,Stats!$A:$A,0)),FALSE),ROUND(D72+(E72-D72)*(1+G72)*((5-1)/(MaxLevel-1))^(2^F72),0),D72+(E72-D72)*(1+G72)*((5-1)/(MaxLevel-1))^(2^F72)))</f>
        <v/>
      </c>
      <c r="M72" s="12" t="str">
        <f>IF(OR(D72="",E72=""),"",IF(IFERROR(INDEX(Stats!$D:$D,MATCH($C72,Stats!$A:$A,0)),FALSE),ROUND(D72+(E72-D72)*(1+G72)*((6-1)/(MaxLevel-1))^(2^F72),0),D72+(E72-D72)*(1+G72)*((6-1)/(MaxLevel-1))^(2^F72)))</f>
        <v/>
      </c>
      <c r="N72" s="12" t="str">
        <f>IF(OR(D72="",E72=""),"",IF(IFERROR(INDEX(Stats!$D:$D,MATCH($C72,Stats!$A:$A,0)),FALSE),ROUND(D72+(E72-D72)*(1+G72)*((7-1)/(MaxLevel-1))^(2^F72),0),D72+(E72-D72)*(1+G72)*((7-1)/(MaxLevel-1))^(2^F72)))</f>
        <v/>
      </c>
      <c r="O72" s="12" t="str">
        <f>IF(OR(D72="",E72=""),"",IF(IFERROR(INDEX(Stats!$D:$D,MATCH($C72,Stats!$A:$A,0)),FALSE),ROUND(D72+(E72-D72)*(1+G72)*((8-1)/(MaxLevel-1))^(2^F72),0),D72+(E72-D72)*(1+G72)*((8-1)/(MaxLevel-1))^(2^F72)))</f>
        <v/>
      </c>
      <c r="P72" s="12" t="str">
        <f>IF(OR(D72="",E72=""),"",IF(IFERROR(INDEX(Stats!$D:$D,MATCH($C72,Stats!$A:$A,0)),FALSE),ROUND(D72+(E72-D72)*(1+G72)*((9-1)/(MaxLevel-1))^(2^F72),0),D72+(E72-D72)*(1+G72)*((9-1)/(MaxLevel-1))^(2^F72)))</f>
        <v/>
      </c>
      <c r="Q72" s="12" t="str">
        <f>IF(OR(D72="",E72=""),"",IF(IFERROR(INDEX(Stats!$D:$D,MATCH($C72,Stats!$A:$A,0)),FALSE),ROUND(D72+(E72-D72)*(1+G72)*((10-1)/(MaxLevel-1))^(2^F72),0),D72+(E72-D72)*(1+G72)*((10-1)/(MaxLevel-1))^(2^F72)))</f>
        <v/>
      </c>
    </row>
    <row r="73" spans="1:17" x14ac:dyDescent="0.25">
      <c r="A73" s="4" t="s">
        <v>185</v>
      </c>
      <c r="B73" s="19" t="s">
        <v>220</v>
      </c>
      <c r="C73" s="4" t="s">
        <v>52</v>
      </c>
      <c r="D73" s="5"/>
      <c r="E73" s="5"/>
      <c r="F73" s="5"/>
      <c r="G73" s="5"/>
      <c r="H73" s="12" t="str">
        <f>IF(OR(D73="",E73=""),"",IF(IFERROR(INDEX(Stats!$D:$D,MATCH($C73,Stats!$A:$A,0)),FALSE),ROUND(D73+(E73-D73)*(1+G73)*((1-1)/(MaxLevel-1))^(2^F73),0),D73+(E73-D73)*(1+G73)*((1-1)/(MaxLevel-1))^(2^F73)))</f>
        <v/>
      </c>
      <c r="I73" s="12" t="str">
        <f>IF(OR(D73="",E73=""),"",IF(IFERROR(INDEX(Stats!$D:$D,MATCH($C73,Stats!$A:$A,0)),FALSE),ROUND(D73+(E73-D73)*(1+G73)*((2-1)/(MaxLevel-1))^(2^F73),0),D73+(E73-D73)*(1+G73)*((2-1)/(MaxLevel-1))^(2^F73)))</f>
        <v/>
      </c>
      <c r="J73" s="12" t="str">
        <f>IF(OR(D73="",E73=""),"",IF(IFERROR(INDEX(Stats!$D:$D,MATCH($C73,Stats!$A:$A,0)),FALSE),ROUND(D73+(E73-D73)*(1+G73)*((3-1)/(MaxLevel-1))^(2^F73),0),D73+(E73-D73)*(1+G73)*((3-1)/(MaxLevel-1))^(2^F73)))</f>
        <v/>
      </c>
      <c r="K73" s="12" t="str">
        <f>IF(OR(D73="",E73=""),"",IF(IFERROR(INDEX(Stats!$D:$D,MATCH($C73,Stats!$A:$A,0)),FALSE),ROUND(D73+(E73-D73)*(1+G73)*((4-1)/(MaxLevel-1))^(2^F73),0),D73+(E73-D73)*(1+G73)*((4-1)/(MaxLevel-1))^(2^F73)))</f>
        <v/>
      </c>
      <c r="L73" s="12" t="str">
        <f>IF(OR(D73="",E73=""),"",IF(IFERROR(INDEX(Stats!$D:$D,MATCH($C73,Stats!$A:$A,0)),FALSE),ROUND(D73+(E73-D73)*(1+G73)*((5-1)/(MaxLevel-1))^(2^F73),0),D73+(E73-D73)*(1+G73)*((5-1)/(MaxLevel-1))^(2^F73)))</f>
        <v/>
      </c>
      <c r="M73" s="12" t="str">
        <f>IF(OR(D73="",E73=""),"",IF(IFERROR(INDEX(Stats!$D:$D,MATCH($C73,Stats!$A:$A,0)),FALSE),ROUND(D73+(E73-D73)*(1+G73)*((6-1)/(MaxLevel-1))^(2^F73),0),D73+(E73-D73)*(1+G73)*((6-1)/(MaxLevel-1))^(2^F73)))</f>
        <v/>
      </c>
      <c r="N73" s="12" t="str">
        <f>IF(OR(D73="",E73=""),"",IF(IFERROR(INDEX(Stats!$D:$D,MATCH($C73,Stats!$A:$A,0)),FALSE),ROUND(D73+(E73-D73)*(1+G73)*((7-1)/(MaxLevel-1))^(2^F73),0),D73+(E73-D73)*(1+G73)*((7-1)/(MaxLevel-1))^(2^F73)))</f>
        <v/>
      </c>
      <c r="O73" s="12" t="str">
        <f>IF(OR(D73="",E73=""),"",IF(IFERROR(INDEX(Stats!$D:$D,MATCH($C73,Stats!$A:$A,0)),FALSE),ROUND(D73+(E73-D73)*(1+G73)*((8-1)/(MaxLevel-1))^(2^F73),0),D73+(E73-D73)*(1+G73)*((8-1)/(MaxLevel-1))^(2^F73)))</f>
        <v/>
      </c>
      <c r="P73" s="12" t="str">
        <f>IF(OR(D73="",E73=""),"",IF(IFERROR(INDEX(Stats!$D:$D,MATCH($C73,Stats!$A:$A,0)),FALSE),ROUND(D73+(E73-D73)*(1+G73)*((9-1)/(MaxLevel-1))^(2^F73),0),D73+(E73-D73)*(1+G73)*((9-1)/(MaxLevel-1))^(2^F73)))</f>
        <v/>
      </c>
      <c r="Q73" s="12" t="str">
        <f>IF(OR(D73="",E73=""),"",IF(IFERROR(INDEX(Stats!$D:$D,MATCH($C73,Stats!$A:$A,0)),FALSE),ROUND(D73+(E73-D73)*(1+G73)*((10-1)/(MaxLevel-1))^(2^F73),0),D73+(E73-D73)*(1+G73)*((10-1)/(MaxLevel-1))^(2^F73)))</f>
        <v/>
      </c>
    </row>
    <row r="74" spans="1:17" x14ac:dyDescent="0.25">
      <c r="A74" s="4" t="s">
        <v>185</v>
      </c>
      <c r="B74" s="19" t="s">
        <v>220</v>
      </c>
      <c r="C74" s="4" t="s">
        <v>54</v>
      </c>
      <c r="D74" s="5"/>
      <c r="E74" s="5"/>
      <c r="F74" s="5"/>
      <c r="G74" s="5"/>
      <c r="H74" s="12" t="str">
        <f>IF(OR(D74="",E74=""),"",IF(IFERROR(INDEX(Stats!$D:$D,MATCH($C74,Stats!$A:$A,0)),FALSE),ROUND(D74+(E74-D74)*(1+G74)*((1-1)/(MaxLevel-1))^(2^F74),0),D74+(E74-D74)*(1+G74)*((1-1)/(MaxLevel-1))^(2^F74)))</f>
        <v/>
      </c>
      <c r="I74" s="12" t="str">
        <f>IF(OR(D74="",E74=""),"",IF(IFERROR(INDEX(Stats!$D:$D,MATCH($C74,Stats!$A:$A,0)),FALSE),ROUND(D74+(E74-D74)*(1+G74)*((2-1)/(MaxLevel-1))^(2^F74),0),D74+(E74-D74)*(1+G74)*((2-1)/(MaxLevel-1))^(2^F74)))</f>
        <v/>
      </c>
      <c r="J74" s="12" t="str">
        <f>IF(OR(D74="",E74=""),"",IF(IFERROR(INDEX(Stats!$D:$D,MATCH($C74,Stats!$A:$A,0)),FALSE),ROUND(D74+(E74-D74)*(1+G74)*((3-1)/(MaxLevel-1))^(2^F74),0),D74+(E74-D74)*(1+G74)*((3-1)/(MaxLevel-1))^(2^F74)))</f>
        <v/>
      </c>
      <c r="K74" s="12" t="str">
        <f>IF(OR(D74="",E74=""),"",IF(IFERROR(INDEX(Stats!$D:$D,MATCH($C74,Stats!$A:$A,0)),FALSE),ROUND(D74+(E74-D74)*(1+G74)*((4-1)/(MaxLevel-1))^(2^F74),0),D74+(E74-D74)*(1+G74)*((4-1)/(MaxLevel-1))^(2^F74)))</f>
        <v/>
      </c>
      <c r="L74" s="12" t="str">
        <f>IF(OR(D74="",E74=""),"",IF(IFERROR(INDEX(Stats!$D:$D,MATCH($C74,Stats!$A:$A,0)),FALSE),ROUND(D74+(E74-D74)*(1+G74)*((5-1)/(MaxLevel-1))^(2^F74),0),D74+(E74-D74)*(1+G74)*((5-1)/(MaxLevel-1))^(2^F74)))</f>
        <v/>
      </c>
      <c r="M74" s="12" t="str">
        <f>IF(OR(D74="",E74=""),"",IF(IFERROR(INDEX(Stats!$D:$D,MATCH($C74,Stats!$A:$A,0)),FALSE),ROUND(D74+(E74-D74)*(1+G74)*((6-1)/(MaxLevel-1))^(2^F74),0),D74+(E74-D74)*(1+G74)*((6-1)/(MaxLevel-1))^(2^F74)))</f>
        <v/>
      </c>
      <c r="N74" s="12" t="str">
        <f>IF(OR(D74="",E74=""),"",IF(IFERROR(INDEX(Stats!$D:$D,MATCH($C74,Stats!$A:$A,0)),FALSE),ROUND(D74+(E74-D74)*(1+G74)*((7-1)/(MaxLevel-1))^(2^F74),0),D74+(E74-D74)*(1+G74)*((7-1)/(MaxLevel-1))^(2^F74)))</f>
        <v/>
      </c>
      <c r="O74" s="12" t="str">
        <f>IF(OR(D74="",E74=""),"",IF(IFERROR(INDEX(Stats!$D:$D,MATCH($C74,Stats!$A:$A,0)),FALSE),ROUND(D74+(E74-D74)*(1+G74)*((8-1)/(MaxLevel-1))^(2^F74),0),D74+(E74-D74)*(1+G74)*((8-1)/(MaxLevel-1))^(2^F74)))</f>
        <v/>
      </c>
      <c r="P74" s="12" t="str">
        <f>IF(OR(D74="",E74=""),"",IF(IFERROR(INDEX(Stats!$D:$D,MATCH($C74,Stats!$A:$A,0)),FALSE),ROUND(D74+(E74-D74)*(1+G74)*((9-1)/(MaxLevel-1))^(2^F74),0),D74+(E74-D74)*(1+G74)*((9-1)/(MaxLevel-1))^(2^F74)))</f>
        <v/>
      </c>
      <c r="Q74" s="12" t="str">
        <f>IF(OR(D74="",E74=""),"",IF(IFERROR(INDEX(Stats!$D:$D,MATCH($C74,Stats!$A:$A,0)),FALSE),ROUND(D74+(E74-D74)*(1+G74)*((10-1)/(MaxLevel-1))^(2^F74),0),D74+(E74-D74)*(1+G74)*((10-1)/(MaxLevel-1))^(2^F74)))</f>
        <v/>
      </c>
    </row>
    <row r="75" spans="1:17" x14ac:dyDescent="0.25">
      <c r="A75" s="4" t="s">
        <v>185</v>
      </c>
      <c r="B75" s="19" t="s">
        <v>220</v>
      </c>
      <c r="C75" s="4" t="s">
        <v>56</v>
      </c>
      <c r="D75" s="5"/>
      <c r="E75" s="5"/>
      <c r="F75" s="5"/>
      <c r="G75" s="5"/>
      <c r="H75" s="12" t="str">
        <f>IF(OR(D75="",E75=""),"",IF(IFERROR(INDEX(Stats!$D:$D,MATCH($C75,Stats!$A:$A,0)),FALSE),ROUND(D75+(E75-D75)*(1+G75)*((1-1)/(MaxLevel-1))^(2^F75),0),D75+(E75-D75)*(1+G75)*((1-1)/(MaxLevel-1))^(2^F75)))</f>
        <v/>
      </c>
      <c r="I75" s="12" t="str">
        <f>IF(OR(D75="",E75=""),"",IF(IFERROR(INDEX(Stats!$D:$D,MATCH($C75,Stats!$A:$A,0)),FALSE),ROUND(D75+(E75-D75)*(1+G75)*((2-1)/(MaxLevel-1))^(2^F75),0),D75+(E75-D75)*(1+G75)*((2-1)/(MaxLevel-1))^(2^F75)))</f>
        <v/>
      </c>
      <c r="J75" s="12" t="str">
        <f>IF(OR(D75="",E75=""),"",IF(IFERROR(INDEX(Stats!$D:$D,MATCH($C75,Stats!$A:$A,0)),FALSE),ROUND(D75+(E75-D75)*(1+G75)*((3-1)/(MaxLevel-1))^(2^F75),0),D75+(E75-D75)*(1+G75)*((3-1)/(MaxLevel-1))^(2^F75)))</f>
        <v/>
      </c>
      <c r="K75" s="12" t="str">
        <f>IF(OR(D75="",E75=""),"",IF(IFERROR(INDEX(Stats!$D:$D,MATCH($C75,Stats!$A:$A,0)),FALSE),ROUND(D75+(E75-D75)*(1+G75)*((4-1)/(MaxLevel-1))^(2^F75),0),D75+(E75-D75)*(1+G75)*((4-1)/(MaxLevel-1))^(2^F75)))</f>
        <v/>
      </c>
      <c r="L75" s="12" t="str">
        <f>IF(OR(D75="",E75=""),"",IF(IFERROR(INDEX(Stats!$D:$D,MATCH($C75,Stats!$A:$A,0)),FALSE),ROUND(D75+(E75-D75)*(1+G75)*((5-1)/(MaxLevel-1))^(2^F75),0),D75+(E75-D75)*(1+G75)*((5-1)/(MaxLevel-1))^(2^F75)))</f>
        <v/>
      </c>
      <c r="M75" s="12" t="str">
        <f>IF(OR(D75="",E75=""),"",IF(IFERROR(INDEX(Stats!$D:$D,MATCH($C75,Stats!$A:$A,0)),FALSE),ROUND(D75+(E75-D75)*(1+G75)*((6-1)/(MaxLevel-1))^(2^F75),0),D75+(E75-D75)*(1+G75)*((6-1)/(MaxLevel-1))^(2^F75)))</f>
        <v/>
      </c>
      <c r="N75" s="12" t="str">
        <f>IF(OR(D75="",E75=""),"",IF(IFERROR(INDEX(Stats!$D:$D,MATCH($C75,Stats!$A:$A,0)),FALSE),ROUND(D75+(E75-D75)*(1+G75)*((7-1)/(MaxLevel-1))^(2^F75),0),D75+(E75-D75)*(1+G75)*((7-1)/(MaxLevel-1))^(2^F75)))</f>
        <v/>
      </c>
      <c r="O75" s="12" t="str">
        <f>IF(OR(D75="",E75=""),"",IF(IFERROR(INDEX(Stats!$D:$D,MATCH($C75,Stats!$A:$A,0)),FALSE),ROUND(D75+(E75-D75)*(1+G75)*((8-1)/(MaxLevel-1))^(2^F75),0),D75+(E75-D75)*(1+G75)*((8-1)/(MaxLevel-1))^(2^F75)))</f>
        <v/>
      </c>
      <c r="P75" s="12" t="str">
        <f>IF(OR(D75="",E75=""),"",IF(IFERROR(INDEX(Stats!$D:$D,MATCH($C75,Stats!$A:$A,0)),FALSE),ROUND(D75+(E75-D75)*(1+G75)*((9-1)/(MaxLevel-1))^(2^F75),0),D75+(E75-D75)*(1+G75)*((9-1)/(MaxLevel-1))^(2^F75)))</f>
        <v/>
      </c>
      <c r="Q75" s="12" t="str">
        <f>IF(OR(D75="",E75=""),"",IF(IFERROR(INDEX(Stats!$D:$D,MATCH($C75,Stats!$A:$A,0)),FALSE),ROUND(D75+(E75-D75)*(1+G75)*((10-1)/(MaxLevel-1))^(2^F75),0),D75+(E75-D75)*(1+G75)*((10-1)/(MaxLevel-1))^(2^F75)))</f>
        <v/>
      </c>
    </row>
    <row r="76" spans="1:17" x14ac:dyDescent="0.25">
      <c r="A76" s="4" t="s">
        <v>185</v>
      </c>
      <c r="B76" s="19" t="s">
        <v>220</v>
      </c>
      <c r="C76" s="4" t="s">
        <v>58</v>
      </c>
      <c r="D76" s="5"/>
      <c r="E76" s="5"/>
      <c r="F76" s="5"/>
      <c r="G76" s="5"/>
      <c r="H76" s="12" t="str">
        <f>IF(OR(D76="",E76=""),"",IF(IFERROR(INDEX(Stats!$D:$D,MATCH($C76,Stats!$A:$A,0)),FALSE),ROUND(D76+(E76-D76)*(1+G76)*((1-1)/(MaxLevel-1))^(2^F76),0),D76+(E76-D76)*(1+G76)*((1-1)/(MaxLevel-1))^(2^F76)))</f>
        <v/>
      </c>
      <c r="I76" s="12" t="str">
        <f>IF(OR(D76="",E76=""),"",IF(IFERROR(INDEX(Stats!$D:$D,MATCH($C76,Stats!$A:$A,0)),FALSE),ROUND(D76+(E76-D76)*(1+G76)*((2-1)/(MaxLevel-1))^(2^F76),0),D76+(E76-D76)*(1+G76)*((2-1)/(MaxLevel-1))^(2^F76)))</f>
        <v/>
      </c>
      <c r="J76" s="12" t="str">
        <f>IF(OR(D76="",E76=""),"",IF(IFERROR(INDEX(Stats!$D:$D,MATCH($C76,Stats!$A:$A,0)),FALSE),ROUND(D76+(E76-D76)*(1+G76)*((3-1)/(MaxLevel-1))^(2^F76),0),D76+(E76-D76)*(1+G76)*((3-1)/(MaxLevel-1))^(2^F76)))</f>
        <v/>
      </c>
      <c r="K76" s="12" t="str">
        <f>IF(OR(D76="",E76=""),"",IF(IFERROR(INDEX(Stats!$D:$D,MATCH($C76,Stats!$A:$A,0)),FALSE),ROUND(D76+(E76-D76)*(1+G76)*((4-1)/(MaxLevel-1))^(2^F76),0),D76+(E76-D76)*(1+G76)*((4-1)/(MaxLevel-1))^(2^F76)))</f>
        <v/>
      </c>
      <c r="L76" s="12" t="str">
        <f>IF(OR(D76="",E76=""),"",IF(IFERROR(INDEX(Stats!$D:$D,MATCH($C76,Stats!$A:$A,0)),FALSE),ROUND(D76+(E76-D76)*(1+G76)*((5-1)/(MaxLevel-1))^(2^F76),0),D76+(E76-D76)*(1+G76)*((5-1)/(MaxLevel-1))^(2^F76)))</f>
        <v/>
      </c>
      <c r="M76" s="12" t="str">
        <f>IF(OR(D76="",E76=""),"",IF(IFERROR(INDEX(Stats!$D:$D,MATCH($C76,Stats!$A:$A,0)),FALSE),ROUND(D76+(E76-D76)*(1+G76)*((6-1)/(MaxLevel-1))^(2^F76),0),D76+(E76-D76)*(1+G76)*((6-1)/(MaxLevel-1))^(2^F76)))</f>
        <v/>
      </c>
      <c r="N76" s="12" t="str">
        <f>IF(OR(D76="",E76=""),"",IF(IFERROR(INDEX(Stats!$D:$D,MATCH($C76,Stats!$A:$A,0)),FALSE),ROUND(D76+(E76-D76)*(1+G76)*((7-1)/(MaxLevel-1))^(2^F76),0),D76+(E76-D76)*(1+G76)*((7-1)/(MaxLevel-1))^(2^F76)))</f>
        <v/>
      </c>
      <c r="O76" s="12" t="str">
        <f>IF(OR(D76="",E76=""),"",IF(IFERROR(INDEX(Stats!$D:$D,MATCH($C76,Stats!$A:$A,0)),FALSE),ROUND(D76+(E76-D76)*(1+G76)*((8-1)/(MaxLevel-1))^(2^F76),0),D76+(E76-D76)*(1+G76)*((8-1)/(MaxLevel-1))^(2^F76)))</f>
        <v/>
      </c>
      <c r="P76" s="12" t="str">
        <f>IF(OR(D76="",E76=""),"",IF(IFERROR(INDEX(Stats!$D:$D,MATCH($C76,Stats!$A:$A,0)),FALSE),ROUND(D76+(E76-D76)*(1+G76)*((9-1)/(MaxLevel-1))^(2^F76),0),D76+(E76-D76)*(1+G76)*((9-1)/(MaxLevel-1))^(2^F76)))</f>
        <v/>
      </c>
      <c r="Q76" s="12" t="str">
        <f>IF(OR(D76="",E76=""),"",IF(IFERROR(INDEX(Stats!$D:$D,MATCH($C76,Stats!$A:$A,0)),FALSE),ROUND(D76+(E76-D76)*(1+G76)*((10-1)/(MaxLevel-1))^(2^F76),0),D76+(E76-D76)*(1+G76)*((10-1)/(MaxLevel-1))^(2^F76)))</f>
        <v/>
      </c>
    </row>
    <row r="77" spans="1:17" x14ac:dyDescent="0.25">
      <c r="A77" s="4" t="s">
        <v>185</v>
      </c>
      <c r="B77" s="19" t="s">
        <v>220</v>
      </c>
      <c r="C77" s="4" t="s">
        <v>60</v>
      </c>
      <c r="D77" s="5">
        <v>0.3</v>
      </c>
      <c r="E77" s="5">
        <v>0.1</v>
      </c>
      <c r="F77" s="5">
        <v>0</v>
      </c>
      <c r="G77" s="5">
        <v>0</v>
      </c>
      <c r="H77" s="12">
        <f>IF(OR(D77="",E77=""),"",IF(IFERROR(INDEX(Stats!$D:$D,MATCH($C77,Stats!$A:$A,0)),FALSE),ROUND(D77+(E77-D77)*(1+G77)*((1-1)/(MaxLevel-1))^(2^F77),0),D77+(E77-D77)*(1+G77)*((1-1)/(MaxLevel-1))^(2^F77)))</f>
        <v>0.3</v>
      </c>
      <c r="I77" s="12">
        <f>IF(OR(D77="",E77=""),"",IF(IFERROR(INDEX(Stats!$D:$D,MATCH($C77,Stats!$A:$A,0)),FALSE),ROUND(D77+(E77-D77)*(1+G77)*((2-1)/(MaxLevel-1))^(2^F77),0),D77+(E77-D77)*(1+G77)*((2-1)/(MaxLevel-1))^(2^F77)))</f>
        <v>0.27777777777777779</v>
      </c>
      <c r="J77" s="12">
        <f>IF(OR(D77="",E77=""),"",IF(IFERROR(INDEX(Stats!$D:$D,MATCH($C77,Stats!$A:$A,0)),FALSE),ROUND(D77+(E77-D77)*(1+G77)*((3-1)/(MaxLevel-1))^(2^F77),0),D77+(E77-D77)*(1+G77)*((3-1)/(MaxLevel-1))^(2^F77)))</f>
        <v>0.25555555555555554</v>
      </c>
      <c r="K77" s="12">
        <f>IF(OR(D77="",E77=""),"",IF(IFERROR(INDEX(Stats!$D:$D,MATCH($C77,Stats!$A:$A,0)),FALSE),ROUND(D77+(E77-D77)*(1+G77)*((4-1)/(MaxLevel-1))^(2^F77),0),D77+(E77-D77)*(1+G77)*((4-1)/(MaxLevel-1))^(2^F77)))</f>
        <v>0.23333333333333334</v>
      </c>
      <c r="L77" s="12">
        <f>IF(OR(D77="",E77=""),"",IF(IFERROR(INDEX(Stats!$D:$D,MATCH($C77,Stats!$A:$A,0)),FALSE),ROUND(D77+(E77-D77)*(1+G77)*((5-1)/(MaxLevel-1))^(2^F77),0),D77+(E77-D77)*(1+G77)*((5-1)/(MaxLevel-1))^(2^F77)))</f>
        <v>0.21111111111111111</v>
      </c>
      <c r="M77" s="12">
        <f>IF(OR(D77="",E77=""),"",IF(IFERROR(INDEX(Stats!$D:$D,MATCH($C77,Stats!$A:$A,0)),FALSE),ROUND(D77+(E77-D77)*(1+G77)*((6-1)/(MaxLevel-1))^(2^F77),0),D77+(E77-D77)*(1+G77)*((6-1)/(MaxLevel-1))^(2^F77)))</f>
        <v>0.18888888888888888</v>
      </c>
      <c r="N77" s="12">
        <f>IF(OR(D77="",E77=""),"",IF(IFERROR(INDEX(Stats!$D:$D,MATCH($C77,Stats!$A:$A,0)),FALSE),ROUND(D77+(E77-D77)*(1+G77)*((7-1)/(MaxLevel-1))^(2^F77),0),D77+(E77-D77)*(1+G77)*((7-1)/(MaxLevel-1))^(2^F77)))</f>
        <v>0.16666666666666669</v>
      </c>
      <c r="O77" s="12">
        <f>IF(OR(D77="",E77=""),"",IF(IFERROR(INDEX(Stats!$D:$D,MATCH($C77,Stats!$A:$A,0)),FALSE),ROUND(D77+(E77-D77)*(1+G77)*((8-1)/(MaxLevel-1))^(2^F77),0),D77+(E77-D77)*(1+G77)*((8-1)/(MaxLevel-1))^(2^F77)))</f>
        <v>0.14444444444444443</v>
      </c>
      <c r="P77" s="12">
        <f>IF(OR(D77="",E77=""),"",IF(IFERROR(INDEX(Stats!$D:$D,MATCH($C77,Stats!$A:$A,0)),FALSE),ROUND(D77+(E77-D77)*(1+G77)*((9-1)/(MaxLevel-1))^(2^F77),0),D77+(E77-D77)*(1+G77)*((9-1)/(MaxLevel-1))^(2^F77)))</f>
        <v>0.12222222222222223</v>
      </c>
      <c r="Q77" s="12">
        <f>IF(OR(D77="",E77=""),"",IF(IFERROR(INDEX(Stats!$D:$D,MATCH($C77,Stats!$A:$A,0)),FALSE),ROUND(D77+(E77-D77)*(1+G77)*((10-1)/(MaxLevel-1))^(2^F77),0),D77+(E77-D77)*(1+G77)*((10-1)/(MaxLevel-1))^(2^F77)))</f>
        <v>0.1</v>
      </c>
    </row>
    <row r="78" spans="1:17" x14ac:dyDescent="0.25">
      <c r="A78" s="4" t="s">
        <v>185</v>
      </c>
      <c r="B78" s="19" t="s">
        <v>221</v>
      </c>
      <c r="C78" s="4" t="s">
        <v>24</v>
      </c>
      <c r="D78" s="5">
        <v>0</v>
      </c>
      <c r="E78" s="5">
        <v>5000</v>
      </c>
      <c r="F78" s="5">
        <v>1</v>
      </c>
      <c r="G78" s="5">
        <v>0</v>
      </c>
      <c r="H78" s="12">
        <f>IF(OR(D78="",E78=""),"",IF(IFERROR(INDEX(Stats!$D:$D,MATCH($C78,Stats!$A:$A,0)),FALSE),ROUND(D78+(E78-D78)*(1+G78)*((1-1)/(MaxLevel-1))^(2^F78),0),D78+(E78-D78)*(1+G78)*((1-1)/(MaxLevel-1))^(2^F78)))</f>
        <v>0</v>
      </c>
      <c r="I78" s="12">
        <f>IF(OR(D78="",E78=""),"",IF(IFERROR(INDEX(Stats!$D:$D,MATCH($C78,Stats!$A:$A,0)),FALSE),ROUND(D78+(E78-D78)*(1+G78)*((2-1)/(MaxLevel-1))^(2^F78),0),D78+(E78-D78)*(1+G78)*((2-1)/(MaxLevel-1))^(2^F78)))</f>
        <v>62</v>
      </c>
      <c r="J78" s="12">
        <f>IF(OR(D78="",E78=""),"",IF(IFERROR(INDEX(Stats!$D:$D,MATCH($C78,Stats!$A:$A,0)),FALSE),ROUND(D78+(E78-D78)*(1+G78)*((3-1)/(MaxLevel-1))^(2^F78),0),D78+(E78-D78)*(1+G78)*((3-1)/(MaxLevel-1))^(2^F78)))</f>
        <v>247</v>
      </c>
      <c r="K78" s="12">
        <f>IF(OR(D78="",E78=""),"",IF(IFERROR(INDEX(Stats!$D:$D,MATCH($C78,Stats!$A:$A,0)),FALSE),ROUND(D78+(E78-D78)*(1+G78)*((4-1)/(MaxLevel-1))^(2^F78),0),D78+(E78-D78)*(1+G78)*((4-1)/(MaxLevel-1))^(2^F78)))</f>
        <v>556</v>
      </c>
      <c r="L78" s="12">
        <f>IF(OR(D78="",E78=""),"",IF(IFERROR(INDEX(Stats!$D:$D,MATCH($C78,Stats!$A:$A,0)),FALSE),ROUND(D78+(E78-D78)*(1+G78)*((5-1)/(MaxLevel-1))^(2^F78),0),D78+(E78-D78)*(1+G78)*((5-1)/(MaxLevel-1))^(2^F78)))</f>
        <v>988</v>
      </c>
      <c r="M78" s="12">
        <f>IF(OR(D78="",E78=""),"",IF(IFERROR(INDEX(Stats!$D:$D,MATCH($C78,Stats!$A:$A,0)),FALSE),ROUND(D78+(E78-D78)*(1+G78)*((6-1)/(MaxLevel-1))^(2^F78),0),D78+(E78-D78)*(1+G78)*((6-1)/(MaxLevel-1))^(2^F78)))</f>
        <v>1543</v>
      </c>
      <c r="N78" s="12">
        <f>IF(OR(D78="",E78=""),"",IF(IFERROR(INDEX(Stats!$D:$D,MATCH($C78,Stats!$A:$A,0)),FALSE),ROUND(D78+(E78-D78)*(1+G78)*((7-1)/(MaxLevel-1))^(2^F78),0),D78+(E78-D78)*(1+G78)*((7-1)/(MaxLevel-1))^(2^F78)))</f>
        <v>2222</v>
      </c>
      <c r="O78" s="12">
        <f>IF(OR(D78="",E78=""),"",IF(IFERROR(INDEX(Stats!$D:$D,MATCH($C78,Stats!$A:$A,0)),FALSE),ROUND(D78+(E78-D78)*(1+G78)*((8-1)/(MaxLevel-1))^(2^F78),0),D78+(E78-D78)*(1+G78)*((8-1)/(MaxLevel-1))^(2^F78)))</f>
        <v>3025</v>
      </c>
      <c r="P78" s="12">
        <f>IF(OR(D78="",E78=""),"",IF(IFERROR(INDEX(Stats!$D:$D,MATCH($C78,Stats!$A:$A,0)),FALSE),ROUND(D78+(E78-D78)*(1+G78)*((9-1)/(MaxLevel-1))^(2^F78),0),D78+(E78-D78)*(1+G78)*((9-1)/(MaxLevel-1))^(2^F78)))</f>
        <v>3951</v>
      </c>
      <c r="Q78" s="12">
        <f>IF(OR(D78="",E78=""),"",IF(IFERROR(INDEX(Stats!$D:$D,MATCH($C78,Stats!$A:$A,0)),FALSE),ROUND(D78+(E78-D78)*(1+G78)*((10-1)/(MaxLevel-1))^(2^F78),0),D78+(E78-D78)*(1+G78)*((10-1)/(MaxLevel-1))^(2^F78)))</f>
        <v>5000</v>
      </c>
    </row>
    <row r="79" spans="1:17" x14ac:dyDescent="0.25">
      <c r="A79" s="4" t="s">
        <v>185</v>
      </c>
      <c r="B79" s="19" t="s">
        <v>221</v>
      </c>
      <c r="C79" s="4" t="s">
        <v>26</v>
      </c>
      <c r="D79" s="5">
        <v>10</v>
      </c>
      <c r="E79" s="5">
        <v>80</v>
      </c>
      <c r="F79" s="5">
        <v>0</v>
      </c>
      <c r="G79" s="5">
        <v>0</v>
      </c>
      <c r="H79" s="12">
        <f>IF(OR(D79="",E79=""),"",IF(IFERROR(INDEX(Stats!$D:$D,MATCH($C79,Stats!$A:$A,0)),FALSE),ROUND(D79+(E79-D79)*(1+G79)*((1-1)/(MaxLevel-1))^(2^F79),0),D79+(E79-D79)*(1+G79)*((1-1)/(MaxLevel-1))^(2^F79)))</f>
        <v>10</v>
      </c>
      <c r="I79" s="12">
        <f>IF(OR(D79="",E79=""),"",IF(IFERROR(INDEX(Stats!$D:$D,MATCH($C79,Stats!$A:$A,0)),FALSE),ROUND(D79+(E79-D79)*(1+G79)*((2-1)/(MaxLevel-1))^(2^F79),0),D79+(E79-D79)*(1+G79)*((2-1)/(MaxLevel-1))^(2^F79)))</f>
        <v>18</v>
      </c>
      <c r="J79" s="12">
        <f>IF(OR(D79="",E79=""),"",IF(IFERROR(INDEX(Stats!$D:$D,MATCH($C79,Stats!$A:$A,0)),FALSE),ROUND(D79+(E79-D79)*(1+G79)*((3-1)/(MaxLevel-1))^(2^F79),0),D79+(E79-D79)*(1+G79)*((3-1)/(MaxLevel-1))^(2^F79)))</f>
        <v>26</v>
      </c>
      <c r="K79" s="12">
        <f>IF(OR(D79="",E79=""),"",IF(IFERROR(INDEX(Stats!$D:$D,MATCH($C79,Stats!$A:$A,0)),FALSE),ROUND(D79+(E79-D79)*(1+G79)*((4-1)/(MaxLevel-1))^(2^F79),0),D79+(E79-D79)*(1+G79)*((4-1)/(MaxLevel-1))^(2^F79)))</f>
        <v>33</v>
      </c>
      <c r="L79" s="12">
        <f>IF(OR(D79="",E79=""),"",IF(IFERROR(INDEX(Stats!$D:$D,MATCH($C79,Stats!$A:$A,0)),FALSE),ROUND(D79+(E79-D79)*(1+G79)*((5-1)/(MaxLevel-1))^(2^F79),0),D79+(E79-D79)*(1+G79)*((5-1)/(MaxLevel-1))^(2^F79)))</f>
        <v>41</v>
      </c>
      <c r="M79" s="12">
        <f>IF(OR(D79="",E79=""),"",IF(IFERROR(INDEX(Stats!$D:$D,MATCH($C79,Stats!$A:$A,0)),FALSE),ROUND(D79+(E79-D79)*(1+G79)*((6-1)/(MaxLevel-1))^(2^F79),0),D79+(E79-D79)*(1+G79)*((6-1)/(MaxLevel-1))^(2^F79)))</f>
        <v>49</v>
      </c>
      <c r="N79" s="12">
        <f>IF(OR(D79="",E79=""),"",IF(IFERROR(INDEX(Stats!$D:$D,MATCH($C79,Stats!$A:$A,0)),FALSE),ROUND(D79+(E79-D79)*(1+G79)*((7-1)/(MaxLevel-1))^(2^F79),0),D79+(E79-D79)*(1+G79)*((7-1)/(MaxLevel-1))^(2^F79)))</f>
        <v>57</v>
      </c>
      <c r="O79" s="12">
        <f>IF(OR(D79="",E79=""),"",IF(IFERROR(INDEX(Stats!$D:$D,MATCH($C79,Stats!$A:$A,0)),FALSE),ROUND(D79+(E79-D79)*(1+G79)*((8-1)/(MaxLevel-1))^(2^F79),0),D79+(E79-D79)*(1+G79)*((8-1)/(MaxLevel-1))^(2^F79)))</f>
        <v>64</v>
      </c>
      <c r="P79" s="12">
        <f>IF(OR(D79="",E79=""),"",IF(IFERROR(INDEX(Stats!$D:$D,MATCH($C79,Stats!$A:$A,0)),FALSE),ROUND(D79+(E79-D79)*(1+G79)*((9-1)/(MaxLevel-1))^(2^F79),0),D79+(E79-D79)*(1+G79)*((9-1)/(MaxLevel-1))^(2^F79)))</f>
        <v>72</v>
      </c>
      <c r="Q79" s="12">
        <f>IF(OR(D79="",E79=""),"",IF(IFERROR(INDEX(Stats!$D:$D,MATCH($C79,Stats!$A:$A,0)),FALSE),ROUND(D79+(E79-D79)*(1+G79)*((10-1)/(MaxLevel-1))^(2^F79),0),D79+(E79-D79)*(1+G79)*((10-1)/(MaxLevel-1))^(2^F79)))</f>
        <v>80</v>
      </c>
    </row>
    <row r="80" spans="1:17" x14ac:dyDescent="0.25">
      <c r="A80" s="4" t="s">
        <v>185</v>
      </c>
      <c r="B80" s="19" t="s">
        <v>221</v>
      </c>
      <c r="C80" s="4" t="s">
        <v>28</v>
      </c>
      <c r="D80" s="5">
        <v>80</v>
      </c>
      <c r="E80" s="5">
        <v>400</v>
      </c>
      <c r="F80" s="5">
        <v>-0.5</v>
      </c>
      <c r="G80" s="5">
        <v>0</v>
      </c>
      <c r="H80" s="12">
        <f>IF(OR(D80="",E80=""),"",IF(IFERROR(INDEX(Stats!$D:$D,MATCH($C80,Stats!$A:$A,0)),FALSE),ROUND(D80+(E80-D80)*(1+G80)*((1-1)/(MaxLevel-1))^(2^F80),0),D80+(E80-D80)*(1+G80)*((1-1)/(MaxLevel-1))^(2^F80)))</f>
        <v>80</v>
      </c>
      <c r="I80" s="12">
        <f>IF(OR(D80="",E80=""),"",IF(IFERROR(INDEX(Stats!$D:$D,MATCH($C80,Stats!$A:$A,0)),FALSE),ROUND(D80+(E80-D80)*(1+G80)*((2-1)/(MaxLevel-1))^(2^F80),0),D80+(E80-D80)*(1+G80)*((2-1)/(MaxLevel-1))^(2^F80)))</f>
        <v>148</v>
      </c>
      <c r="J80" s="12">
        <f>IF(OR(D80="",E80=""),"",IF(IFERROR(INDEX(Stats!$D:$D,MATCH($C80,Stats!$A:$A,0)),FALSE),ROUND(D80+(E80-D80)*(1+G80)*((3-1)/(MaxLevel-1))^(2^F80),0),D80+(E80-D80)*(1+G80)*((3-1)/(MaxLevel-1))^(2^F80)))</f>
        <v>190</v>
      </c>
      <c r="K80" s="12">
        <f>IF(OR(D80="",E80=""),"",IF(IFERROR(INDEX(Stats!$D:$D,MATCH($C80,Stats!$A:$A,0)),FALSE),ROUND(D80+(E80-D80)*(1+G80)*((4-1)/(MaxLevel-1))^(2^F80),0),D80+(E80-D80)*(1+G80)*((4-1)/(MaxLevel-1))^(2^F80)))</f>
        <v>227</v>
      </c>
      <c r="L80" s="12">
        <f>IF(OR(D80="",E80=""),"",IF(IFERROR(INDEX(Stats!$D:$D,MATCH($C80,Stats!$A:$A,0)),FALSE),ROUND(D80+(E80-D80)*(1+G80)*((5-1)/(MaxLevel-1))^(2^F80),0),D80+(E80-D80)*(1+G80)*((5-1)/(MaxLevel-1))^(2^F80)))</f>
        <v>260</v>
      </c>
      <c r="M80" s="12">
        <f>IF(OR(D80="",E80=""),"",IF(IFERROR(INDEX(Stats!$D:$D,MATCH($C80,Stats!$A:$A,0)),FALSE),ROUND(D80+(E80-D80)*(1+G80)*((6-1)/(MaxLevel-1))^(2^F80),0),D80+(E80-D80)*(1+G80)*((6-1)/(MaxLevel-1))^(2^F80)))</f>
        <v>291</v>
      </c>
      <c r="N80" s="12">
        <f>IF(OR(D80="",E80=""),"",IF(IFERROR(INDEX(Stats!$D:$D,MATCH($C80,Stats!$A:$A,0)),FALSE),ROUND(D80+(E80-D80)*(1+G80)*((7-1)/(MaxLevel-1))^(2^F80),0),D80+(E80-D80)*(1+G80)*((7-1)/(MaxLevel-1))^(2^F80)))</f>
        <v>320</v>
      </c>
      <c r="O80" s="12">
        <f>IF(OR(D80="",E80=""),"",IF(IFERROR(INDEX(Stats!$D:$D,MATCH($C80,Stats!$A:$A,0)),FALSE),ROUND(D80+(E80-D80)*(1+G80)*((8-1)/(MaxLevel-1))^(2^F80),0),D80+(E80-D80)*(1+G80)*((8-1)/(MaxLevel-1))^(2^F80)))</f>
        <v>348</v>
      </c>
      <c r="P80" s="12">
        <f>IF(OR(D80="",E80=""),"",IF(IFERROR(INDEX(Stats!$D:$D,MATCH($C80,Stats!$A:$A,0)),FALSE),ROUND(D80+(E80-D80)*(1+G80)*((9-1)/(MaxLevel-1))^(2^F80),0),D80+(E80-D80)*(1+G80)*((9-1)/(MaxLevel-1))^(2^F80)))</f>
        <v>374</v>
      </c>
      <c r="Q80" s="12">
        <f>IF(OR(D80="",E80=""),"",IF(IFERROR(INDEX(Stats!$D:$D,MATCH($C80,Stats!$A:$A,0)),FALSE),ROUND(D80+(E80-D80)*(1+G80)*((10-1)/(MaxLevel-1))^(2^F80),0),D80+(E80-D80)*(1+G80)*((10-1)/(MaxLevel-1))^(2^F80)))</f>
        <v>400</v>
      </c>
    </row>
    <row r="81" spans="1:17" x14ac:dyDescent="0.25">
      <c r="A81" s="4" t="s">
        <v>185</v>
      </c>
      <c r="B81" s="19" t="s">
        <v>221</v>
      </c>
      <c r="C81" s="4" t="s">
        <v>30</v>
      </c>
      <c r="D81" s="5"/>
      <c r="E81" s="5"/>
      <c r="F81" s="5"/>
      <c r="G81" s="5"/>
      <c r="H81" s="12" t="str">
        <f>IF(OR(D81="",E81=""),"",IF(IFERROR(INDEX(Stats!$D:$D,MATCH($C81,Stats!$A:$A,0)),FALSE),ROUND(D81+(E81-D81)*(1+G81)*((1-1)/(MaxLevel-1))^(2^F81),0),D81+(E81-D81)*(1+G81)*((1-1)/(MaxLevel-1))^(2^F81)))</f>
        <v/>
      </c>
      <c r="I81" s="12" t="str">
        <f>IF(OR(D81="",E81=""),"",IF(IFERROR(INDEX(Stats!$D:$D,MATCH($C81,Stats!$A:$A,0)),FALSE),ROUND(D81+(E81-D81)*(1+G81)*((2-1)/(MaxLevel-1))^(2^F81),0),D81+(E81-D81)*(1+G81)*((2-1)/(MaxLevel-1))^(2^F81)))</f>
        <v/>
      </c>
      <c r="J81" s="12" t="str">
        <f>IF(OR(D81="",E81=""),"",IF(IFERROR(INDEX(Stats!$D:$D,MATCH($C81,Stats!$A:$A,0)),FALSE),ROUND(D81+(E81-D81)*(1+G81)*((3-1)/(MaxLevel-1))^(2^F81),0),D81+(E81-D81)*(1+G81)*((3-1)/(MaxLevel-1))^(2^F81)))</f>
        <v/>
      </c>
      <c r="K81" s="12" t="str">
        <f>IF(OR(D81="",E81=""),"",IF(IFERROR(INDEX(Stats!$D:$D,MATCH($C81,Stats!$A:$A,0)),FALSE),ROUND(D81+(E81-D81)*(1+G81)*((4-1)/(MaxLevel-1))^(2^F81),0),D81+(E81-D81)*(1+G81)*((4-1)/(MaxLevel-1))^(2^F81)))</f>
        <v/>
      </c>
      <c r="L81" s="12" t="str">
        <f>IF(OR(D81="",E81=""),"",IF(IFERROR(INDEX(Stats!$D:$D,MATCH($C81,Stats!$A:$A,0)),FALSE),ROUND(D81+(E81-D81)*(1+G81)*((5-1)/(MaxLevel-1))^(2^F81),0),D81+(E81-D81)*(1+G81)*((5-1)/(MaxLevel-1))^(2^F81)))</f>
        <v/>
      </c>
      <c r="M81" s="12" t="str">
        <f>IF(OR(D81="",E81=""),"",IF(IFERROR(INDEX(Stats!$D:$D,MATCH($C81,Stats!$A:$A,0)),FALSE),ROUND(D81+(E81-D81)*(1+G81)*((6-1)/(MaxLevel-1))^(2^F81),0),D81+(E81-D81)*(1+G81)*((6-1)/(MaxLevel-1))^(2^F81)))</f>
        <v/>
      </c>
      <c r="N81" s="12" t="str">
        <f>IF(OR(D81="",E81=""),"",IF(IFERROR(INDEX(Stats!$D:$D,MATCH($C81,Stats!$A:$A,0)),FALSE),ROUND(D81+(E81-D81)*(1+G81)*((7-1)/(MaxLevel-1))^(2^F81),0),D81+(E81-D81)*(1+G81)*((7-1)/(MaxLevel-1))^(2^F81)))</f>
        <v/>
      </c>
      <c r="O81" s="12" t="str">
        <f>IF(OR(D81="",E81=""),"",IF(IFERROR(INDEX(Stats!$D:$D,MATCH($C81,Stats!$A:$A,0)),FALSE),ROUND(D81+(E81-D81)*(1+G81)*((8-1)/(MaxLevel-1))^(2^F81),0),D81+(E81-D81)*(1+G81)*((8-1)/(MaxLevel-1))^(2^F81)))</f>
        <v/>
      </c>
      <c r="P81" s="12" t="str">
        <f>IF(OR(D81="",E81=""),"",IF(IFERROR(INDEX(Stats!$D:$D,MATCH($C81,Stats!$A:$A,0)),FALSE),ROUND(D81+(E81-D81)*(1+G81)*((9-1)/(MaxLevel-1))^(2^F81),0),D81+(E81-D81)*(1+G81)*((9-1)/(MaxLevel-1))^(2^F81)))</f>
        <v/>
      </c>
      <c r="Q81" s="12" t="str">
        <f>IF(OR(D81="",E81=""),"",IF(IFERROR(INDEX(Stats!$D:$D,MATCH($C81,Stats!$A:$A,0)),FALSE),ROUND(D81+(E81-D81)*(1+G81)*((10-1)/(MaxLevel-1))^(2^F81),0),D81+(E81-D81)*(1+G81)*((10-1)/(MaxLevel-1))^(2^F81)))</f>
        <v/>
      </c>
    </row>
    <row r="82" spans="1:17" x14ac:dyDescent="0.25">
      <c r="A82" s="4" t="s">
        <v>185</v>
      </c>
      <c r="B82" s="19" t="s">
        <v>221</v>
      </c>
      <c r="C82" s="4" t="s">
        <v>32</v>
      </c>
      <c r="D82" s="5"/>
      <c r="E82" s="5"/>
      <c r="F82" s="5"/>
      <c r="G82" s="5"/>
      <c r="H82" s="12" t="str">
        <f>IF(OR(D82="",E82=""),"",IF(IFERROR(INDEX(Stats!$D:$D,MATCH($C82,Stats!$A:$A,0)),FALSE),ROUND(D82+(E82-D82)*(1+G82)*((1-1)/(MaxLevel-1))^(2^F82),0),D82+(E82-D82)*(1+G82)*((1-1)/(MaxLevel-1))^(2^F82)))</f>
        <v/>
      </c>
      <c r="I82" s="12" t="str">
        <f>IF(OR(D82="",E82=""),"",IF(IFERROR(INDEX(Stats!$D:$D,MATCH($C82,Stats!$A:$A,0)),FALSE),ROUND(D82+(E82-D82)*(1+G82)*((2-1)/(MaxLevel-1))^(2^F82),0),D82+(E82-D82)*(1+G82)*((2-1)/(MaxLevel-1))^(2^F82)))</f>
        <v/>
      </c>
      <c r="J82" s="12" t="str">
        <f>IF(OR(D82="",E82=""),"",IF(IFERROR(INDEX(Stats!$D:$D,MATCH($C82,Stats!$A:$A,0)),FALSE),ROUND(D82+(E82-D82)*(1+G82)*((3-1)/(MaxLevel-1))^(2^F82),0),D82+(E82-D82)*(1+G82)*((3-1)/(MaxLevel-1))^(2^F82)))</f>
        <v/>
      </c>
      <c r="K82" s="12" t="str">
        <f>IF(OR(D82="",E82=""),"",IF(IFERROR(INDEX(Stats!$D:$D,MATCH($C82,Stats!$A:$A,0)),FALSE),ROUND(D82+(E82-D82)*(1+G82)*((4-1)/(MaxLevel-1))^(2^F82),0),D82+(E82-D82)*(1+G82)*((4-1)/(MaxLevel-1))^(2^F82)))</f>
        <v/>
      </c>
      <c r="L82" s="12" t="str">
        <f>IF(OR(D82="",E82=""),"",IF(IFERROR(INDEX(Stats!$D:$D,MATCH($C82,Stats!$A:$A,0)),FALSE),ROUND(D82+(E82-D82)*(1+G82)*((5-1)/(MaxLevel-1))^(2^F82),0),D82+(E82-D82)*(1+G82)*((5-1)/(MaxLevel-1))^(2^F82)))</f>
        <v/>
      </c>
      <c r="M82" s="12" t="str">
        <f>IF(OR(D82="",E82=""),"",IF(IFERROR(INDEX(Stats!$D:$D,MATCH($C82,Stats!$A:$A,0)),FALSE),ROUND(D82+(E82-D82)*(1+G82)*((6-1)/(MaxLevel-1))^(2^F82),0),D82+(E82-D82)*(1+G82)*((6-1)/(MaxLevel-1))^(2^F82)))</f>
        <v/>
      </c>
      <c r="N82" s="12" t="str">
        <f>IF(OR(D82="",E82=""),"",IF(IFERROR(INDEX(Stats!$D:$D,MATCH($C82,Stats!$A:$A,0)),FALSE),ROUND(D82+(E82-D82)*(1+G82)*((7-1)/(MaxLevel-1))^(2^F82),0),D82+(E82-D82)*(1+G82)*((7-1)/(MaxLevel-1))^(2^F82)))</f>
        <v/>
      </c>
      <c r="O82" s="12" t="str">
        <f>IF(OR(D82="",E82=""),"",IF(IFERROR(INDEX(Stats!$D:$D,MATCH($C82,Stats!$A:$A,0)),FALSE),ROUND(D82+(E82-D82)*(1+G82)*((8-1)/(MaxLevel-1))^(2^F82),0),D82+(E82-D82)*(1+G82)*((8-1)/(MaxLevel-1))^(2^F82)))</f>
        <v/>
      </c>
      <c r="P82" s="12" t="str">
        <f>IF(OR(D82="",E82=""),"",IF(IFERROR(INDEX(Stats!$D:$D,MATCH($C82,Stats!$A:$A,0)),FALSE),ROUND(D82+(E82-D82)*(1+G82)*((9-1)/(MaxLevel-1))^(2^F82),0),D82+(E82-D82)*(1+G82)*((9-1)/(MaxLevel-1))^(2^F82)))</f>
        <v/>
      </c>
      <c r="Q82" s="12" t="str">
        <f>IF(OR(D82="",E82=""),"",IF(IFERROR(INDEX(Stats!$D:$D,MATCH($C82,Stats!$A:$A,0)),FALSE),ROUND(D82+(E82-D82)*(1+G82)*((10-1)/(MaxLevel-1))^(2^F82),0),D82+(E82-D82)*(1+G82)*((10-1)/(MaxLevel-1))^(2^F82)))</f>
        <v/>
      </c>
    </row>
    <row r="83" spans="1:17" x14ac:dyDescent="0.25">
      <c r="A83" s="4" t="s">
        <v>185</v>
      </c>
      <c r="B83" s="19" t="s">
        <v>221</v>
      </c>
      <c r="C83" s="4" t="s">
        <v>34</v>
      </c>
      <c r="D83" s="5"/>
      <c r="E83" s="5"/>
      <c r="F83" s="5"/>
      <c r="G83" s="5"/>
      <c r="H83" s="12" t="str">
        <f>IF(OR(D83="",E83=""),"",IF(IFERROR(INDEX(Stats!$D:$D,MATCH($C83,Stats!$A:$A,0)),FALSE),ROUND(D83+(E83-D83)*(1+G83)*((1-1)/(MaxLevel-1))^(2^F83),0),D83+(E83-D83)*(1+G83)*((1-1)/(MaxLevel-1))^(2^F83)))</f>
        <v/>
      </c>
      <c r="I83" s="12" t="str">
        <f>IF(OR(D83="",E83=""),"",IF(IFERROR(INDEX(Stats!$D:$D,MATCH($C83,Stats!$A:$A,0)),FALSE),ROUND(D83+(E83-D83)*(1+G83)*((2-1)/(MaxLevel-1))^(2^F83),0),D83+(E83-D83)*(1+G83)*((2-1)/(MaxLevel-1))^(2^F83)))</f>
        <v/>
      </c>
      <c r="J83" s="12" t="str">
        <f>IF(OR(D83="",E83=""),"",IF(IFERROR(INDEX(Stats!$D:$D,MATCH($C83,Stats!$A:$A,0)),FALSE),ROUND(D83+(E83-D83)*(1+G83)*((3-1)/(MaxLevel-1))^(2^F83),0),D83+(E83-D83)*(1+G83)*((3-1)/(MaxLevel-1))^(2^F83)))</f>
        <v/>
      </c>
      <c r="K83" s="12" t="str">
        <f>IF(OR(D83="",E83=""),"",IF(IFERROR(INDEX(Stats!$D:$D,MATCH($C83,Stats!$A:$A,0)),FALSE),ROUND(D83+(E83-D83)*(1+G83)*((4-1)/(MaxLevel-1))^(2^F83),0),D83+(E83-D83)*(1+G83)*((4-1)/(MaxLevel-1))^(2^F83)))</f>
        <v/>
      </c>
      <c r="L83" s="12" t="str">
        <f>IF(OR(D83="",E83=""),"",IF(IFERROR(INDEX(Stats!$D:$D,MATCH($C83,Stats!$A:$A,0)),FALSE),ROUND(D83+(E83-D83)*(1+G83)*((5-1)/(MaxLevel-1))^(2^F83),0),D83+(E83-D83)*(1+G83)*((5-1)/(MaxLevel-1))^(2^F83)))</f>
        <v/>
      </c>
      <c r="M83" s="12" t="str">
        <f>IF(OR(D83="",E83=""),"",IF(IFERROR(INDEX(Stats!$D:$D,MATCH($C83,Stats!$A:$A,0)),FALSE),ROUND(D83+(E83-D83)*(1+G83)*((6-1)/(MaxLevel-1))^(2^F83),0),D83+(E83-D83)*(1+G83)*((6-1)/(MaxLevel-1))^(2^F83)))</f>
        <v/>
      </c>
      <c r="N83" s="12" t="str">
        <f>IF(OR(D83="",E83=""),"",IF(IFERROR(INDEX(Stats!$D:$D,MATCH($C83,Stats!$A:$A,0)),FALSE),ROUND(D83+(E83-D83)*(1+G83)*((7-1)/(MaxLevel-1))^(2^F83),0),D83+(E83-D83)*(1+G83)*((7-1)/(MaxLevel-1))^(2^F83)))</f>
        <v/>
      </c>
      <c r="O83" s="12" t="str">
        <f>IF(OR(D83="",E83=""),"",IF(IFERROR(INDEX(Stats!$D:$D,MATCH($C83,Stats!$A:$A,0)),FALSE),ROUND(D83+(E83-D83)*(1+G83)*((8-1)/(MaxLevel-1))^(2^F83),0),D83+(E83-D83)*(1+G83)*((8-1)/(MaxLevel-1))^(2^F83)))</f>
        <v/>
      </c>
      <c r="P83" s="12" t="str">
        <f>IF(OR(D83="",E83=""),"",IF(IFERROR(INDEX(Stats!$D:$D,MATCH($C83,Stats!$A:$A,0)),FALSE),ROUND(D83+(E83-D83)*(1+G83)*((9-1)/(MaxLevel-1))^(2^F83),0),D83+(E83-D83)*(1+G83)*((9-1)/(MaxLevel-1))^(2^F83)))</f>
        <v/>
      </c>
      <c r="Q83" s="12" t="str">
        <f>IF(OR(D83="",E83=""),"",IF(IFERROR(INDEX(Stats!$D:$D,MATCH($C83,Stats!$A:$A,0)),FALSE),ROUND(D83+(E83-D83)*(1+G83)*((10-1)/(MaxLevel-1))^(2^F83),0),D83+(E83-D83)*(1+G83)*((10-1)/(MaxLevel-1))^(2^F83)))</f>
        <v/>
      </c>
    </row>
    <row r="84" spans="1:17" x14ac:dyDescent="0.25">
      <c r="A84" s="4" t="s">
        <v>185</v>
      </c>
      <c r="B84" s="19" t="s">
        <v>221</v>
      </c>
      <c r="C84" s="4" t="s">
        <v>36</v>
      </c>
      <c r="D84" s="5"/>
      <c r="E84" s="5"/>
      <c r="F84" s="5"/>
      <c r="G84" s="5"/>
      <c r="H84" s="12" t="str">
        <f>IF(OR(D84="",E84=""),"",IF(IFERROR(INDEX(Stats!$D:$D,MATCH($C84,Stats!$A:$A,0)),FALSE),ROUND(D84+(E84-D84)*(1+G84)*((1-1)/(MaxLevel-1))^(2^F84),0),D84+(E84-D84)*(1+G84)*((1-1)/(MaxLevel-1))^(2^F84)))</f>
        <v/>
      </c>
      <c r="I84" s="12" t="str">
        <f>IF(OR(D84="",E84=""),"",IF(IFERROR(INDEX(Stats!$D:$D,MATCH($C84,Stats!$A:$A,0)),FALSE),ROUND(D84+(E84-D84)*(1+G84)*((2-1)/(MaxLevel-1))^(2^F84),0),D84+(E84-D84)*(1+G84)*((2-1)/(MaxLevel-1))^(2^F84)))</f>
        <v/>
      </c>
      <c r="J84" s="12" t="str">
        <f>IF(OR(D84="",E84=""),"",IF(IFERROR(INDEX(Stats!$D:$D,MATCH($C84,Stats!$A:$A,0)),FALSE),ROUND(D84+(E84-D84)*(1+G84)*((3-1)/(MaxLevel-1))^(2^F84),0),D84+(E84-D84)*(1+G84)*((3-1)/(MaxLevel-1))^(2^F84)))</f>
        <v/>
      </c>
      <c r="K84" s="12" t="str">
        <f>IF(OR(D84="",E84=""),"",IF(IFERROR(INDEX(Stats!$D:$D,MATCH($C84,Stats!$A:$A,0)),FALSE),ROUND(D84+(E84-D84)*(1+G84)*((4-1)/(MaxLevel-1))^(2^F84),0),D84+(E84-D84)*(1+G84)*((4-1)/(MaxLevel-1))^(2^F84)))</f>
        <v/>
      </c>
      <c r="L84" s="12" t="str">
        <f>IF(OR(D84="",E84=""),"",IF(IFERROR(INDEX(Stats!$D:$D,MATCH($C84,Stats!$A:$A,0)),FALSE),ROUND(D84+(E84-D84)*(1+G84)*((5-1)/(MaxLevel-1))^(2^F84),0),D84+(E84-D84)*(1+G84)*((5-1)/(MaxLevel-1))^(2^F84)))</f>
        <v/>
      </c>
      <c r="M84" s="12" t="str">
        <f>IF(OR(D84="",E84=""),"",IF(IFERROR(INDEX(Stats!$D:$D,MATCH($C84,Stats!$A:$A,0)),FALSE),ROUND(D84+(E84-D84)*(1+G84)*((6-1)/(MaxLevel-1))^(2^F84),0),D84+(E84-D84)*(1+G84)*((6-1)/(MaxLevel-1))^(2^F84)))</f>
        <v/>
      </c>
      <c r="N84" s="12" t="str">
        <f>IF(OR(D84="",E84=""),"",IF(IFERROR(INDEX(Stats!$D:$D,MATCH($C84,Stats!$A:$A,0)),FALSE),ROUND(D84+(E84-D84)*(1+G84)*((7-1)/(MaxLevel-1))^(2^F84),0),D84+(E84-D84)*(1+G84)*((7-1)/(MaxLevel-1))^(2^F84)))</f>
        <v/>
      </c>
      <c r="O84" s="12" t="str">
        <f>IF(OR(D84="",E84=""),"",IF(IFERROR(INDEX(Stats!$D:$D,MATCH($C84,Stats!$A:$A,0)),FALSE),ROUND(D84+(E84-D84)*(1+G84)*((8-1)/(MaxLevel-1))^(2^F84),0),D84+(E84-D84)*(1+G84)*((8-1)/(MaxLevel-1))^(2^F84)))</f>
        <v/>
      </c>
      <c r="P84" s="12" t="str">
        <f>IF(OR(D84="",E84=""),"",IF(IFERROR(INDEX(Stats!$D:$D,MATCH($C84,Stats!$A:$A,0)),FALSE),ROUND(D84+(E84-D84)*(1+G84)*((9-1)/(MaxLevel-1))^(2^F84),0),D84+(E84-D84)*(1+G84)*((9-1)/(MaxLevel-1))^(2^F84)))</f>
        <v/>
      </c>
      <c r="Q84" s="12" t="str">
        <f>IF(OR(D84="",E84=""),"",IF(IFERROR(INDEX(Stats!$D:$D,MATCH($C84,Stats!$A:$A,0)),FALSE),ROUND(D84+(E84-D84)*(1+G84)*((10-1)/(MaxLevel-1))^(2^F84),0),D84+(E84-D84)*(1+G84)*((10-1)/(MaxLevel-1))^(2^F84)))</f>
        <v/>
      </c>
    </row>
    <row r="85" spans="1:17" x14ac:dyDescent="0.25">
      <c r="A85" s="4" t="s">
        <v>185</v>
      </c>
      <c r="B85" s="19" t="s">
        <v>221</v>
      </c>
      <c r="C85" s="4" t="s">
        <v>38</v>
      </c>
      <c r="D85" s="5">
        <v>1.5</v>
      </c>
      <c r="E85" s="5">
        <v>2</v>
      </c>
      <c r="F85" s="5">
        <v>-1</v>
      </c>
      <c r="G85" s="5">
        <v>0</v>
      </c>
      <c r="H85" s="12">
        <f>IF(OR(D85="",E85=""),"",IF(IFERROR(INDEX(Stats!$D:$D,MATCH($C85,Stats!$A:$A,0)),FALSE),ROUND(D85+(E85-D85)*(1+G85)*((1-1)/(MaxLevel-1))^(2^F85),0),D85+(E85-D85)*(1+G85)*((1-1)/(MaxLevel-1))^(2^F85)))</f>
        <v>1.5</v>
      </c>
      <c r="I85" s="12">
        <f>IF(OR(D85="",E85=""),"",IF(IFERROR(INDEX(Stats!$D:$D,MATCH($C85,Stats!$A:$A,0)),FALSE),ROUND(D85+(E85-D85)*(1+G85)*((2-1)/(MaxLevel-1))^(2^F85),0),D85+(E85-D85)*(1+G85)*((2-1)/(MaxLevel-1))^(2^F85)))</f>
        <v>1.6666666666666667</v>
      </c>
      <c r="J85" s="12">
        <f>IF(OR(D85="",E85=""),"",IF(IFERROR(INDEX(Stats!$D:$D,MATCH($C85,Stats!$A:$A,0)),FALSE),ROUND(D85+(E85-D85)*(1+G85)*((3-1)/(MaxLevel-1))^(2^F85),0),D85+(E85-D85)*(1+G85)*((3-1)/(MaxLevel-1))^(2^F85)))</f>
        <v>1.7357022603955159</v>
      </c>
      <c r="K85" s="12">
        <f>IF(OR(D85="",E85=""),"",IF(IFERROR(INDEX(Stats!$D:$D,MATCH($C85,Stats!$A:$A,0)),FALSE),ROUND(D85+(E85-D85)*(1+G85)*((4-1)/(MaxLevel-1))^(2^F85),0),D85+(E85-D85)*(1+G85)*((4-1)/(MaxLevel-1))^(2^F85)))</f>
        <v>1.7886751345948129</v>
      </c>
      <c r="L85" s="12">
        <f>IF(OR(D85="",E85=""),"",IF(IFERROR(INDEX(Stats!$D:$D,MATCH($C85,Stats!$A:$A,0)),FALSE),ROUND(D85+(E85-D85)*(1+G85)*((5-1)/(MaxLevel-1))^(2^F85),0),D85+(E85-D85)*(1+G85)*((5-1)/(MaxLevel-1))^(2^F85)))</f>
        <v>1.8333333333333333</v>
      </c>
      <c r="M85" s="12">
        <f>IF(OR(D85="",E85=""),"",IF(IFERROR(INDEX(Stats!$D:$D,MATCH($C85,Stats!$A:$A,0)),FALSE),ROUND(D85+(E85-D85)*(1+G85)*((6-1)/(MaxLevel-1))^(2^F85),0),D85+(E85-D85)*(1+G85)*((6-1)/(MaxLevel-1))^(2^F85)))</f>
        <v>1.8726779962499649</v>
      </c>
      <c r="N85" s="12">
        <f>IF(OR(D85="",E85=""),"",IF(IFERROR(INDEX(Stats!$D:$D,MATCH($C85,Stats!$A:$A,0)),FALSE),ROUND(D85+(E85-D85)*(1+G85)*((7-1)/(MaxLevel-1))^(2^F85),0),D85+(E85-D85)*(1+G85)*((7-1)/(MaxLevel-1))^(2^F85)))</f>
        <v>1.9082482904638631</v>
      </c>
      <c r="O85" s="12">
        <f>IF(OR(D85="",E85=""),"",IF(IFERROR(INDEX(Stats!$D:$D,MATCH($C85,Stats!$A:$A,0)),FALSE),ROUND(D85+(E85-D85)*(1+G85)*((8-1)/(MaxLevel-1))^(2^F85),0),D85+(E85-D85)*(1+G85)*((8-1)/(MaxLevel-1))^(2^F85)))</f>
        <v>1.9409585518440984</v>
      </c>
      <c r="P85" s="12">
        <f>IF(OR(D85="",E85=""),"",IF(IFERROR(INDEX(Stats!$D:$D,MATCH($C85,Stats!$A:$A,0)),FALSE),ROUND(D85+(E85-D85)*(1+G85)*((9-1)/(MaxLevel-1))^(2^F85),0),D85+(E85-D85)*(1+G85)*((9-1)/(MaxLevel-1))^(2^F85)))</f>
        <v>1.9714045207910318</v>
      </c>
      <c r="Q85" s="12">
        <f>IF(OR(D85="",E85=""),"",IF(IFERROR(INDEX(Stats!$D:$D,MATCH($C85,Stats!$A:$A,0)),FALSE),ROUND(D85+(E85-D85)*(1+G85)*((10-1)/(MaxLevel-1))^(2^F85),0),D85+(E85-D85)*(1+G85)*((10-1)/(MaxLevel-1))^(2^F85)))</f>
        <v>2</v>
      </c>
    </row>
    <row r="86" spans="1:17" x14ac:dyDescent="0.25">
      <c r="A86" s="4" t="s">
        <v>185</v>
      </c>
      <c r="B86" s="19" t="s">
        <v>221</v>
      </c>
      <c r="C86" s="4" t="s">
        <v>40</v>
      </c>
      <c r="D86" s="5">
        <v>20</v>
      </c>
      <c r="E86" s="5">
        <v>100</v>
      </c>
      <c r="F86" s="5">
        <v>1</v>
      </c>
      <c r="G86" s="5">
        <v>0.1</v>
      </c>
      <c r="H86" s="12">
        <f>IF(OR(D86="",E86=""),"",IF(IFERROR(INDEX(Stats!$D:$D,MATCH($C86,Stats!$A:$A,0)),FALSE),ROUND(D86+(E86-D86)*(1+G86)*((1-1)/(MaxLevel-1))^(2^F86),0),D86+(E86-D86)*(1+G86)*((1-1)/(MaxLevel-1))^(2^F86)))</f>
        <v>20</v>
      </c>
      <c r="I86" s="12">
        <f>IF(OR(D86="",E86=""),"",IF(IFERROR(INDEX(Stats!$D:$D,MATCH($C86,Stats!$A:$A,0)),FALSE),ROUND(D86+(E86-D86)*(1+G86)*((2-1)/(MaxLevel-1))^(2^F86),0),D86+(E86-D86)*(1+G86)*((2-1)/(MaxLevel-1))^(2^F86)))</f>
        <v>21</v>
      </c>
      <c r="J86" s="12">
        <f>IF(OR(D86="",E86=""),"",IF(IFERROR(INDEX(Stats!$D:$D,MATCH($C86,Stats!$A:$A,0)),FALSE),ROUND(D86+(E86-D86)*(1+G86)*((3-1)/(MaxLevel-1))^(2^F86),0),D86+(E86-D86)*(1+G86)*((3-1)/(MaxLevel-1))^(2^F86)))</f>
        <v>24</v>
      </c>
      <c r="K86" s="12">
        <f>IF(OR(D86="",E86=""),"",IF(IFERROR(INDEX(Stats!$D:$D,MATCH($C86,Stats!$A:$A,0)),FALSE),ROUND(D86+(E86-D86)*(1+G86)*((4-1)/(MaxLevel-1))^(2^F86),0),D86+(E86-D86)*(1+G86)*((4-1)/(MaxLevel-1))^(2^F86)))</f>
        <v>30</v>
      </c>
      <c r="L86" s="12">
        <f>IF(OR(D86="",E86=""),"",IF(IFERROR(INDEX(Stats!$D:$D,MATCH($C86,Stats!$A:$A,0)),FALSE),ROUND(D86+(E86-D86)*(1+G86)*((5-1)/(MaxLevel-1))^(2^F86),0),D86+(E86-D86)*(1+G86)*((5-1)/(MaxLevel-1))^(2^F86)))</f>
        <v>37</v>
      </c>
      <c r="M86" s="12">
        <f>IF(OR(D86="",E86=""),"",IF(IFERROR(INDEX(Stats!$D:$D,MATCH($C86,Stats!$A:$A,0)),FALSE),ROUND(D86+(E86-D86)*(1+G86)*((6-1)/(MaxLevel-1))^(2^F86),0),D86+(E86-D86)*(1+G86)*((6-1)/(MaxLevel-1))^(2^F86)))</f>
        <v>47</v>
      </c>
      <c r="N86" s="12">
        <f>IF(OR(D86="",E86=""),"",IF(IFERROR(INDEX(Stats!$D:$D,MATCH($C86,Stats!$A:$A,0)),FALSE),ROUND(D86+(E86-D86)*(1+G86)*((7-1)/(MaxLevel-1))^(2^F86),0),D86+(E86-D86)*(1+G86)*((7-1)/(MaxLevel-1))^(2^F86)))</f>
        <v>59</v>
      </c>
      <c r="O86" s="12">
        <f>IF(OR(D86="",E86=""),"",IF(IFERROR(INDEX(Stats!$D:$D,MATCH($C86,Stats!$A:$A,0)),FALSE),ROUND(D86+(E86-D86)*(1+G86)*((8-1)/(MaxLevel-1))^(2^F86),0),D86+(E86-D86)*(1+G86)*((8-1)/(MaxLevel-1))^(2^F86)))</f>
        <v>73</v>
      </c>
      <c r="P86" s="12">
        <f>IF(OR(D86="",E86=""),"",IF(IFERROR(INDEX(Stats!$D:$D,MATCH($C86,Stats!$A:$A,0)),FALSE),ROUND(D86+(E86-D86)*(1+G86)*((9-1)/(MaxLevel-1))^(2^F86),0),D86+(E86-D86)*(1+G86)*((9-1)/(MaxLevel-1))^(2^F86)))</f>
        <v>90</v>
      </c>
      <c r="Q86" s="12">
        <f>IF(OR(D86="",E86=""),"",IF(IFERROR(INDEX(Stats!$D:$D,MATCH($C86,Stats!$A:$A,0)),FALSE),ROUND(D86+(E86-D86)*(1+G86)*((10-1)/(MaxLevel-1))^(2^F86),0),D86+(E86-D86)*(1+G86)*((10-1)/(MaxLevel-1))^(2^F86)))</f>
        <v>108</v>
      </c>
    </row>
    <row r="87" spans="1:17" x14ac:dyDescent="0.25">
      <c r="A87" s="4" t="s">
        <v>185</v>
      </c>
      <c r="B87" s="19" t="s">
        <v>221</v>
      </c>
      <c r="C87" s="4" t="s">
        <v>42</v>
      </c>
      <c r="D87" s="5"/>
      <c r="E87" s="5"/>
      <c r="F87" s="5"/>
      <c r="G87" s="5"/>
      <c r="H87" s="12" t="str">
        <f>IF(OR(D87="",E87=""),"",IF(IFERROR(INDEX(Stats!$D:$D,MATCH($C87,Stats!$A:$A,0)),FALSE),ROUND(D87+(E87-D87)*(1+G87)*((1-1)/(MaxLevel-1))^(2^F87),0),D87+(E87-D87)*(1+G87)*((1-1)/(MaxLevel-1))^(2^F87)))</f>
        <v/>
      </c>
      <c r="I87" s="12" t="str">
        <f>IF(OR(D87="",E87=""),"",IF(IFERROR(INDEX(Stats!$D:$D,MATCH($C87,Stats!$A:$A,0)),FALSE),ROUND(D87+(E87-D87)*(1+G87)*((2-1)/(MaxLevel-1))^(2^F87),0),D87+(E87-D87)*(1+G87)*((2-1)/(MaxLevel-1))^(2^F87)))</f>
        <v/>
      </c>
      <c r="J87" s="12" t="str">
        <f>IF(OR(D87="",E87=""),"",IF(IFERROR(INDEX(Stats!$D:$D,MATCH($C87,Stats!$A:$A,0)),FALSE),ROUND(D87+(E87-D87)*(1+G87)*((3-1)/(MaxLevel-1))^(2^F87),0),D87+(E87-D87)*(1+G87)*((3-1)/(MaxLevel-1))^(2^F87)))</f>
        <v/>
      </c>
      <c r="K87" s="12" t="str">
        <f>IF(OR(D87="",E87=""),"",IF(IFERROR(INDEX(Stats!$D:$D,MATCH($C87,Stats!$A:$A,0)),FALSE),ROUND(D87+(E87-D87)*(1+G87)*((4-1)/(MaxLevel-1))^(2^F87),0),D87+(E87-D87)*(1+G87)*((4-1)/(MaxLevel-1))^(2^F87)))</f>
        <v/>
      </c>
      <c r="L87" s="12" t="str">
        <f>IF(OR(D87="",E87=""),"",IF(IFERROR(INDEX(Stats!$D:$D,MATCH($C87,Stats!$A:$A,0)),FALSE),ROUND(D87+(E87-D87)*(1+G87)*((5-1)/(MaxLevel-1))^(2^F87),0),D87+(E87-D87)*(1+G87)*((5-1)/(MaxLevel-1))^(2^F87)))</f>
        <v/>
      </c>
      <c r="M87" s="12" t="str">
        <f>IF(OR(D87="",E87=""),"",IF(IFERROR(INDEX(Stats!$D:$D,MATCH($C87,Stats!$A:$A,0)),FALSE),ROUND(D87+(E87-D87)*(1+G87)*((6-1)/(MaxLevel-1))^(2^F87),0),D87+(E87-D87)*(1+G87)*((6-1)/(MaxLevel-1))^(2^F87)))</f>
        <v/>
      </c>
      <c r="N87" s="12" t="str">
        <f>IF(OR(D87="",E87=""),"",IF(IFERROR(INDEX(Stats!$D:$D,MATCH($C87,Stats!$A:$A,0)),FALSE),ROUND(D87+(E87-D87)*(1+G87)*((7-1)/(MaxLevel-1))^(2^F87),0),D87+(E87-D87)*(1+G87)*((7-1)/(MaxLevel-1))^(2^F87)))</f>
        <v/>
      </c>
      <c r="O87" s="12" t="str">
        <f>IF(OR(D87="",E87=""),"",IF(IFERROR(INDEX(Stats!$D:$D,MATCH($C87,Stats!$A:$A,0)),FALSE),ROUND(D87+(E87-D87)*(1+G87)*((8-1)/(MaxLevel-1))^(2^F87),0),D87+(E87-D87)*(1+G87)*((8-1)/(MaxLevel-1))^(2^F87)))</f>
        <v/>
      </c>
      <c r="P87" s="12" t="str">
        <f>IF(OR(D87="",E87=""),"",IF(IFERROR(INDEX(Stats!$D:$D,MATCH($C87,Stats!$A:$A,0)),FALSE),ROUND(D87+(E87-D87)*(1+G87)*((9-1)/(MaxLevel-1))^(2^F87),0),D87+(E87-D87)*(1+G87)*((9-1)/(MaxLevel-1))^(2^F87)))</f>
        <v/>
      </c>
      <c r="Q87" s="12" t="str">
        <f>IF(OR(D87="",E87=""),"",IF(IFERROR(INDEX(Stats!$D:$D,MATCH($C87,Stats!$A:$A,0)),FALSE),ROUND(D87+(E87-D87)*(1+G87)*((10-1)/(MaxLevel-1))^(2^F87),0),D87+(E87-D87)*(1+G87)*((10-1)/(MaxLevel-1))^(2^F87)))</f>
        <v/>
      </c>
    </row>
    <row r="88" spans="1:17" x14ac:dyDescent="0.25">
      <c r="A88" s="4" t="s">
        <v>185</v>
      </c>
      <c r="B88" s="19" t="s">
        <v>221</v>
      </c>
      <c r="C88" s="4" t="s">
        <v>44</v>
      </c>
      <c r="D88" s="5"/>
      <c r="E88" s="5"/>
      <c r="F88" s="5"/>
      <c r="G88" s="5"/>
      <c r="H88" s="12" t="str">
        <f>IF(OR(D88="",E88=""),"",IF(IFERROR(INDEX(Stats!$D:$D,MATCH($C88,Stats!$A:$A,0)),FALSE),ROUND(D88+(E88-D88)*(1+G88)*((1-1)/(MaxLevel-1))^(2^F88),0),D88+(E88-D88)*(1+G88)*((1-1)/(MaxLevel-1))^(2^F88)))</f>
        <v/>
      </c>
      <c r="I88" s="12" t="str">
        <f>IF(OR(D88="",E88=""),"",IF(IFERROR(INDEX(Stats!$D:$D,MATCH($C88,Stats!$A:$A,0)),FALSE),ROUND(D88+(E88-D88)*(1+G88)*((2-1)/(MaxLevel-1))^(2^F88),0),D88+(E88-D88)*(1+G88)*((2-1)/(MaxLevel-1))^(2^F88)))</f>
        <v/>
      </c>
      <c r="J88" s="12" t="str">
        <f>IF(OR(D88="",E88=""),"",IF(IFERROR(INDEX(Stats!$D:$D,MATCH($C88,Stats!$A:$A,0)),FALSE),ROUND(D88+(E88-D88)*(1+G88)*((3-1)/(MaxLevel-1))^(2^F88),0),D88+(E88-D88)*(1+G88)*((3-1)/(MaxLevel-1))^(2^F88)))</f>
        <v/>
      </c>
      <c r="K88" s="12" t="str">
        <f>IF(OR(D88="",E88=""),"",IF(IFERROR(INDEX(Stats!$D:$D,MATCH($C88,Stats!$A:$A,0)),FALSE),ROUND(D88+(E88-D88)*(1+G88)*((4-1)/(MaxLevel-1))^(2^F88),0),D88+(E88-D88)*(1+G88)*((4-1)/(MaxLevel-1))^(2^F88)))</f>
        <v/>
      </c>
      <c r="L88" s="12" t="str">
        <f>IF(OR(D88="",E88=""),"",IF(IFERROR(INDEX(Stats!$D:$D,MATCH($C88,Stats!$A:$A,0)),FALSE),ROUND(D88+(E88-D88)*(1+G88)*((5-1)/(MaxLevel-1))^(2^F88),0),D88+(E88-D88)*(1+G88)*((5-1)/(MaxLevel-1))^(2^F88)))</f>
        <v/>
      </c>
      <c r="M88" s="12" t="str">
        <f>IF(OR(D88="",E88=""),"",IF(IFERROR(INDEX(Stats!$D:$D,MATCH($C88,Stats!$A:$A,0)),FALSE),ROUND(D88+(E88-D88)*(1+G88)*((6-1)/(MaxLevel-1))^(2^F88),0),D88+(E88-D88)*(1+G88)*((6-1)/(MaxLevel-1))^(2^F88)))</f>
        <v/>
      </c>
      <c r="N88" s="12" t="str">
        <f>IF(OR(D88="",E88=""),"",IF(IFERROR(INDEX(Stats!$D:$D,MATCH($C88,Stats!$A:$A,0)),FALSE),ROUND(D88+(E88-D88)*(1+G88)*((7-1)/(MaxLevel-1))^(2^F88),0),D88+(E88-D88)*(1+G88)*((7-1)/(MaxLevel-1))^(2^F88)))</f>
        <v/>
      </c>
      <c r="O88" s="12" t="str">
        <f>IF(OR(D88="",E88=""),"",IF(IFERROR(INDEX(Stats!$D:$D,MATCH($C88,Stats!$A:$A,0)),FALSE),ROUND(D88+(E88-D88)*(1+G88)*((8-1)/(MaxLevel-1))^(2^F88),0),D88+(E88-D88)*(1+G88)*((8-1)/(MaxLevel-1))^(2^F88)))</f>
        <v/>
      </c>
      <c r="P88" s="12" t="str">
        <f>IF(OR(D88="",E88=""),"",IF(IFERROR(INDEX(Stats!$D:$D,MATCH($C88,Stats!$A:$A,0)),FALSE),ROUND(D88+(E88-D88)*(1+G88)*((9-1)/(MaxLevel-1))^(2^F88),0),D88+(E88-D88)*(1+G88)*((9-1)/(MaxLevel-1))^(2^F88)))</f>
        <v/>
      </c>
      <c r="Q88" s="12" t="str">
        <f>IF(OR(D88="",E88=""),"",IF(IFERROR(INDEX(Stats!$D:$D,MATCH($C88,Stats!$A:$A,0)),FALSE),ROUND(D88+(E88-D88)*(1+G88)*((10-1)/(MaxLevel-1))^(2^F88),0),D88+(E88-D88)*(1+G88)*((10-1)/(MaxLevel-1))^(2^F88)))</f>
        <v/>
      </c>
    </row>
    <row r="89" spans="1:17" x14ac:dyDescent="0.25">
      <c r="A89" s="4" t="s">
        <v>185</v>
      </c>
      <c r="B89" s="19" t="s">
        <v>221</v>
      </c>
      <c r="C89" s="4" t="s">
        <v>46</v>
      </c>
      <c r="D89" s="5"/>
      <c r="E89" s="5"/>
      <c r="F89" s="5"/>
      <c r="G89" s="5"/>
      <c r="H89" s="12" t="str">
        <f>IF(OR(D89="",E89=""),"",IF(IFERROR(INDEX(Stats!$D:$D,MATCH($C89,Stats!$A:$A,0)),FALSE),ROUND(D89+(E89-D89)*(1+G89)*((1-1)/(MaxLevel-1))^(2^F89),0),D89+(E89-D89)*(1+G89)*((1-1)/(MaxLevel-1))^(2^F89)))</f>
        <v/>
      </c>
      <c r="I89" s="12" t="str">
        <f>IF(OR(D89="",E89=""),"",IF(IFERROR(INDEX(Stats!$D:$D,MATCH($C89,Stats!$A:$A,0)),FALSE),ROUND(D89+(E89-D89)*(1+G89)*((2-1)/(MaxLevel-1))^(2^F89),0),D89+(E89-D89)*(1+G89)*((2-1)/(MaxLevel-1))^(2^F89)))</f>
        <v/>
      </c>
      <c r="J89" s="12" t="str">
        <f>IF(OR(D89="",E89=""),"",IF(IFERROR(INDEX(Stats!$D:$D,MATCH($C89,Stats!$A:$A,0)),FALSE),ROUND(D89+(E89-D89)*(1+G89)*((3-1)/(MaxLevel-1))^(2^F89),0),D89+(E89-D89)*(1+G89)*((3-1)/(MaxLevel-1))^(2^F89)))</f>
        <v/>
      </c>
      <c r="K89" s="12" t="str">
        <f>IF(OR(D89="",E89=""),"",IF(IFERROR(INDEX(Stats!$D:$D,MATCH($C89,Stats!$A:$A,0)),FALSE),ROUND(D89+(E89-D89)*(1+G89)*((4-1)/(MaxLevel-1))^(2^F89),0),D89+(E89-D89)*(1+G89)*((4-1)/(MaxLevel-1))^(2^F89)))</f>
        <v/>
      </c>
      <c r="L89" s="12" t="str">
        <f>IF(OR(D89="",E89=""),"",IF(IFERROR(INDEX(Stats!$D:$D,MATCH($C89,Stats!$A:$A,0)),FALSE),ROUND(D89+(E89-D89)*(1+G89)*((5-1)/(MaxLevel-1))^(2^F89),0),D89+(E89-D89)*(1+G89)*((5-1)/(MaxLevel-1))^(2^F89)))</f>
        <v/>
      </c>
      <c r="M89" s="12" t="str">
        <f>IF(OR(D89="",E89=""),"",IF(IFERROR(INDEX(Stats!$D:$D,MATCH($C89,Stats!$A:$A,0)),FALSE),ROUND(D89+(E89-D89)*(1+G89)*((6-1)/(MaxLevel-1))^(2^F89),0),D89+(E89-D89)*(1+G89)*((6-1)/(MaxLevel-1))^(2^F89)))</f>
        <v/>
      </c>
      <c r="N89" s="12" t="str">
        <f>IF(OR(D89="",E89=""),"",IF(IFERROR(INDEX(Stats!$D:$D,MATCH($C89,Stats!$A:$A,0)),FALSE),ROUND(D89+(E89-D89)*(1+G89)*((7-1)/(MaxLevel-1))^(2^F89),0),D89+(E89-D89)*(1+G89)*((7-1)/(MaxLevel-1))^(2^F89)))</f>
        <v/>
      </c>
      <c r="O89" s="12" t="str">
        <f>IF(OR(D89="",E89=""),"",IF(IFERROR(INDEX(Stats!$D:$D,MATCH($C89,Stats!$A:$A,0)),FALSE),ROUND(D89+(E89-D89)*(1+G89)*((8-1)/(MaxLevel-1))^(2^F89),0),D89+(E89-D89)*(1+G89)*((8-1)/(MaxLevel-1))^(2^F89)))</f>
        <v/>
      </c>
      <c r="P89" s="12" t="str">
        <f>IF(OR(D89="",E89=""),"",IF(IFERROR(INDEX(Stats!$D:$D,MATCH($C89,Stats!$A:$A,0)),FALSE),ROUND(D89+(E89-D89)*(1+G89)*((9-1)/(MaxLevel-1))^(2^F89),0),D89+(E89-D89)*(1+G89)*((9-1)/(MaxLevel-1))^(2^F89)))</f>
        <v/>
      </c>
      <c r="Q89" s="12" t="str">
        <f>IF(OR(D89="",E89=""),"",IF(IFERROR(INDEX(Stats!$D:$D,MATCH($C89,Stats!$A:$A,0)),FALSE),ROUND(D89+(E89-D89)*(1+G89)*((10-1)/(MaxLevel-1))^(2^F89),0),D89+(E89-D89)*(1+G89)*((10-1)/(MaxLevel-1))^(2^F89)))</f>
        <v/>
      </c>
    </row>
    <row r="90" spans="1:17" x14ac:dyDescent="0.25">
      <c r="A90" s="4" t="s">
        <v>185</v>
      </c>
      <c r="B90" s="19" t="s">
        <v>221</v>
      </c>
      <c r="C90" s="4" t="s">
        <v>48</v>
      </c>
      <c r="D90" s="5"/>
      <c r="E90" s="5"/>
      <c r="F90" s="5"/>
      <c r="G90" s="5"/>
      <c r="H90" s="12" t="str">
        <f>IF(OR(D90="",E90=""),"",IF(IFERROR(INDEX(Stats!$D:$D,MATCH($C90,Stats!$A:$A,0)),FALSE),ROUND(D90+(E90-D90)*(1+G90)*((1-1)/(MaxLevel-1))^(2^F90),0),D90+(E90-D90)*(1+G90)*((1-1)/(MaxLevel-1))^(2^F90)))</f>
        <v/>
      </c>
      <c r="I90" s="12" t="str">
        <f>IF(OR(D90="",E90=""),"",IF(IFERROR(INDEX(Stats!$D:$D,MATCH($C90,Stats!$A:$A,0)),FALSE),ROUND(D90+(E90-D90)*(1+G90)*((2-1)/(MaxLevel-1))^(2^F90),0),D90+(E90-D90)*(1+G90)*((2-1)/(MaxLevel-1))^(2^F90)))</f>
        <v/>
      </c>
      <c r="J90" s="12" t="str">
        <f>IF(OR(D90="",E90=""),"",IF(IFERROR(INDEX(Stats!$D:$D,MATCH($C90,Stats!$A:$A,0)),FALSE),ROUND(D90+(E90-D90)*(1+G90)*((3-1)/(MaxLevel-1))^(2^F90),0),D90+(E90-D90)*(1+G90)*((3-1)/(MaxLevel-1))^(2^F90)))</f>
        <v/>
      </c>
      <c r="K90" s="12" t="str">
        <f>IF(OR(D90="",E90=""),"",IF(IFERROR(INDEX(Stats!$D:$D,MATCH($C90,Stats!$A:$A,0)),FALSE),ROUND(D90+(E90-D90)*(1+G90)*((4-1)/(MaxLevel-1))^(2^F90),0),D90+(E90-D90)*(1+G90)*((4-1)/(MaxLevel-1))^(2^F90)))</f>
        <v/>
      </c>
      <c r="L90" s="12" t="str">
        <f>IF(OR(D90="",E90=""),"",IF(IFERROR(INDEX(Stats!$D:$D,MATCH($C90,Stats!$A:$A,0)),FALSE),ROUND(D90+(E90-D90)*(1+G90)*((5-1)/(MaxLevel-1))^(2^F90),0),D90+(E90-D90)*(1+G90)*((5-1)/(MaxLevel-1))^(2^F90)))</f>
        <v/>
      </c>
      <c r="M90" s="12" t="str">
        <f>IF(OR(D90="",E90=""),"",IF(IFERROR(INDEX(Stats!$D:$D,MATCH($C90,Stats!$A:$A,0)),FALSE),ROUND(D90+(E90-D90)*(1+G90)*((6-1)/(MaxLevel-1))^(2^F90),0),D90+(E90-D90)*(1+G90)*((6-1)/(MaxLevel-1))^(2^F90)))</f>
        <v/>
      </c>
      <c r="N90" s="12" t="str">
        <f>IF(OR(D90="",E90=""),"",IF(IFERROR(INDEX(Stats!$D:$D,MATCH($C90,Stats!$A:$A,0)),FALSE),ROUND(D90+(E90-D90)*(1+G90)*((7-1)/(MaxLevel-1))^(2^F90),0),D90+(E90-D90)*(1+G90)*((7-1)/(MaxLevel-1))^(2^F90)))</f>
        <v/>
      </c>
      <c r="O90" s="12" t="str">
        <f>IF(OR(D90="",E90=""),"",IF(IFERROR(INDEX(Stats!$D:$D,MATCH($C90,Stats!$A:$A,0)),FALSE),ROUND(D90+(E90-D90)*(1+G90)*((8-1)/(MaxLevel-1))^(2^F90),0),D90+(E90-D90)*(1+G90)*((8-1)/(MaxLevel-1))^(2^F90)))</f>
        <v/>
      </c>
      <c r="P90" s="12" t="str">
        <f>IF(OR(D90="",E90=""),"",IF(IFERROR(INDEX(Stats!$D:$D,MATCH($C90,Stats!$A:$A,0)),FALSE),ROUND(D90+(E90-D90)*(1+G90)*((9-1)/(MaxLevel-1))^(2^F90),0),D90+(E90-D90)*(1+G90)*((9-1)/(MaxLevel-1))^(2^F90)))</f>
        <v/>
      </c>
      <c r="Q90" s="12" t="str">
        <f>IF(OR(D90="",E90=""),"",IF(IFERROR(INDEX(Stats!$D:$D,MATCH($C90,Stats!$A:$A,0)),FALSE),ROUND(D90+(E90-D90)*(1+G90)*((10-1)/(MaxLevel-1))^(2^F90),0),D90+(E90-D90)*(1+G90)*((10-1)/(MaxLevel-1))^(2^F90)))</f>
        <v/>
      </c>
    </row>
    <row r="91" spans="1:17" x14ac:dyDescent="0.25">
      <c r="A91" s="4" t="s">
        <v>185</v>
      </c>
      <c r="B91" s="19" t="s">
        <v>221</v>
      </c>
      <c r="C91" s="4" t="s">
        <v>50</v>
      </c>
      <c r="D91" s="5"/>
      <c r="E91" s="5"/>
      <c r="F91" s="5"/>
      <c r="G91" s="5"/>
      <c r="H91" s="12" t="str">
        <f>IF(OR(D91="",E91=""),"",IF(IFERROR(INDEX(Stats!$D:$D,MATCH($C91,Stats!$A:$A,0)),FALSE),ROUND(D91+(E91-D91)*(1+G91)*((1-1)/(MaxLevel-1))^(2^F91),0),D91+(E91-D91)*(1+G91)*((1-1)/(MaxLevel-1))^(2^F91)))</f>
        <v/>
      </c>
      <c r="I91" s="12" t="str">
        <f>IF(OR(D91="",E91=""),"",IF(IFERROR(INDEX(Stats!$D:$D,MATCH($C91,Stats!$A:$A,0)),FALSE),ROUND(D91+(E91-D91)*(1+G91)*((2-1)/(MaxLevel-1))^(2^F91),0),D91+(E91-D91)*(1+G91)*((2-1)/(MaxLevel-1))^(2^F91)))</f>
        <v/>
      </c>
      <c r="J91" s="12" t="str">
        <f>IF(OR(D91="",E91=""),"",IF(IFERROR(INDEX(Stats!$D:$D,MATCH($C91,Stats!$A:$A,0)),FALSE),ROUND(D91+(E91-D91)*(1+G91)*((3-1)/(MaxLevel-1))^(2^F91),0),D91+(E91-D91)*(1+G91)*((3-1)/(MaxLevel-1))^(2^F91)))</f>
        <v/>
      </c>
      <c r="K91" s="12" t="str">
        <f>IF(OR(D91="",E91=""),"",IF(IFERROR(INDEX(Stats!$D:$D,MATCH($C91,Stats!$A:$A,0)),FALSE),ROUND(D91+(E91-D91)*(1+G91)*((4-1)/(MaxLevel-1))^(2^F91),0),D91+(E91-D91)*(1+G91)*((4-1)/(MaxLevel-1))^(2^F91)))</f>
        <v/>
      </c>
      <c r="L91" s="12" t="str">
        <f>IF(OR(D91="",E91=""),"",IF(IFERROR(INDEX(Stats!$D:$D,MATCH($C91,Stats!$A:$A,0)),FALSE),ROUND(D91+(E91-D91)*(1+G91)*((5-1)/(MaxLevel-1))^(2^F91),0),D91+(E91-D91)*(1+G91)*((5-1)/(MaxLevel-1))^(2^F91)))</f>
        <v/>
      </c>
      <c r="M91" s="12" t="str">
        <f>IF(OR(D91="",E91=""),"",IF(IFERROR(INDEX(Stats!$D:$D,MATCH($C91,Stats!$A:$A,0)),FALSE),ROUND(D91+(E91-D91)*(1+G91)*((6-1)/(MaxLevel-1))^(2^F91),0),D91+(E91-D91)*(1+G91)*((6-1)/(MaxLevel-1))^(2^F91)))</f>
        <v/>
      </c>
      <c r="N91" s="12" t="str">
        <f>IF(OR(D91="",E91=""),"",IF(IFERROR(INDEX(Stats!$D:$D,MATCH($C91,Stats!$A:$A,0)),FALSE),ROUND(D91+(E91-D91)*(1+G91)*((7-1)/(MaxLevel-1))^(2^F91),0),D91+(E91-D91)*(1+G91)*((7-1)/(MaxLevel-1))^(2^F91)))</f>
        <v/>
      </c>
      <c r="O91" s="12" t="str">
        <f>IF(OR(D91="",E91=""),"",IF(IFERROR(INDEX(Stats!$D:$D,MATCH($C91,Stats!$A:$A,0)),FALSE),ROUND(D91+(E91-D91)*(1+G91)*((8-1)/(MaxLevel-1))^(2^F91),0),D91+(E91-D91)*(1+G91)*((8-1)/(MaxLevel-1))^(2^F91)))</f>
        <v/>
      </c>
      <c r="P91" s="12" t="str">
        <f>IF(OR(D91="",E91=""),"",IF(IFERROR(INDEX(Stats!$D:$D,MATCH($C91,Stats!$A:$A,0)),FALSE),ROUND(D91+(E91-D91)*(1+G91)*((9-1)/(MaxLevel-1))^(2^F91),0),D91+(E91-D91)*(1+G91)*((9-1)/(MaxLevel-1))^(2^F91)))</f>
        <v/>
      </c>
      <c r="Q91" s="12" t="str">
        <f>IF(OR(D91="",E91=""),"",IF(IFERROR(INDEX(Stats!$D:$D,MATCH($C91,Stats!$A:$A,0)),FALSE),ROUND(D91+(E91-D91)*(1+G91)*((10-1)/(MaxLevel-1))^(2^F91),0),D91+(E91-D91)*(1+G91)*((10-1)/(MaxLevel-1))^(2^F91)))</f>
        <v/>
      </c>
    </row>
    <row r="92" spans="1:17" x14ac:dyDescent="0.25">
      <c r="A92" s="4" t="s">
        <v>185</v>
      </c>
      <c r="B92" s="19" t="s">
        <v>221</v>
      </c>
      <c r="C92" s="4" t="s">
        <v>52</v>
      </c>
      <c r="D92" s="5"/>
      <c r="E92" s="5"/>
      <c r="F92" s="5"/>
      <c r="G92" s="5"/>
      <c r="H92" s="12" t="str">
        <f>IF(OR(D92="",E92=""),"",IF(IFERROR(INDEX(Stats!$D:$D,MATCH($C92,Stats!$A:$A,0)),FALSE),ROUND(D92+(E92-D92)*(1+G92)*((1-1)/(MaxLevel-1))^(2^F92),0),D92+(E92-D92)*(1+G92)*((1-1)/(MaxLevel-1))^(2^F92)))</f>
        <v/>
      </c>
      <c r="I92" s="12" t="str">
        <f>IF(OR(D92="",E92=""),"",IF(IFERROR(INDEX(Stats!$D:$D,MATCH($C92,Stats!$A:$A,0)),FALSE),ROUND(D92+(E92-D92)*(1+G92)*((2-1)/(MaxLevel-1))^(2^F92),0),D92+(E92-D92)*(1+G92)*((2-1)/(MaxLevel-1))^(2^F92)))</f>
        <v/>
      </c>
      <c r="J92" s="12" t="str">
        <f>IF(OR(D92="",E92=""),"",IF(IFERROR(INDEX(Stats!$D:$D,MATCH($C92,Stats!$A:$A,0)),FALSE),ROUND(D92+(E92-D92)*(1+G92)*((3-1)/(MaxLevel-1))^(2^F92),0),D92+(E92-D92)*(1+G92)*((3-1)/(MaxLevel-1))^(2^F92)))</f>
        <v/>
      </c>
      <c r="K92" s="12" t="str">
        <f>IF(OR(D92="",E92=""),"",IF(IFERROR(INDEX(Stats!$D:$D,MATCH($C92,Stats!$A:$A,0)),FALSE),ROUND(D92+(E92-D92)*(1+G92)*((4-1)/(MaxLevel-1))^(2^F92),0),D92+(E92-D92)*(1+G92)*((4-1)/(MaxLevel-1))^(2^F92)))</f>
        <v/>
      </c>
      <c r="L92" s="12" t="str">
        <f>IF(OR(D92="",E92=""),"",IF(IFERROR(INDEX(Stats!$D:$D,MATCH($C92,Stats!$A:$A,0)),FALSE),ROUND(D92+(E92-D92)*(1+G92)*((5-1)/(MaxLevel-1))^(2^F92),0),D92+(E92-D92)*(1+G92)*((5-1)/(MaxLevel-1))^(2^F92)))</f>
        <v/>
      </c>
      <c r="M92" s="12" t="str">
        <f>IF(OR(D92="",E92=""),"",IF(IFERROR(INDEX(Stats!$D:$D,MATCH($C92,Stats!$A:$A,0)),FALSE),ROUND(D92+(E92-D92)*(1+G92)*((6-1)/(MaxLevel-1))^(2^F92),0),D92+(E92-D92)*(1+G92)*((6-1)/(MaxLevel-1))^(2^F92)))</f>
        <v/>
      </c>
      <c r="N92" s="12" t="str">
        <f>IF(OR(D92="",E92=""),"",IF(IFERROR(INDEX(Stats!$D:$D,MATCH($C92,Stats!$A:$A,0)),FALSE),ROUND(D92+(E92-D92)*(1+G92)*((7-1)/(MaxLevel-1))^(2^F92),0),D92+(E92-D92)*(1+G92)*((7-1)/(MaxLevel-1))^(2^F92)))</f>
        <v/>
      </c>
      <c r="O92" s="12" t="str">
        <f>IF(OR(D92="",E92=""),"",IF(IFERROR(INDEX(Stats!$D:$D,MATCH($C92,Stats!$A:$A,0)),FALSE),ROUND(D92+(E92-D92)*(1+G92)*((8-1)/(MaxLevel-1))^(2^F92),0),D92+(E92-D92)*(1+G92)*((8-1)/(MaxLevel-1))^(2^F92)))</f>
        <v/>
      </c>
      <c r="P92" s="12" t="str">
        <f>IF(OR(D92="",E92=""),"",IF(IFERROR(INDEX(Stats!$D:$D,MATCH($C92,Stats!$A:$A,0)),FALSE),ROUND(D92+(E92-D92)*(1+G92)*((9-1)/(MaxLevel-1))^(2^F92),0),D92+(E92-D92)*(1+G92)*((9-1)/(MaxLevel-1))^(2^F92)))</f>
        <v/>
      </c>
      <c r="Q92" s="12" t="str">
        <f>IF(OR(D92="",E92=""),"",IF(IFERROR(INDEX(Stats!$D:$D,MATCH($C92,Stats!$A:$A,0)),FALSE),ROUND(D92+(E92-D92)*(1+G92)*((10-1)/(MaxLevel-1))^(2^F92),0),D92+(E92-D92)*(1+G92)*((10-1)/(MaxLevel-1))^(2^F92)))</f>
        <v/>
      </c>
    </row>
    <row r="93" spans="1:17" x14ac:dyDescent="0.25">
      <c r="A93" s="4" t="s">
        <v>185</v>
      </c>
      <c r="B93" s="19" t="s">
        <v>221</v>
      </c>
      <c r="C93" s="4" t="s">
        <v>54</v>
      </c>
      <c r="D93" s="5"/>
      <c r="E93" s="5"/>
      <c r="F93" s="5"/>
      <c r="G93" s="5"/>
      <c r="H93" s="12" t="str">
        <f>IF(OR(D93="",E93=""),"",IF(IFERROR(INDEX(Stats!$D:$D,MATCH($C93,Stats!$A:$A,0)),FALSE),ROUND(D93+(E93-D93)*(1+G93)*((1-1)/(MaxLevel-1))^(2^F93),0),D93+(E93-D93)*(1+G93)*((1-1)/(MaxLevel-1))^(2^F93)))</f>
        <v/>
      </c>
      <c r="I93" s="12" t="str">
        <f>IF(OR(D93="",E93=""),"",IF(IFERROR(INDEX(Stats!$D:$D,MATCH($C93,Stats!$A:$A,0)),FALSE),ROUND(D93+(E93-D93)*(1+G93)*((2-1)/(MaxLevel-1))^(2^F93),0),D93+(E93-D93)*(1+G93)*((2-1)/(MaxLevel-1))^(2^F93)))</f>
        <v/>
      </c>
      <c r="J93" s="12" t="str">
        <f>IF(OR(D93="",E93=""),"",IF(IFERROR(INDEX(Stats!$D:$D,MATCH($C93,Stats!$A:$A,0)),FALSE),ROUND(D93+(E93-D93)*(1+G93)*((3-1)/(MaxLevel-1))^(2^F93),0),D93+(E93-D93)*(1+G93)*((3-1)/(MaxLevel-1))^(2^F93)))</f>
        <v/>
      </c>
      <c r="K93" s="12" t="str">
        <f>IF(OR(D93="",E93=""),"",IF(IFERROR(INDEX(Stats!$D:$D,MATCH($C93,Stats!$A:$A,0)),FALSE),ROUND(D93+(E93-D93)*(1+G93)*((4-1)/(MaxLevel-1))^(2^F93),0),D93+(E93-D93)*(1+G93)*((4-1)/(MaxLevel-1))^(2^F93)))</f>
        <v/>
      </c>
      <c r="L93" s="12" t="str">
        <f>IF(OR(D93="",E93=""),"",IF(IFERROR(INDEX(Stats!$D:$D,MATCH($C93,Stats!$A:$A,0)),FALSE),ROUND(D93+(E93-D93)*(1+G93)*((5-1)/(MaxLevel-1))^(2^F93),0),D93+(E93-D93)*(1+G93)*((5-1)/(MaxLevel-1))^(2^F93)))</f>
        <v/>
      </c>
      <c r="M93" s="12" t="str">
        <f>IF(OR(D93="",E93=""),"",IF(IFERROR(INDEX(Stats!$D:$D,MATCH($C93,Stats!$A:$A,0)),FALSE),ROUND(D93+(E93-D93)*(1+G93)*((6-1)/(MaxLevel-1))^(2^F93),0),D93+(E93-D93)*(1+G93)*((6-1)/(MaxLevel-1))^(2^F93)))</f>
        <v/>
      </c>
      <c r="N93" s="12" t="str">
        <f>IF(OR(D93="",E93=""),"",IF(IFERROR(INDEX(Stats!$D:$D,MATCH($C93,Stats!$A:$A,0)),FALSE),ROUND(D93+(E93-D93)*(1+G93)*((7-1)/(MaxLevel-1))^(2^F93),0),D93+(E93-D93)*(1+G93)*((7-1)/(MaxLevel-1))^(2^F93)))</f>
        <v/>
      </c>
      <c r="O93" s="12" t="str">
        <f>IF(OR(D93="",E93=""),"",IF(IFERROR(INDEX(Stats!$D:$D,MATCH($C93,Stats!$A:$A,0)),FALSE),ROUND(D93+(E93-D93)*(1+G93)*((8-1)/(MaxLevel-1))^(2^F93),0),D93+(E93-D93)*(1+G93)*((8-1)/(MaxLevel-1))^(2^F93)))</f>
        <v/>
      </c>
      <c r="P93" s="12" t="str">
        <f>IF(OR(D93="",E93=""),"",IF(IFERROR(INDEX(Stats!$D:$D,MATCH($C93,Stats!$A:$A,0)),FALSE),ROUND(D93+(E93-D93)*(1+G93)*((9-1)/(MaxLevel-1))^(2^F93),0),D93+(E93-D93)*(1+G93)*((9-1)/(MaxLevel-1))^(2^F93)))</f>
        <v/>
      </c>
      <c r="Q93" s="12" t="str">
        <f>IF(OR(D93="",E93=""),"",IF(IFERROR(INDEX(Stats!$D:$D,MATCH($C93,Stats!$A:$A,0)),FALSE),ROUND(D93+(E93-D93)*(1+G93)*((10-1)/(MaxLevel-1))^(2^F93),0),D93+(E93-D93)*(1+G93)*((10-1)/(MaxLevel-1))^(2^F93)))</f>
        <v/>
      </c>
    </row>
    <row r="94" spans="1:17" x14ac:dyDescent="0.25">
      <c r="A94" s="4" t="s">
        <v>185</v>
      </c>
      <c r="B94" s="19" t="s">
        <v>221</v>
      </c>
      <c r="C94" s="4" t="s">
        <v>56</v>
      </c>
      <c r="D94" s="5"/>
      <c r="E94" s="5"/>
      <c r="F94" s="5"/>
      <c r="G94" s="5"/>
      <c r="H94" s="12" t="str">
        <f>IF(OR(D94="",E94=""),"",IF(IFERROR(INDEX(Stats!$D:$D,MATCH($C94,Stats!$A:$A,0)),FALSE),ROUND(D94+(E94-D94)*(1+G94)*((1-1)/(MaxLevel-1))^(2^F94),0),D94+(E94-D94)*(1+G94)*((1-1)/(MaxLevel-1))^(2^F94)))</f>
        <v/>
      </c>
      <c r="I94" s="12" t="str">
        <f>IF(OR(D94="",E94=""),"",IF(IFERROR(INDEX(Stats!$D:$D,MATCH($C94,Stats!$A:$A,0)),FALSE),ROUND(D94+(E94-D94)*(1+G94)*((2-1)/(MaxLevel-1))^(2^F94),0),D94+(E94-D94)*(1+G94)*((2-1)/(MaxLevel-1))^(2^F94)))</f>
        <v/>
      </c>
      <c r="J94" s="12" t="str">
        <f>IF(OR(D94="",E94=""),"",IF(IFERROR(INDEX(Stats!$D:$D,MATCH($C94,Stats!$A:$A,0)),FALSE),ROUND(D94+(E94-D94)*(1+G94)*((3-1)/(MaxLevel-1))^(2^F94),0),D94+(E94-D94)*(1+G94)*((3-1)/(MaxLevel-1))^(2^F94)))</f>
        <v/>
      </c>
      <c r="K94" s="12" t="str">
        <f>IF(OR(D94="",E94=""),"",IF(IFERROR(INDEX(Stats!$D:$D,MATCH($C94,Stats!$A:$A,0)),FALSE),ROUND(D94+(E94-D94)*(1+G94)*((4-1)/(MaxLevel-1))^(2^F94),0),D94+(E94-D94)*(1+G94)*((4-1)/(MaxLevel-1))^(2^F94)))</f>
        <v/>
      </c>
      <c r="L94" s="12" t="str">
        <f>IF(OR(D94="",E94=""),"",IF(IFERROR(INDEX(Stats!$D:$D,MATCH($C94,Stats!$A:$A,0)),FALSE),ROUND(D94+(E94-D94)*(1+G94)*((5-1)/(MaxLevel-1))^(2^F94),0),D94+(E94-D94)*(1+G94)*((5-1)/(MaxLevel-1))^(2^F94)))</f>
        <v/>
      </c>
      <c r="M94" s="12" t="str">
        <f>IF(OR(D94="",E94=""),"",IF(IFERROR(INDEX(Stats!$D:$D,MATCH($C94,Stats!$A:$A,0)),FALSE),ROUND(D94+(E94-D94)*(1+G94)*((6-1)/(MaxLevel-1))^(2^F94),0),D94+(E94-D94)*(1+G94)*((6-1)/(MaxLevel-1))^(2^F94)))</f>
        <v/>
      </c>
      <c r="N94" s="12" t="str">
        <f>IF(OR(D94="",E94=""),"",IF(IFERROR(INDEX(Stats!$D:$D,MATCH($C94,Stats!$A:$A,0)),FALSE),ROUND(D94+(E94-D94)*(1+G94)*((7-1)/(MaxLevel-1))^(2^F94),0),D94+(E94-D94)*(1+G94)*((7-1)/(MaxLevel-1))^(2^F94)))</f>
        <v/>
      </c>
      <c r="O94" s="12" t="str">
        <f>IF(OR(D94="",E94=""),"",IF(IFERROR(INDEX(Stats!$D:$D,MATCH($C94,Stats!$A:$A,0)),FALSE),ROUND(D94+(E94-D94)*(1+G94)*((8-1)/(MaxLevel-1))^(2^F94),0),D94+(E94-D94)*(1+G94)*((8-1)/(MaxLevel-1))^(2^F94)))</f>
        <v/>
      </c>
      <c r="P94" s="12" t="str">
        <f>IF(OR(D94="",E94=""),"",IF(IFERROR(INDEX(Stats!$D:$D,MATCH($C94,Stats!$A:$A,0)),FALSE),ROUND(D94+(E94-D94)*(1+G94)*((9-1)/(MaxLevel-1))^(2^F94),0),D94+(E94-D94)*(1+G94)*((9-1)/(MaxLevel-1))^(2^F94)))</f>
        <v/>
      </c>
      <c r="Q94" s="12" t="str">
        <f>IF(OR(D94="",E94=""),"",IF(IFERROR(INDEX(Stats!$D:$D,MATCH($C94,Stats!$A:$A,0)),FALSE),ROUND(D94+(E94-D94)*(1+G94)*((10-1)/(MaxLevel-1))^(2^F94),0),D94+(E94-D94)*(1+G94)*((10-1)/(MaxLevel-1))^(2^F94)))</f>
        <v/>
      </c>
    </row>
    <row r="95" spans="1:17" x14ac:dyDescent="0.25">
      <c r="A95" s="4" t="s">
        <v>185</v>
      </c>
      <c r="B95" s="19" t="s">
        <v>221</v>
      </c>
      <c r="C95" s="4" t="s">
        <v>58</v>
      </c>
      <c r="D95" s="5"/>
      <c r="E95" s="5"/>
      <c r="F95" s="5"/>
      <c r="G95" s="5"/>
      <c r="H95" s="12" t="str">
        <f>IF(OR(D95="",E95=""),"",IF(IFERROR(INDEX(Stats!$D:$D,MATCH($C95,Stats!$A:$A,0)),FALSE),ROUND(D95+(E95-D95)*(1+G95)*((1-1)/(MaxLevel-1))^(2^F95),0),D95+(E95-D95)*(1+G95)*((1-1)/(MaxLevel-1))^(2^F95)))</f>
        <v/>
      </c>
      <c r="I95" s="12" t="str">
        <f>IF(OR(D95="",E95=""),"",IF(IFERROR(INDEX(Stats!$D:$D,MATCH($C95,Stats!$A:$A,0)),FALSE),ROUND(D95+(E95-D95)*(1+G95)*((2-1)/(MaxLevel-1))^(2^F95),0),D95+(E95-D95)*(1+G95)*((2-1)/(MaxLevel-1))^(2^F95)))</f>
        <v/>
      </c>
      <c r="J95" s="12" t="str">
        <f>IF(OR(D95="",E95=""),"",IF(IFERROR(INDEX(Stats!$D:$D,MATCH($C95,Stats!$A:$A,0)),FALSE),ROUND(D95+(E95-D95)*(1+G95)*((3-1)/(MaxLevel-1))^(2^F95),0),D95+(E95-D95)*(1+G95)*((3-1)/(MaxLevel-1))^(2^F95)))</f>
        <v/>
      </c>
      <c r="K95" s="12" t="str">
        <f>IF(OR(D95="",E95=""),"",IF(IFERROR(INDEX(Stats!$D:$D,MATCH($C95,Stats!$A:$A,0)),FALSE),ROUND(D95+(E95-D95)*(1+G95)*((4-1)/(MaxLevel-1))^(2^F95),0),D95+(E95-D95)*(1+G95)*((4-1)/(MaxLevel-1))^(2^F95)))</f>
        <v/>
      </c>
      <c r="L95" s="12" t="str">
        <f>IF(OR(D95="",E95=""),"",IF(IFERROR(INDEX(Stats!$D:$D,MATCH($C95,Stats!$A:$A,0)),FALSE),ROUND(D95+(E95-D95)*(1+G95)*((5-1)/(MaxLevel-1))^(2^F95),0),D95+(E95-D95)*(1+G95)*((5-1)/(MaxLevel-1))^(2^F95)))</f>
        <v/>
      </c>
      <c r="M95" s="12" t="str">
        <f>IF(OR(D95="",E95=""),"",IF(IFERROR(INDEX(Stats!$D:$D,MATCH($C95,Stats!$A:$A,0)),FALSE),ROUND(D95+(E95-D95)*(1+G95)*((6-1)/(MaxLevel-1))^(2^F95),0),D95+(E95-D95)*(1+G95)*((6-1)/(MaxLevel-1))^(2^F95)))</f>
        <v/>
      </c>
      <c r="N95" s="12" t="str">
        <f>IF(OR(D95="",E95=""),"",IF(IFERROR(INDEX(Stats!$D:$D,MATCH($C95,Stats!$A:$A,0)),FALSE),ROUND(D95+(E95-D95)*(1+G95)*((7-1)/(MaxLevel-1))^(2^F95),0),D95+(E95-D95)*(1+G95)*((7-1)/(MaxLevel-1))^(2^F95)))</f>
        <v/>
      </c>
      <c r="O95" s="12" t="str">
        <f>IF(OR(D95="",E95=""),"",IF(IFERROR(INDEX(Stats!$D:$D,MATCH($C95,Stats!$A:$A,0)),FALSE),ROUND(D95+(E95-D95)*(1+G95)*((8-1)/(MaxLevel-1))^(2^F95),0),D95+(E95-D95)*(1+G95)*((8-1)/(MaxLevel-1))^(2^F95)))</f>
        <v/>
      </c>
      <c r="P95" s="12" t="str">
        <f>IF(OR(D95="",E95=""),"",IF(IFERROR(INDEX(Stats!$D:$D,MATCH($C95,Stats!$A:$A,0)),FALSE),ROUND(D95+(E95-D95)*(1+G95)*((9-1)/(MaxLevel-1))^(2^F95),0),D95+(E95-D95)*(1+G95)*((9-1)/(MaxLevel-1))^(2^F95)))</f>
        <v/>
      </c>
      <c r="Q95" s="12" t="str">
        <f>IF(OR(D95="",E95=""),"",IF(IFERROR(INDEX(Stats!$D:$D,MATCH($C95,Stats!$A:$A,0)),FALSE),ROUND(D95+(E95-D95)*(1+G95)*((10-1)/(MaxLevel-1))^(2^F95),0),D95+(E95-D95)*(1+G95)*((10-1)/(MaxLevel-1))^(2^F95)))</f>
        <v/>
      </c>
    </row>
    <row r="96" spans="1:17" x14ac:dyDescent="0.25">
      <c r="A96" s="4" t="s">
        <v>185</v>
      </c>
      <c r="B96" s="19" t="s">
        <v>221</v>
      </c>
      <c r="C96" s="4" t="s">
        <v>60</v>
      </c>
      <c r="D96" s="5"/>
      <c r="E96" s="5"/>
      <c r="F96" s="5"/>
      <c r="G96" s="5"/>
      <c r="H96" s="12" t="str">
        <f>IF(OR(D96="",E96=""),"",IF(IFERROR(INDEX(Stats!$D:$D,MATCH($C96,Stats!$A:$A,0)),FALSE),ROUND(D96+(E96-D96)*(1+G96)*((1-1)/(MaxLevel-1))^(2^F96),0),D96+(E96-D96)*(1+G96)*((1-1)/(MaxLevel-1))^(2^F96)))</f>
        <v/>
      </c>
      <c r="I96" s="12" t="str">
        <f>IF(OR(D96="",E96=""),"",IF(IFERROR(INDEX(Stats!$D:$D,MATCH($C96,Stats!$A:$A,0)),FALSE),ROUND(D96+(E96-D96)*(1+G96)*((2-1)/(MaxLevel-1))^(2^F96),0),D96+(E96-D96)*(1+G96)*((2-1)/(MaxLevel-1))^(2^F96)))</f>
        <v/>
      </c>
      <c r="J96" s="12" t="str">
        <f>IF(OR(D96="",E96=""),"",IF(IFERROR(INDEX(Stats!$D:$D,MATCH($C96,Stats!$A:$A,0)),FALSE),ROUND(D96+(E96-D96)*(1+G96)*((3-1)/(MaxLevel-1))^(2^F96),0),D96+(E96-D96)*(1+G96)*((3-1)/(MaxLevel-1))^(2^F96)))</f>
        <v/>
      </c>
      <c r="K96" s="12" t="str">
        <f>IF(OR(D96="",E96=""),"",IF(IFERROR(INDEX(Stats!$D:$D,MATCH($C96,Stats!$A:$A,0)),FALSE),ROUND(D96+(E96-D96)*(1+G96)*((4-1)/(MaxLevel-1))^(2^F96),0),D96+(E96-D96)*(1+G96)*((4-1)/(MaxLevel-1))^(2^F96)))</f>
        <v/>
      </c>
      <c r="L96" s="12" t="str">
        <f>IF(OR(D96="",E96=""),"",IF(IFERROR(INDEX(Stats!$D:$D,MATCH($C96,Stats!$A:$A,0)),FALSE),ROUND(D96+(E96-D96)*(1+G96)*((5-1)/(MaxLevel-1))^(2^F96),0),D96+(E96-D96)*(1+G96)*((5-1)/(MaxLevel-1))^(2^F96)))</f>
        <v/>
      </c>
      <c r="M96" s="12" t="str">
        <f>IF(OR(D96="",E96=""),"",IF(IFERROR(INDEX(Stats!$D:$D,MATCH($C96,Stats!$A:$A,0)),FALSE),ROUND(D96+(E96-D96)*(1+G96)*((6-1)/(MaxLevel-1))^(2^F96),0),D96+(E96-D96)*(1+G96)*((6-1)/(MaxLevel-1))^(2^F96)))</f>
        <v/>
      </c>
      <c r="N96" s="12" t="str">
        <f>IF(OR(D96="",E96=""),"",IF(IFERROR(INDEX(Stats!$D:$D,MATCH($C96,Stats!$A:$A,0)),FALSE),ROUND(D96+(E96-D96)*(1+G96)*((7-1)/(MaxLevel-1))^(2^F96),0),D96+(E96-D96)*(1+G96)*((7-1)/(MaxLevel-1))^(2^F96)))</f>
        <v/>
      </c>
      <c r="O96" s="12" t="str">
        <f>IF(OR(D96="",E96=""),"",IF(IFERROR(INDEX(Stats!$D:$D,MATCH($C96,Stats!$A:$A,0)),FALSE),ROUND(D96+(E96-D96)*(1+G96)*((8-1)/(MaxLevel-1))^(2^F96),0),D96+(E96-D96)*(1+G96)*((8-1)/(MaxLevel-1))^(2^F96)))</f>
        <v/>
      </c>
      <c r="P96" s="12" t="str">
        <f>IF(OR(D96="",E96=""),"",IF(IFERROR(INDEX(Stats!$D:$D,MATCH($C96,Stats!$A:$A,0)),FALSE),ROUND(D96+(E96-D96)*(1+G96)*((9-1)/(MaxLevel-1))^(2^F96),0),D96+(E96-D96)*(1+G96)*((9-1)/(MaxLevel-1))^(2^F96)))</f>
        <v/>
      </c>
      <c r="Q96" s="12" t="str">
        <f>IF(OR(D96="",E96=""),"",IF(IFERROR(INDEX(Stats!$D:$D,MATCH($C96,Stats!$A:$A,0)),FALSE),ROUND(D96+(E96-D96)*(1+G96)*((10-1)/(MaxLevel-1))^(2^F96),0),D96+(E96-D96)*(1+G96)*((10-1)/(MaxLevel-1))^(2^F96)))</f>
        <v/>
      </c>
    </row>
    <row r="97" spans="1:17" x14ac:dyDescent="0.25">
      <c r="A97" s="4" t="s">
        <v>185</v>
      </c>
      <c r="B97" s="4" t="s">
        <v>190</v>
      </c>
      <c r="C97" s="4" t="s">
        <v>24</v>
      </c>
      <c r="D97" s="5">
        <v>0</v>
      </c>
      <c r="E97" s="5">
        <v>5000</v>
      </c>
      <c r="F97" s="5">
        <v>1</v>
      </c>
      <c r="G97" s="5">
        <v>0</v>
      </c>
      <c r="H97" s="12">
        <f>IF(OR(D97="",E97=""),"",IF(IFERROR(INDEX(Stats!$D:$D,MATCH($C97,Stats!$A:$A,0)),FALSE),ROUND(D97+(E97-D97)*(1+G97)*((1-1)/(MaxLevel-1))^(2^F97),0),D97+(E97-D97)*(1+G97)*((1-1)/(MaxLevel-1))^(2^F97)))</f>
        <v>0</v>
      </c>
      <c r="I97" s="12">
        <f>IF(OR(D97="",E97=""),"",IF(IFERROR(INDEX(Stats!$D:$D,MATCH($C97,Stats!$A:$A,0)),FALSE),ROUND(D97+(E97-D97)*(1+G97)*((2-1)/(MaxLevel-1))^(2^F97),0),D97+(E97-D97)*(1+G97)*((2-1)/(MaxLevel-1))^(2^F97)))</f>
        <v>62</v>
      </c>
      <c r="J97" s="12">
        <f>IF(OR(D97="",E97=""),"",IF(IFERROR(INDEX(Stats!$D:$D,MATCH($C97,Stats!$A:$A,0)),FALSE),ROUND(D97+(E97-D97)*(1+G97)*((3-1)/(MaxLevel-1))^(2^F97),0),D97+(E97-D97)*(1+G97)*((3-1)/(MaxLevel-1))^(2^F97)))</f>
        <v>247</v>
      </c>
      <c r="K97" s="12">
        <f>IF(OR(D97="",E97=""),"",IF(IFERROR(INDEX(Stats!$D:$D,MATCH($C97,Stats!$A:$A,0)),FALSE),ROUND(D97+(E97-D97)*(1+G97)*((4-1)/(MaxLevel-1))^(2^F97),0),D97+(E97-D97)*(1+G97)*((4-1)/(MaxLevel-1))^(2^F97)))</f>
        <v>556</v>
      </c>
      <c r="L97" s="12">
        <f>IF(OR(D97="",E97=""),"",IF(IFERROR(INDEX(Stats!$D:$D,MATCH($C97,Stats!$A:$A,0)),FALSE),ROUND(D97+(E97-D97)*(1+G97)*((5-1)/(MaxLevel-1))^(2^F97),0),D97+(E97-D97)*(1+G97)*((5-1)/(MaxLevel-1))^(2^F97)))</f>
        <v>988</v>
      </c>
      <c r="M97" s="12">
        <f>IF(OR(D97="",E97=""),"",IF(IFERROR(INDEX(Stats!$D:$D,MATCH($C97,Stats!$A:$A,0)),FALSE),ROUND(D97+(E97-D97)*(1+G97)*((6-1)/(MaxLevel-1))^(2^F97),0),D97+(E97-D97)*(1+G97)*((6-1)/(MaxLevel-1))^(2^F97)))</f>
        <v>1543</v>
      </c>
      <c r="N97" s="12">
        <f>IF(OR(D97="",E97=""),"",IF(IFERROR(INDEX(Stats!$D:$D,MATCH($C97,Stats!$A:$A,0)),FALSE),ROUND(D97+(E97-D97)*(1+G97)*((7-1)/(MaxLevel-1))^(2^F97),0),D97+(E97-D97)*(1+G97)*((7-1)/(MaxLevel-1))^(2^F97)))</f>
        <v>2222</v>
      </c>
      <c r="O97" s="12">
        <f>IF(OR(D97="",E97=""),"",IF(IFERROR(INDEX(Stats!$D:$D,MATCH($C97,Stats!$A:$A,0)),FALSE),ROUND(D97+(E97-D97)*(1+G97)*((8-1)/(MaxLevel-1))^(2^F97),0),D97+(E97-D97)*(1+G97)*((8-1)/(MaxLevel-1))^(2^F97)))</f>
        <v>3025</v>
      </c>
      <c r="P97" s="12">
        <f>IF(OR(D97="",E97=""),"",IF(IFERROR(INDEX(Stats!$D:$D,MATCH($C97,Stats!$A:$A,0)),FALSE),ROUND(D97+(E97-D97)*(1+G97)*((9-1)/(MaxLevel-1))^(2^F97),0),D97+(E97-D97)*(1+G97)*((9-1)/(MaxLevel-1))^(2^F97)))</f>
        <v>3951</v>
      </c>
      <c r="Q97" s="12">
        <f>IF(OR(D97="",E97=""),"",IF(IFERROR(INDEX(Stats!$D:$D,MATCH($C97,Stats!$A:$A,0)),FALSE),ROUND(D97+(E97-D97)*(1+G97)*((10-1)/(MaxLevel-1))^(2^F97),0),D97+(E97-D97)*(1+G97)*((10-1)/(MaxLevel-1))^(2^F97)))</f>
        <v>5000</v>
      </c>
    </row>
    <row r="98" spans="1:17" x14ac:dyDescent="0.25">
      <c r="A98" s="4" t="s">
        <v>185</v>
      </c>
      <c r="B98" s="4" t="s">
        <v>190</v>
      </c>
      <c r="C98" s="4" t="s">
        <v>26</v>
      </c>
      <c r="D98" s="5">
        <v>10</v>
      </c>
      <c r="E98" s="5">
        <v>80</v>
      </c>
      <c r="F98" s="5">
        <v>0</v>
      </c>
      <c r="G98" s="5">
        <v>0</v>
      </c>
      <c r="H98" s="12">
        <f>IF(OR(D98="",E98=""),"",IF(IFERROR(INDEX(Stats!$D:$D,MATCH($C98,Stats!$A:$A,0)),FALSE),ROUND(D98+(E98-D98)*(1+G98)*((1-1)/(MaxLevel-1))^(2^F98),0),D98+(E98-D98)*(1+G98)*((1-1)/(MaxLevel-1))^(2^F98)))</f>
        <v>10</v>
      </c>
      <c r="I98" s="12">
        <f>IF(OR(D98="",E98=""),"",IF(IFERROR(INDEX(Stats!$D:$D,MATCH($C98,Stats!$A:$A,0)),FALSE),ROUND(D98+(E98-D98)*(1+G98)*((2-1)/(MaxLevel-1))^(2^F98),0),D98+(E98-D98)*(1+G98)*((2-1)/(MaxLevel-1))^(2^F98)))</f>
        <v>18</v>
      </c>
      <c r="J98" s="12">
        <f>IF(OR(D98="",E98=""),"",IF(IFERROR(INDEX(Stats!$D:$D,MATCH($C98,Stats!$A:$A,0)),FALSE),ROUND(D98+(E98-D98)*(1+G98)*((3-1)/(MaxLevel-1))^(2^F98),0),D98+(E98-D98)*(1+G98)*((3-1)/(MaxLevel-1))^(2^F98)))</f>
        <v>26</v>
      </c>
      <c r="K98" s="12">
        <f>IF(OR(D98="",E98=""),"",IF(IFERROR(INDEX(Stats!$D:$D,MATCH($C98,Stats!$A:$A,0)),FALSE),ROUND(D98+(E98-D98)*(1+G98)*((4-1)/(MaxLevel-1))^(2^F98),0),D98+(E98-D98)*(1+G98)*((4-1)/(MaxLevel-1))^(2^F98)))</f>
        <v>33</v>
      </c>
      <c r="L98" s="12">
        <f>IF(OR(D98="",E98=""),"",IF(IFERROR(INDEX(Stats!$D:$D,MATCH($C98,Stats!$A:$A,0)),FALSE),ROUND(D98+(E98-D98)*(1+G98)*((5-1)/(MaxLevel-1))^(2^F98),0),D98+(E98-D98)*(1+G98)*((5-1)/(MaxLevel-1))^(2^F98)))</f>
        <v>41</v>
      </c>
      <c r="M98" s="12">
        <f>IF(OR(D98="",E98=""),"",IF(IFERROR(INDEX(Stats!$D:$D,MATCH($C98,Stats!$A:$A,0)),FALSE),ROUND(D98+(E98-D98)*(1+G98)*((6-1)/(MaxLevel-1))^(2^F98),0),D98+(E98-D98)*(1+G98)*((6-1)/(MaxLevel-1))^(2^F98)))</f>
        <v>49</v>
      </c>
      <c r="N98" s="12">
        <f>IF(OR(D98="",E98=""),"",IF(IFERROR(INDEX(Stats!$D:$D,MATCH($C98,Stats!$A:$A,0)),FALSE),ROUND(D98+(E98-D98)*(1+G98)*((7-1)/(MaxLevel-1))^(2^F98),0),D98+(E98-D98)*(1+G98)*((7-1)/(MaxLevel-1))^(2^F98)))</f>
        <v>57</v>
      </c>
      <c r="O98" s="12">
        <f>IF(OR(D98="",E98=""),"",IF(IFERROR(INDEX(Stats!$D:$D,MATCH($C98,Stats!$A:$A,0)),FALSE),ROUND(D98+(E98-D98)*(1+G98)*((8-1)/(MaxLevel-1))^(2^F98),0),D98+(E98-D98)*(1+G98)*((8-1)/(MaxLevel-1))^(2^F98)))</f>
        <v>64</v>
      </c>
      <c r="P98" s="12">
        <f>IF(OR(D98="",E98=""),"",IF(IFERROR(INDEX(Stats!$D:$D,MATCH($C98,Stats!$A:$A,0)),FALSE),ROUND(D98+(E98-D98)*(1+G98)*((9-1)/(MaxLevel-1))^(2^F98),0),D98+(E98-D98)*(1+G98)*((9-1)/(MaxLevel-1))^(2^F98)))</f>
        <v>72</v>
      </c>
      <c r="Q98" s="12">
        <f>IF(OR(D98="",E98=""),"",IF(IFERROR(INDEX(Stats!$D:$D,MATCH($C98,Stats!$A:$A,0)),FALSE),ROUND(D98+(E98-D98)*(1+G98)*((10-1)/(MaxLevel-1))^(2^F98),0),D98+(E98-D98)*(1+G98)*((10-1)/(MaxLevel-1))^(2^F98)))</f>
        <v>80</v>
      </c>
    </row>
    <row r="99" spans="1:17" x14ac:dyDescent="0.25">
      <c r="A99" s="4" t="s">
        <v>185</v>
      </c>
      <c r="B99" s="4" t="s">
        <v>190</v>
      </c>
      <c r="C99" s="4" t="s">
        <v>28</v>
      </c>
      <c r="D99" s="5">
        <v>80</v>
      </c>
      <c r="E99" s="5">
        <v>400</v>
      </c>
      <c r="F99" s="5">
        <v>-0.5</v>
      </c>
      <c r="G99" s="5">
        <v>0</v>
      </c>
      <c r="H99" s="12">
        <f>IF(OR(D99="",E99=""),"",IF(IFERROR(INDEX(Stats!$D:$D,MATCH($C99,Stats!$A:$A,0)),FALSE),ROUND(D99+(E99-D99)*(1+G99)*((1-1)/(MaxLevel-1))^(2^F99),0),D99+(E99-D99)*(1+G99)*((1-1)/(MaxLevel-1))^(2^F99)))</f>
        <v>80</v>
      </c>
      <c r="I99" s="12">
        <f>IF(OR(D99="",E99=""),"",IF(IFERROR(INDEX(Stats!$D:$D,MATCH($C99,Stats!$A:$A,0)),FALSE),ROUND(D99+(E99-D99)*(1+G99)*((2-1)/(MaxLevel-1))^(2^F99),0),D99+(E99-D99)*(1+G99)*((2-1)/(MaxLevel-1))^(2^F99)))</f>
        <v>148</v>
      </c>
      <c r="J99" s="12">
        <f>IF(OR(D99="",E99=""),"",IF(IFERROR(INDEX(Stats!$D:$D,MATCH($C99,Stats!$A:$A,0)),FALSE),ROUND(D99+(E99-D99)*(1+G99)*((3-1)/(MaxLevel-1))^(2^F99),0),D99+(E99-D99)*(1+G99)*((3-1)/(MaxLevel-1))^(2^F99)))</f>
        <v>190</v>
      </c>
      <c r="K99" s="12">
        <f>IF(OR(D99="",E99=""),"",IF(IFERROR(INDEX(Stats!$D:$D,MATCH($C99,Stats!$A:$A,0)),FALSE),ROUND(D99+(E99-D99)*(1+G99)*((4-1)/(MaxLevel-1))^(2^F99),0),D99+(E99-D99)*(1+G99)*((4-1)/(MaxLevel-1))^(2^F99)))</f>
        <v>227</v>
      </c>
      <c r="L99" s="12">
        <f>IF(OR(D99="",E99=""),"",IF(IFERROR(INDEX(Stats!$D:$D,MATCH($C99,Stats!$A:$A,0)),FALSE),ROUND(D99+(E99-D99)*(1+G99)*((5-1)/(MaxLevel-1))^(2^F99),0),D99+(E99-D99)*(1+G99)*((5-1)/(MaxLevel-1))^(2^F99)))</f>
        <v>260</v>
      </c>
      <c r="M99" s="12">
        <f>IF(OR(D99="",E99=""),"",IF(IFERROR(INDEX(Stats!$D:$D,MATCH($C99,Stats!$A:$A,0)),FALSE),ROUND(D99+(E99-D99)*(1+G99)*((6-1)/(MaxLevel-1))^(2^F99),0),D99+(E99-D99)*(1+G99)*((6-1)/(MaxLevel-1))^(2^F99)))</f>
        <v>291</v>
      </c>
      <c r="N99" s="12">
        <f>IF(OR(D99="",E99=""),"",IF(IFERROR(INDEX(Stats!$D:$D,MATCH($C99,Stats!$A:$A,0)),FALSE),ROUND(D99+(E99-D99)*(1+G99)*((7-1)/(MaxLevel-1))^(2^F99),0),D99+(E99-D99)*(1+G99)*((7-1)/(MaxLevel-1))^(2^F99)))</f>
        <v>320</v>
      </c>
      <c r="O99" s="12">
        <f>IF(OR(D99="",E99=""),"",IF(IFERROR(INDEX(Stats!$D:$D,MATCH($C99,Stats!$A:$A,0)),FALSE),ROUND(D99+(E99-D99)*(1+G99)*((8-1)/(MaxLevel-1))^(2^F99),0),D99+(E99-D99)*(1+G99)*((8-1)/(MaxLevel-1))^(2^F99)))</f>
        <v>348</v>
      </c>
      <c r="P99" s="12">
        <f>IF(OR(D99="",E99=""),"",IF(IFERROR(INDEX(Stats!$D:$D,MATCH($C99,Stats!$A:$A,0)),FALSE),ROUND(D99+(E99-D99)*(1+G99)*((9-1)/(MaxLevel-1))^(2^F99),0),D99+(E99-D99)*(1+G99)*((9-1)/(MaxLevel-1))^(2^F99)))</f>
        <v>374</v>
      </c>
      <c r="Q99" s="12">
        <f>IF(OR(D99="",E99=""),"",IF(IFERROR(INDEX(Stats!$D:$D,MATCH($C99,Stats!$A:$A,0)),FALSE),ROUND(D99+(E99-D99)*(1+G99)*((10-1)/(MaxLevel-1))^(2^F99),0),D99+(E99-D99)*(1+G99)*((10-1)/(MaxLevel-1))^(2^F99)))</f>
        <v>400</v>
      </c>
    </row>
    <row r="100" spans="1:17" x14ac:dyDescent="0.25">
      <c r="A100" s="4" t="s">
        <v>185</v>
      </c>
      <c r="B100" s="4" t="s">
        <v>190</v>
      </c>
      <c r="C100" s="4" t="s">
        <v>30</v>
      </c>
      <c r="D100" s="5"/>
      <c r="E100" s="5"/>
      <c r="F100" s="5"/>
      <c r="G100" s="5"/>
      <c r="H100" s="12" t="str">
        <f>IF(OR(D100="",E100=""),"",IF(IFERROR(INDEX(Stats!$D:$D,MATCH($C100,Stats!$A:$A,0)),FALSE),ROUND(D100+(E100-D100)*(1+G100)*((1-1)/(MaxLevel-1))^(2^F100),0),D100+(E100-D100)*(1+G100)*((1-1)/(MaxLevel-1))^(2^F100)))</f>
        <v/>
      </c>
      <c r="I100" s="12" t="str">
        <f>IF(OR(D100="",E100=""),"",IF(IFERROR(INDEX(Stats!$D:$D,MATCH($C100,Stats!$A:$A,0)),FALSE),ROUND(D100+(E100-D100)*(1+G100)*((2-1)/(MaxLevel-1))^(2^F100),0),D100+(E100-D100)*(1+G100)*((2-1)/(MaxLevel-1))^(2^F100)))</f>
        <v/>
      </c>
      <c r="J100" s="12" t="str">
        <f>IF(OR(D100="",E100=""),"",IF(IFERROR(INDEX(Stats!$D:$D,MATCH($C100,Stats!$A:$A,0)),FALSE),ROUND(D100+(E100-D100)*(1+G100)*((3-1)/(MaxLevel-1))^(2^F100),0),D100+(E100-D100)*(1+G100)*((3-1)/(MaxLevel-1))^(2^F100)))</f>
        <v/>
      </c>
      <c r="K100" s="12" t="str">
        <f>IF(OR(D100="",E100=""),"",IF(IFERROR(INDEX(Stats!$D:$D,MATCH($C100,Stats!$A:$A,0)),FALSE),ROUND(D100+(E100-D100)*(1+G100)*((4-1)/(MaxLevel-1))^(2^F100),0),D100+(E100-D100)*(1+G100)*((4-1)/(MaxLevel-1))^(2^F100)))</f>
        <v/>
      </c>
      <c r="L100" s="12" t="str">
        <f>IF(OR(D100="",E100=""),"",IF(IFERROR(INDEX(Stats!$D:$D,MATCH($C100,Stats!$A:$A,0)),FALSE),ROUND(D100+(E100-D100)*(1+G100)*((5-1)/(MaxLevel-1))^(2^F100),0),D100+(E100-D100)*(1+G100)*((5-1)/(MaxLevel-1))^(2^F100)))</f>
        <v/>
      </c>
      <c r="M100" s="12" t="str">
        <f>IF(OR(D100="",E100=""),"",IF(IFERROR(INDEX(Stats!$D:$D,MATCH($C100,Stats!$A:$A,0)),FALSE),ROUND(D100+(E100-D100)*(1+G100)*((6-1)/(MaxLevel-1))^(2^F100),0),D100+(E100-D100)*(1+G100)*((6-1)/(MaxLevel-1))^(2^F100)))</f>
        <v/>
      </c>
      <c r="N100" s="12" t="str">
        <f>IF(OR(D100="",E100=""),"",IF(IFERROR(INDEX(Stats!$D:$D,MATCH($C100,Stats!$A:$A,0)),FALSE),ROUND(D100+(E100-D100)*(1+G100)*((7-1)/(MaxLevel-1))^(2^F100),0),D100+(E100-D100)*(1+G100)*((7-1)/(MaxLevel-1))^(2^F100)))</f>
        <v/>
      </c>
      <c r="O100" s="12" t="str">
        <f>IF(OR(D100="",E100=""),"",IF(IFERROR(INDEX(Stats!$D:$D,MATCH($C100,Stats!$A:$A,0)),FALSE),ROUND(D100+(E100-D100)*(1+G100)*((8-1)/(MaxLevel-1))^(2^F100),0),D100+(E100-D100)*(1+G100)*((8-1)/(MaxLevel-1))^(2^F100)))</f>
        <v/>
      </c>
      <c r="P100" s="12" t="str">
        <f>IF(OR(D100="",E100=""),"",IF(IFERROR(INDEX(Stats!$D:$D,MATCH($C100,Stats!$A:$A,0)),FALSE),ROUND(D100+(E100-D100)*(1+G100)*((9-1)/(MaxLevel-1))^(2^F100),0),D100+(E100-D100)*(1+G100)*((9-1)/(MaxLevel-1))^(2^F100)))</f>
        <v/>
      </c>
      <c r="Q100" s="12" t="str">
        <f>IF(OR(D100="",E100=""),"",IF(IFERROR(INDEX(Stats!$D:$D,MATCH($C100,Stats!$A:$A,0)),FALSE),ROUND(D100+(E100-D100)*(1+G100)*((10-1)/(MaxLevel-1))^(2^F100),0),D100+(E100-D100)*(1+G100)*((10-1)/(MaxLevel-1))^(2^F100)))</f>
        <v/>
      </c>
    </row>
    <row r="101" spans="1:17" x14ac:dyDescent="0.25">
      <c r="A101" s="4" t="s">
        <v>185</v>
      </c>
      <c r="B101" s="4" t="s">
        <v>190</v>
      </c>
      <c r="C101" s="4" t="s">
        <v>32</v>
      </c>
      <c r="D101" s="5"/>
      <c r="E101" s="5"/>
      <c r="F101" s="5"/>
      <c r="G101" s="5"/>
      <c r="H101" s="12" t="str">
        <f>IF(OR(D101="",E101=""),"",IF(IFERROR(INDEX(Stats!$D:$D,MATCH($C101,Stats!$A:$A,0)),FALSE),ROUND(D101+(E101-D101)*(1+G101)*((1-1)/(MaxLevel-1))^(2^F101),0),D101+(E101-D101)*(1+G101)*((1-1)/(MaxLevel-1))^(2^F101)))</f>
        <v/>
      </c>
      <c r="I101" s="12" t="str">
        <f>IF(OR(D101="",E101=""),"",IF(IFERROR(INDEX(Stats!$D:$D,MATCH($C101,Stats!$A:$A,0)),FALSE),ROUND(D101+(E101-D101)*(1+G101)*((2-1)/(MaxLevel-1))^(2^F101),0),D101+(E101-D101)*(1+G101)*((2-1)/(MaxLevel-1))^(2^F101)))</f>
        <v/>
      </c>
      <c r="J101" s="12" t="str">
        <f>IF(OR(D101="",E101=""),"",IF(IFERROR(INDEX(Stats!$D:$D,MATCH($C101,Stats!$A:$A,0)),FALSE),ROUND(D101+(E101-D101)*(1+G101)*((3-1)/(MaxLevel-1))^(2^F101),0),D101+(E101-D101)*(1+G101)*((3-1)/(MaxLevel-1))^(2^F101)))</f>
        <v/>
      </c>
      <c r="K101" s="12" t="str">
        <f>IF(OR(D101="",E101=""),"",IF(IFERROR(INDEX(Stats!$D:$D,MATCH($C101,Stats!$A:$A,0)),FALSE),ROUND(D101+(E101-D101)*(1+G101)*((4-1)/(MaxLevel-1))^(2^F101),0),D101+(E101-D101)*(1+G101)*((4-1)/(MaxLevel-1))^(2^F101)))</f>
        <v/>
      </c>
      <c r="L101" s="12" t="str">
        <f>IF(OR(D101="",E101=""),"",IF(IFERROR(INDEX(Stats!$D:$D,MATCH($C101,Stats!$A:$A,0)),FALSE),ROUND(D101+(E101-D101)*(1+G101)*((5-1)/(MaxLevel-1))^(2^F101),0),D101+(E101-D101)*(1+G101)*((5-1)/(MaxLevel-1))^(2^F101)))</f>
        <v/>
      </c>
      <c r="M101" s="12" t="str">
        <f>IF(OR(D101="",E101=""),"",IF(IFERROR(INDEX(Stats!$D:$D,MATCH($C101,Stats!$A:$A,0)),FALSE),ROUND(D101+(E101-D101)*(1+G101)*((6-1)/(MaxLevel-1))^(2^F101),0),D101+(E101-D101)*(1+G101)*((6-1)/(MaxLevel-1))^(2^F101)))</f>
        <v/>
      </c>
      <c r="N101" s="12" t="str">
        <f>IF(OR(D101="",E101=""),"",IF(IFERROR(INDEX(Stats!$D:$D,MATCH($C101,Stats!$A:$A,0)),FALSE),ROUND(D101+(E101-D101)*(1+G101)*((7-1)/(MaxLevel-1))^(2^F101),0),D101+(E101-D101)*(1+G101)*((7-1)/(MaxLevel-1))^(2^F101)))</f>
        <v/>
      </c>
      <c r="O101" s="12" t="str">
        <f>IF(OR(D101="",E101=""),"",IF(IFERROR(INDEX(Stats!$D:$D,MATCH($C101,Stats!$A:$A,0)),FALSE),ROUND(D101+(E101-D101)*(1+G101)*((8-1)/(MaxLevel-1))^(2^F101),0),D101+(E101-D101)*(1+G101)*((8-1)/(MaxLevel-1))^(2^F101)))</f>
        <v/>
      </c>
      <c r="P101" s="12" t="str">
        <f>IF(OR(D101="",E101=""),"",IF(IFERROR(INDEX(Stats!$D:$D,MATCH($C101,Stats!$A:$A,0)),FALSE),ROUND(D101+(E101-D101)*(1+G101)*((9-1)/(MaxLevel-1))^(2^F101),0),D101+(E101-D101)*(1+G101)*((9-1)/(MaxLevel-1))^(2^F101)))</f>
        <v/>
      </c>
      <c r="Q101" s="12" t="str">
        <f>IF(OR(D101="",E101=""),"",IF(IFERROR(INDEX(Stats!$D:$D,MATCH($C101,Stats!$A:$A,0)),FALSE),ROUND(D101+(E101-D101)*(1+G101)*((10-1)/(MaxLevel-1))^(2^F101),0),D101+(E101-D101)*(1+G101)*((10-1)/(MaxLevel-1))^(2^F101)))</f>
        <v/>
      </c>
    </row>
    <row r="102" spans="1:17" x14ac:dyDescent="0.25">
      <c r="A102" s="4" t="s">
        <v>185</v>
      </c>
      <c r="B102" s="4" t="s">
        <v>190</v>
      </c>
      <c r="C102" s="4" t="s">
        <v>34</v>
      </c>
      <c r="D102" s="5"/>
      <c r="E102" s="5"/>
      <c r="F102" s="5"/>
      <c r="G102" s="5"/>
      <c r="H102" s="12" t="str">
        <f>IF(OR(D102="",E102=""),"",IF(IFERROR(INDEX(Stats!$D:$D,MATCH($C102,Stats!$A:$A,0)),FALSE),ROUND(D102+(E102-D102)*(1+G102)*((1-1)/(MaxLevel-1))^(2^F102),0),D102+(E102-D102)*(1+G102)*((1-1)/(MaxLevel-1))^(2^F102)))</f>
        <v/>
      </c>
      <c r="I102" s="12" t="str">
        <f>IF(OR(D102="",E102=""),"",IF(IFERROR(INDEX(Stats!$D:$D,MATCH($C102,Stats!$A:$A,0)),FALSE),ROUND(D102+(E102-D102)*(1+G102)*((2-1)/(MaxLevel-1))^(2^F102),0),D102+(E102-D102)*(1+G102)*((2-1)/(MaxLevel-1))^(2^F102)))</f>
        <v/>
      </c>
      <c r="J102" s="12" t="str">
        <f>IF(OR(D102="",E102=""),"",IF(IFERROR(INDEX(Stats!$D:$D,MATCH($C102,Stats!$A:$A,0)),FALSE),ROUND(D102+(E102-D102)*(1+G102)*((3-1)/(MaxLevel-1))^(2^F102),0),D102+(E102-D102)*(1+G102)*((3-1)/(MaxLevel-1))^(2^F102)))</f>
        <v/>
      </c>
      <c r="K102" s="12" t="str">
        <f>IF(OR(D102="",E102=""),"",IF(IFERROR(INDEX(Stats!$D:$D,MATCH($C102,Stats!$A:$A,0)),FALSE),ROUND(D102+(E102-D102)*(1+G102)*((4-1)/(MaxLevel-1))^(2^F102),0),D102+(E102-D102)*(1+G102)*((4-1)/(MaxLevel-1))^(2^F102)))</f>
        <v/>
      </c>
      <c r="L102" s="12" t="str">
        <f>IF(OR(D102="",E102=""),"",IF(IFERROR(INDEX(Stats!$D:$D,MATCH($C102,Stats!$A:$A,0)),FALSE),ROUND(D102+(E102-D102)*(1+G102)*((5-1)/(MaxLevel-1))^(2^F102),0),D102+(E102-D102)*(1+G102)*((5-1)/(MaxLevel-1))^(2^F102)))</f>
        <v/>
      </c>
      <c r="M102" s="12" t="str">
        <f>IF(OR(D102="",E102=""),"",IF(IFERROR(INDEX(Stats!$D:$D,MATCH($C102,Stats!$A:$A,0)),FALSE),ROUND(D102+(E102-D102)*(1+G102)*((6-1)/(MaxLevel-1))^(2^F102),0),D102+(E102-D102)*(1+G102)*((6-1)/(MaxLevel-1))^(2^F102)))</f>
        <v/>
      </c>
      <c r="N102" s="12" t="str">
        <f>IF(OR(D102="",E102=""),"",IF(IFERROR(INDEX(Stats!$D:$D,MATCH($C102,Stats!$A:$A,0)),FALSE),ROUND(D102+(E102-D102)*(1+G102)*((7-1)/(MaxLevel-1))^(2^F102),0),D102+(E102-D102)*(1+G102)*((7-1)/(MaxLevel-1))^(2^F102)))</f>
        <v/>
      </c>
      <c r="O102" s="12" t="str">
        <f>IF(OR(D102="",E102=""),"",IF(IFERROR(INDEX(Stats!$D:$D,MATCH($C102,Stats!$A:$A,0)),FALSE),ROUND(D102+(E102-D102)*(1+G102)*((8-1)/(MaxLevel-1))^(2^F102),0),D102+(E102-D102)*(1+G102)*((8-1)/(MaxLevel-1))^(2^F102)))</f>
        <v/>
      </c>
      <c r="P102" s="12" t="str">
        <f>IF(OR(D102="",E102=""),"",IF(IFERROR(INDEX(Stats!$D:$D,MATCH($C102,Stats!$A:$A,0)),FALSE),ROUND(D102+(E102-D102)*(1+G102)*((9-1)/(MaxLevel-1))^(2^F102),0),D102+(E102-D102)*(1+G102)*((9-1)/(MaxLevel-1))^(2^F102)))</f>
        <v/>
      </c>
      <c r="Q102" s="12" t="str">
        <f>IF(OR(D102="",E102=""),"",IF(IFERROR(INDEX(Stats!$D:$D,MATCH($C102,Stats!$A:$A,0)),FALSE),ROUND(D102+(E102-D102)*(1+G102)*((10-1)/(MaxLevel-1))^(2^F102),0),D102+(E102-D102)*(1+G102)*((10-1)/(MaxLevel-1))^(2^F102)))</f>
        <v/>
      </c>
    </row>
    <row r="103" spans="1:17" x14ac:dyDescent="0.25">
      <c r="A103" s="4" t="s">
        <v>185</v>
      </c>
      <c r="B103" s="4" t="s">
        <v>190</v>
      </c>
      <c r="C103" s="4" t="s">
        <v>36</v>
      </c>
      <c r="D103" s="5"/>
      <c r="E103" s="5"/>
      <c r="F103" s="5"/>
      <c r="G103" s="5"/>
      <c r="H103" s="12" t="str">
        <f>IF(OR(D103="",E103=""),"",IF(IFERROR(INDEX(Stats!$D:$D,MATCH($C103,Stats!$A:$A,0)),FALSE),ROUND(D103+(E103-D103)*(1+G103)*((1-1)/(MaxLevel-1))^(2^F103),0),D103+(E103-D103)*(1+G103)*((1-1)/(MaxLevel-1))^(2^F103)))</f>
        <v/>
      </c>
      <c r="I103" s="12" t="str">
        <f>IF(OR(D103="",E103=""),"",IF(IFERROR(INDEX(Stats!$D:$D,MATCH($C103,Stats!$A:$A,0)),FALSE),ROUND(D103+(E103-D103)*(1+G103)*((2-1)/(MaxLevel-1))^(2^F103),0),D103+(E103-D103)*(1+G103)*((2-1)/(MaxLevel-1))^(2^F103)))</f>
        <v/>
      </c>
      <c r="J103" s="12" t="str">
        <f>IF(OR(D103="",E103=""),"",IF(IFERROR(INDEX(Stats!$D:$D,MATCH($C103,Stats!$A:$A,0)),FALSE),ROUND(D103+(E103-D103)*(1+G103)*((3-1)/(MaxLevel-1))^(2^F103),0),D103+(E103-D103)*(1+G103)*((3-1)/(MaxLevel-1))^(2^F103)))</f>
        <v/>
      </c>
      <c r="K103" s="12" t="str">
        <f>IF(OR(D103="",E103=""),"",IF(IFERROR(INDEX(Stats!$D:$D,MATCH($C103,Stats!$A:$A,0)),FALSE),ROUND(D103+(E103-D103)*(1+G103)*((4-1)/(MaxLevel-1))^(2^F103),0),D103+(E103-D103)*(1+G103)*((4-1)/(MaxLevel-1))^(2^F103)))</f>
        <v/>
      </c>
      <c r="L103" s="12" t="str">
        <f>IF(OR(D103="",E103=""),"",IF(IFERROR(INDEX(Stats!$D:$D,MATCH($C103,Stats!$A:$A,0)),FALSE),ROUND(D103+(E103-D103)*(1+G103)*((5-1)/(MaxLevel-1))^(2^F103),0),D103+(E103-D103)*(1+G103)*((5-1)/(MaxLevel-1))^(2^F103)))</f>
        <v/>
      </c>
      <c r="M103" s="12" t="str">
        <f>IF(OR(D103="",E103=""),"",IF(IFERROR(INDEX(Stats!$D:$D,MATCH($C103,Stats!$A:$A,0)),FALSE),ROUND(D103+(E103-D103)*(1+G103)*((6-1)/(MaxLevel-1))^(2^F103),0),D103+(E103-D103)*(1+G103)*((6-1)/(MaxLevel-1))^(2^F103)))</f>
        <v/>
      </c>
      <c r="N103" s="12" t="str">
        <f>IF(OR(D103="",E103=""),"",IF(IFERROR(INDEX(Stats!$D:$D,MATCH($C103,Stats!$A:$A,0)),FALSE),ROUND(D103+(E103-D103)*(1+G103)*((7-1)/(MaxLevel-1))^(2^F103),0),D103+(E103-D103)*(1+G103)*((7-1)/(MaxLevel-1))^(2^F103)))</f>
        <v/>
      </c>
      <c r="O103" s="12" t="str">
        <f>IF(OR(D103="",E103=""),"",IF(IFERROR(INDEX(Stats!$D:$D,MATCH($C103,Stats!$A:$A,0)),FALSE),ROUND(D103+(E103-D103)*(1+G103)*((8-1)/(MaxLevel-1))^(2^F103),0),D103+(E103-D103)*(1+G103)*((8-1)/(MaxLevel-1))^(2^F103)))</f>
        <v/>
      </c>
      <c r="P103" s="12" t="str">
        <f>IF(OR(D103="",E103=""),"",IF(IFERROR(INDEX(Stats!$D:$D,MATCH($C103,Stats!$A:$A,0)),FALSE),ROUND(D103+(E103-D103)*(1+G103)*((9-1)/(MaxLevel-1))^(2^F103),0),D103+(E103-D103)*(1+G103)*((9-1)/(MaxLevel-1))^(2^F103)))</f>
        <v/>
      </c>
      <c r="Q103" s="12" t="str">
        <f>IF(OR(D103="",E103=""),"",IF(IFERROR(INDEX(Stats!$D:$D,MATCH($C103,Stats!$A:$A,0)),FALSE),ROUND(D103+(E103-D103)*(1+G103)*((10-1)/(MaxLevel-1))^(2^F103),0),D103+(E103-D103)*(1+G103)*((10-1)/(MaxLevel-1))^(2^F103)))</f>
        <v/>
      </c>
    </row>
    <row r="104" spans="1:17" x14ac:dyDescent="0.25">
      <c r="A104" s="4" t="s">
        <v>185</v>
      </c>
      <c r="B104" s="4" t="s">
        <v>190</v>
      </c>
      <c r="C104" s="4" t="s">
        <v>38</v>
      </c>
      <c r="D104" s="5">
        <v>1.5</v>
      </c>
      <c r="E104" s="5">
        <v>2</v>
      </c>
      <c r="F104" s="5">
        <v>-1</v>
      </c>
      <c r="G104" s="5">
        <v>0</v>
      </c>
      <c r="H104" s="12">
        <f>IF(OR(D104="",E104=""),"",IF(IFERROR(INDEX(Stats!$D:$D,MATCH($C104,Stats!$A:$A,0)),FALSE),ROUND(D104+(E104-D104)*(1+G104)*((1-1)/(MaxLevel-1))^(2^F104),0),D104+(E104-D104)*(1+G104)*((1-1)/(MaxLevel-1))^(2^F104)))</f>
        <v>1.5</v>
      </c>
      <c r="I104" s="12">
        <f>IF(OR(D104="",E104=""),"",IF(IFERROR(INDEX(Stats!$D:$D,MATCH($C104,Stats!$A:$A,0)),FALSE),ROUND(D104+(E104-D104)*(1+G104)*((2-1)/(MaxLevel-1))^(2^F104),0),D104+(E104-D104)*(1+G104)*((2-1)/(MaxLevel-1))^(2^F104)))</f>
        <v>1.6666666666666667</v>
      </c>
      <c r="J104" s="12">
        <f>IF(OR(D104="",E104=""),"",IF(IFERROR(INDEX(Stats!$D:$D,MATCH($C104,Stats!$A:$A,0)),FALSE),ROUND(D104+(E104-D104)*(1+G104)*((3-1)/(MaxLevel-1))^(2^F104),0),D104+(E104-D104)*(1+G104)*((3-1)/(MaxLevel-1))^(2^F104)))</f>
        <v>1.7357022603955159</v>
      </c>
      <c r="K104" s="12">
        <f>IF(OR(D104="",E104=""),"",IF(IFERROR(INDEX(Stats!$D:$D,MATCH($C104,Stats!$A:$A,0)),FALSE),ROUND(D104+(E104-D104)*(1+G104)*((4-1)/(MaxLevel-1))^(2^F104),0),D104+(E104-D104)*(1+G104)*((4-1)/(MaxLevel-1))^(2^F104)))</f>
        <v>1.7886751345948129</v>
      </c>
      <c r="L104" s="12">
        <f>IF(OR(D104="",E104=""),"",IF(IFERROR(INDEX(Stats!$D:$D,MATCH($C104,Stats!$A:$A,0)),FALSE),ROUND(D104+(E104-D104)*(1+G104)*((5-1)/(MaxLevel-1))^(2^F104),0),D104+(E104-D104)*(1+G104)*((5-1)/(MaxLevel-1))^(2^F104)))</f>
        <v>1.8333333333333333</v>
      </c>
      <c r="M104" s="12">
        <f>IF(OR(D104="",E104=""),"",IF(IFERROR(INDEX(Stats!$D:$D,MATCH($C104,Stats!$A:$A,0)),FALSE),ROUND(D104+(E104-D104)*(1+G104)*((6-1)/(MaxLevel-1))^(2^F104),0),D104+(E104-D104)*(1+G104)*((6-1)/(MaxLevel-1))^(2^F104)))</f>
        <v>1.8726779962499649</v>
      </c>
      <c r="N104" s="12">
        <f>IF(OR(D104="",E104=""),"",IF(IFERROR(INDEX(Stats!$D:$D,MATCH($C104,Stats!$A:$A,0)),FALSE),ROUND(D104+(E104-D104)*(1+G104)*((7-1)/(MaxLevel-1))^(2^F104),0),D104+(E104-D104)*(1+G104)*((7-1)/(MaxLevel-1))^(2^F104)))</f>
        <v>1.9082482904638631</v>
      </c>
      <c r="O104" s="12">
        <f>IF(OR(D104="",E104=""),"",IF(IFERROR(INDEX(Stats!$D:$D,MATCH($C104,Stats!$A:$A,0)),FALSE),ROUND(D104+(E104-D104)*(1+G104)*((8-1)/(MaxLevel-1))^(2^F104),0),D104+(E104-D104)*(1+G104)*((8-1)/(MaxLevel-1))^(2^F104)))</f>
        <v>1.9409585518440984</v>
      </c>
      <c r="P104" s="12">
        <f>IF(OR(D104="",E104=""),"",IF(IFERROR(INDEX(Stats!$D:$D,MATCH($C104,Stats!$A:$A,0)),FALSE),ROUND(D104+(E104-D104)*(1+G104)*((9-1)/(MaxLevel-1))^(2^F104),0),D104+(E104-D104)*(1+G104)*((9-1)/(MaxLevel-1))^(2^F104)))</f>
        <v>1.9714045207910318</v>
      </c>
      <c r="Q104" s="12">
        <f>IF(OR(D104="",E104=""),"",IF(IFERROR(INDEX(Stats!$D:$D,MATCH($C104,Stats!$A:$A,0)),FALSE),ROUND(D104+(E104-D104)*(1+G104)*((10-1)/(MaxLevel-1))^(2^F104),0),D104+(E104-D104)*(1+G104)*((10-1)/(MaxLevel-1))^(2^F104)))</f>
        <v>2</v>
      </c>
    </row>
    <row r="105" spans="1:17" x14ac:dyDescent="0.25">
      <c r="A105" s="4" t="s">
        <v>185</v>
      </c>
      <c r="B105" s="4" t="s">
        <v>190</v>
      </c>
      <c r="C105" s="4" t="s">
        <v>40</v>
      </c>
      <c r="D105" s="5">
        <v>20</v>
      </c>
      <c r="E105" s="5">
        <v>100</v>
      </c>
      <c r="F105" s="5">
        <v>1</v>
      </c>
      <c r="G105" s="5">
        <v>0.1</v>
      </c>
      <c r="H105" s="12">
        <f>IF(OR(D105="",E105=""),"",IF(IFERROR(INDEX(Stats!$D:$D,MATCH($C105,Stats!$A:$A,0)),FALSE),ROUND(D105+(E105-D105)*(1+G105)*((1-1)/(MaxLevel-1))^(2^F105),0),D105+(E105-D105)*(1+G105)*((1-1)/(MaxLevel-1))^(2^F105)))</f>
        <v>20</v>
      </c>
      <c r="I105" s="12">
        <f>IF(OR(D105="",E105=""),"",IF(IFERROR(INDEX(Stats!$D:$D,MATCH($C105,Stats!$A:$A,0)),FALSE),ROUND(D105+(E105-D105)*(1+G105)*((2-1)/(MaxLevel-1))^(2^F105),0),D105+(E105-D105)*(1+G105)*((2-1)/(MaxLevel-1))^(2^F105)))</f>
        <v>21</v>
      </c>
      <c r="J105" s="12">
        <f>IF(OR(D105="",E105=""),"",IF(IFERROR(INDEX(Stats!$D:$D,MATCH($C105,Stats!$A:$A,0)),FALSE),ROUND(D105+(E105-D105)*(1+G105)*((3-1)/(MaxLevel-1))^(2^F105),0),D105+(E105-D105)*(1+G105)*((3-1)/(MaxLevel-1))^(2^F105)))</f>
        <v>24</v>
      </c>
      <c r="K105" s="12">
        <f>IF(OR(D105="",E105=""),"",IF(IFERROR(INDEX(Stats!$D:$D,MATCH($C105,Stats!$A:$A,0)),FALSE),ROUND(D105+(E105-D105)*(1+G105)*((4-1)/(MaxLevel-1))^(2^F105),0),D105+(E105-D105)*(1+G105)*((4-1)/(MaxLevel-1))^(2^F105)))</f>
        <v>30</v>
      </c>
      <c r="L105" s="12">
        <f>IF(OR(D105="",E105=""),"",IF(IFERROR(INDEX(Stats!$D:$D,MATCH($C105,Stats!$A:$A,0)),FALSE),ROUND(D105+(E105-D105)*(1+G105)*((5-1)/(MaxLevel-1))^(2^F105),0),D105+(E105-D105)*(1+G105)*((5-1)/(MaxLevel-1))^(2^F105)))</f>
        <v>37</v>
      </c>
      <c r="M105" s="12">
        <f>IF(OR(D105="",E105=""),"",IF(IFERROR(INDEX(Stats!$D:$D,MATCH($C105,Stats!$A:$A,0)),FALSE),ROUND(D105+(E105-D105)*(1+G105)*((6-1)/(MaxLevel-1))^(2^F105),0),D105+(E105-D105)*(1+G105)*((6-1)/(MaxLevel-1))^(2^F105)))</f>
        <v>47</v>
      </c>
      <c r="N105" s="12">
        <f>IF(OR(D105="",E105=""),"",IF(IFERROR(INDEX(Stats!$D:$D,MATCH($C105,Stats!$A:$A,0)),FALSE),ROUND(D105+(E105-D105)*(1+G105)*((7-1)/(MaxLevel-1))^(2^F105),0),D105+(E105-D105)*(1+G105)*((7-1)/(MaxLevel-1))^(2^F105)))</f>
        <v>59</v>
      </c>
      <c r="O105" s="12">
        <f>IF(OR(D105="",E105=""),"",IF(IFERROR(INDEX(Stats!$D:$D,MATCH($C105,Stats!$A:$A,0)),FALSE),ROUND(D105+(E105-D105)*(1+G105)*((8-1)/(MaxLevel-1))^(2^F105),0),D105+(E105-D105)*(1+G105)*((8-1)/(MaxLevel-1))^(2^F105)))</f>
        <v>73</v>
      </c>
      <c r="P105" s="12">
        <f>IF(OR(D105="",E105=""),"",IF(IFERROR(INDEX(Stats!$D:$D,MATCH($C105,Stats!$A:$A,0)),FALSE),ROUND(D105+(E105-D105)*(1+G105)*((9-1)/(MaxLevel-1))^(2^F105),0),D105+(E105-D105)*(1+G105)*((9-1)/(MaxLevel-1))^(2^F105)))</f>
        <v>90</v>
      </c>
      <c r="Q105" s="12">
        <f>IF(OR(D105="",E105=""),"",IF(IFERROR(INDEX(Stats!$D:$D,MATCH($C105,Stats!$A:$A,0)),FALSE),ROUND(D105+(E105-D105)*(1+G105)*((10-1)/(MaxLevel-1))^(2^F105),0),D105+(E105-D105)*(1+G105)*((10-1)/(MaxLevel-1))^(2^F105)))</f>
        <v>108</v>
      </c>
    </row>
    <row r="106" spans="1:17" x14ac:dyDescent="0.25">
      <c r="A106" s="4" t="s">
        <v>185</v>
      </c>
      <c r="B106" s="4" t="s">
        <v>190</v>
      </c>
      <c r="C106" s="4" t="s">
        <v>42</v>
      </c>
      <c r="D106" s="5"/>
      <c r="E106" s="5"/>
      <c r="F106" s="5"/>
      <c r="G106" s="5"/>
      <c r="H106" s="12" t="str">
        <f>IF(OR(D106="",E106=""),"",IF(IFERROR(INDEX(Stats!$D:$D,MATCH($C106,Stats!$A:$A,0)),FALSE),ROUND(D106+(E106-D106)*(1+G106)*((1-1)/(MaxLevel-1))^(2^F106),0),D106+(E106-D106)*(1+G106)*((1-1)/(MaxLevel-1))^(2^F106)))</f>
        <v/>
      </c>
      <c r="I106" s="12" t="str">
        <f>IF(OR(D106="",E106=""),"",IF(IFERROR(INDEX(Stats!$D:$D,MATCH($C106,Stats!$A:$A,0)),FALSE),ROUND(D106+(E106-D106)*(1+G106)*((2-1)/(MaxLevel-1))^(2^F106),0),D106+(E106-D106)*(1+G106)*((2-1)/(MaxLevel-1))^(2^F106)))</f>
        <v/>
      </c>
      <c r="J106" s="12" t="str">
        <f>IF(OR(D106="",E106=""),"",IF(IFERROR(INDEX(Stats!$D:$D,MATCH($C106,Stats!$A:$A,0)),FALSE),ROUND(D106+(E106-D106)*(1+G106)*((3-1)/(MaxLevel-1))^(2^F106),0),D106+(E106-D106)*(1+G106)*((3-1)/(MaxLevel-1))^(2^F106)))</f>
        <v/>
      </c>
      <c r="K106" s="12" t="str">
        <f>IF(OR(D106="",E106=""),"",IF(IFERROR(INDEX(Stats!$D:$D,MATCH($C106,Stats!$A:$A,0)),FALSE),ROUND(D106+(E106-D106)*(1+G106)*((4-1)/(MaxLevel-1))^(2^F106),0),D106+(E106-D106)*(1+G106)*((4-1)/(MaxLevel-1))^(2^F106)))</f>
        <v/>
      </c>
      <c r="L106" s="12" t="str">
        <f>IF(OR(D106="",E106=""),"",IF(IFERROR(INDEX(Stats!$D:$D,MATCH($C106,Stats!$A:$A,0)),FALSE),ROUND(D106+(E106-D106)*(1+G106)*((5-1)/(MaxLevel-1))^(2^F106),0),D106+(E106-D106)*(1+G106)*((5-1)/(MaxLevel-1))^(2^F106)))</f>
        <v/>
      </c>
      <c r="M106" s="12" t="str">
        <f>IF(OR(D106="",E106=""),"",IF(IFERROR(INDEX(Stats!$D:$D,MATCH($C106,Stats!$A:$A,0)),FALSE),ROUND(D106+(E106-D106)*(1+G106)*((6-1)/(MaxLevel-1))^(2^F106),0),D106+(E106-D106)*(1+G106)*((6-1)/(MaxLevel-1))^(2^F106)))</f>
        <v/>
      </c>
      <c r="N106" s="12" t="str">
        <f>IF(OR(D106="",E106=""),"",IF(IFERROR(INDEX(Stats!$D:$D,MATCH($C106,Stats!$A:$A,0)),FALSE),ROUND(D106+(E106-D106)*(1+G106)*((7-1)/(MaxLevel-1))^(2^F106),0),D106+(E106-D106)*(1+G106)*((7-1)/(MaxLevel-1))^(2^F106)))</f>
        <v/>
      </c>
      <c r="O106" s="12" t="str">
        <f>IF(OR(D106="",E106=""),"",IF(IFERROR(INDEX(Stats!$D:$D,MATCH($C106,Stats!$A:$A,0)),FALSE),ROUND(D106+(E106-D106)*(1+G106)*((8-1)/(MaxLevel-1))^(2^F106),0),D106+(E106-D106)*(1+G106)*((8-1)/(MaxLevel-1))^(2^F106)))</f>
        <v/>
      </c>
      <c r="P106" s="12" t="str">
        <f>IF(OR(D106="",E106=""),"",IF(IFERROR(INDEX(Stats!$D:$D,MATCH($C106,Stats!$A:$A,0)),FALSE),ROUND(D106+(E106-D106)*(1+G106)*((9-1)/(MaxLevel-1))^(2^F106),0),D106+(E106-D106)*(1+G106)*((9-1)/(MaxLevel-1))^(2^F106)))</f>
        <v/>
      </c>
      <c r="Q106" s="12" t="str">
        <f>IF(OR(D106="",E106=""),"",IF(IFERROR(INDEX(Stats!$D:$D,MATCH($C106,Stats!$A:$A,0)),FALSE),ROUND(D106+(E106-D106)*(1+G106)*((10-1)/(MaxLevel-1))^(2^F106),0),D106+(E106-D106)*(1+G106)*((10-1)/(MaxLevel-1))^(2^F106)))</f>
        <v/>
      </c>
    </row>
    <row r="107" spans="1:17" x14ac:dyDescent="0.25">
      <c r="A107" s="4" t="s">
        <v>185</v>
      </c>
      <c r="B107" s="4" t="s">
        <v>190</v>
      </c>
      <c r="C107" s="4" t="s">
        <v>44</v>
      </c>
      <c r="D107" s="5"/>
      <c r="E107" s="5"/>
      <c r="F107" s="5"/>
      <c r="G107" s="5"/>
      <c r="H107" s="12" t="str">
        <f>IF(OR(D107="",E107=""),"",IF(IFERROR(INDEX(Stats!$D:$D,MATCH($C107,Stats!$A:$A,0)),FALSE),ROUND(D107+(E107-D107)*(1+G107)*((1-1)/(MaxLevel-1))^(2^F107),0),D107+(E107-D107)*(1+G107)*((1-1)/(MaxLevel-1))^(2^F107)))</f>
        <v/>
      </c>
      <c r="I107" s="12" t="str">
        <f>IF(OR(D107="",E107=""),"",IF(IFERROR(INDEX(Stats!$D:$D,MATCH($C107,Stats!$A:$A,0)),FALSE),ROUND(D107+(E107-D107)*(1+G107)*((2-1)/(MaxLevel-1))^(2^F107),0),D107+(E107-D107)*(1+G107)*((2-1)/(MaxLevel-1))^(2^F107)))</f>
        <v/>
      </c>
      <c r="J107" s="12" t="str">
        <f>IF(OR(D107="",E107=""),"",IF(IFERROR(INDEX(Stats!$D:$D,MATCH($C107,Stats!$A:$A,0)),FALSE),ROUND(D107+(E107-D107)*(1+G107)*((3-1)/(MaxLevel-1))^(2^F107),0),D107+(E107-D107)*(1+G107)*((3-1)/(MaxLevel-1))^(2^F107)))</f>
        <v/>
      </c>
      <c r="K107" s="12" t="str">
        <f>IF(OR(D107="",E107=""),"",IF(IFERROR(INDEX(Stats!$D:$D,MATCH($C107,Stats!$A:$A,0)),FALSE),ROUND(D107+(E107-D107)*(1+G107)*((4-1)/(MaxLevel-1))^(2^F107),0),D107+(E107-D107)*(1+G107)*((4-1)/(MaxLevel-1))^(2^F107)))</f>
        <v/>
      </c>
      <c r="L107" s="12" t="str">
        <f>IF(OR(D107="",E107=""),"",IF(IFERROR(INDEX(Stats!$D:$D,MATCH($C107,Stats!$A:$A,0)),FALSE),ROUND(D107+(E107-D107)*(1+G107)*((5-1)/(MaxLevel-1))^(2^F107),0),D107+(E107-D107)*(1+G107)*((5-1)/(MaxLevel-1))^(2^F107)))</f>
        <v/>
      </c>
      <c r="M107" s="12" t="str">
        <f>IF(OR(D107="",E107=""),"",IF(IFERROR(INDEX(Stats!$D:$D,MATCH($C107,Stats!$A:$A,0)),FALSE),ROUND(D107+(E107-D107)*(1+G107)*((6-1)/(MaxLevel-1))^(2^F107),0),D107+(E107-D107)*(1+G107)*((6-1)/(MaxLevel-1))^(2^F107)))</f>
        <v/>
      </c>
      <c r="N107" s="12" t="str">
        <f>IF(OR(D107="",E107=""),"",IF(IFERROR(INDEX(Stats!$D:$D,MATCH($C107,Stats!$A:$A,0)),FALSE),ROUND(D107+(E107-D107)*(1+G107)*((7-1)/(MaxLevel-1))^(2^F107),0),D107+(E107-D107)*(1+G107)*((7-1)/(MaxLevel-1))^(2^F107)))</f>
        <v/>
      </c>
      <c r="O107" s="12" t="str">
        <f>IF(OR(D107="",E107=""),"",IF(IFERROR(INDEX(Stats!$D:$D,MATCH($C107,Stats!$A:$A,0)),FALSE),ROUND(D107+(E107-D107)*(1+G107)*((8-1)/(MaxLevel-1))^(2^F107),0),D107+(E107-D107)*(1+G107)*((8-1)/(MaxLevel-1))^(2^F107)))</f>
        <v/>
      </c>
      <c r="P107" s="12" t="str">
        <f>IF(OR(D107="",E107=""),"",IF(IFERROR(INDEX(Stats!$D:$D,MATCH($C107,Stats!$A:$A,0)),FALSE),ROUND(D107+(E107-D107)*(1+G107)*((9-1)/(MaxLevel-1))^(2^F107),0),D107+(E107-D107)*(1+G107)*((9-1)/(MaxLevel-1))^(2^F107)))</f>
        <v/>
      </c>
      <c r="Q107" s="12" t="str">
        <f>IF(OR(D107="",E107=""),"",IF(IFERROR(INDEX(Stats!$D:$D,MATCH($C107,Stats!$A:$A,0)),FALSE),ROUND(D107+(E107-D107)*(1+G107)*((10-1)/(MaxLevel-1))^(2^F107),0),D107+(E107-D107)*(1+G107)*((10-1)/(MaxLevel-1))^(2^F107)))</f>
        <v/>
      </c>
    </row>
    <row r="108" spans="1:17" x14ac:dyDescent="0.25">
      <c r="A108" s="4" t="s">
        <v>185</v>
      </c>
      <c r="B108" s="4" t="s">
        <v>190</v>
      </c>
      <c r="C108" s="4" t="s">
        <v>46</v>
      </c>
      <c r="D108" s="5"/>
      <c r="E108" s="5"/>
      <c r="F108" s="5"/>
      <c r="G108" s="5"/>
      <c r="H108" s="12" t="str">
        <f>IF(OR(D108="",E108=""),"",IF(IFERROR(INDEX(Stats!$D:$D,MATCH($C108,Stats!$A:$A,0)),FALSE),ROUND(D108+(E108-D108)*(1+G108)*((1-1)/(MaxLevel-1))^(2^F108),0),D108+(E108-D108)*(1+G108)*((1-1)/(MaxLevel-1))^(2^F108)))</f>
        <v/>
      </c>
      <c r="I108" s="12" t="str">
        <f>IF(OR(D108="",E108=""),"",IF(IFERROR(INDEX(Stats!$D:$D,MATCH($C108,Stats!$A:$A,0)),FALSE),ROUND(D108+(E108-D108)*(1+G108)*((2-1)/(MaxLevel-1))^(2^F108),0),D108+(E108-D108)*(1+G108)*((2-1)/(MaxLevel-1))^(2^F108)))</f>
        <v/>
      </c>
      <c r="J108" s="12" t="str">
        <f>IF(OR(D108="",E108=""),"",IF(IFERROR(INDEX(Stats!$D:$D,MATCH($C108,Stats!$A:$A,0)),FALSE),ROUND(D108+(E108-D108)*(1+G108)*((3-1)/(MaxLevel-1))^(2^F108),0),D108+(E108-D108)*(1+G108)*((3-1)/(MaxLevel-1))^(2^F108)))</f>
        <v/>
      </c>
      <c r="K108" s="12" t="str">
        <f>IF(OR(D108="",E108=""),"",IF(IFERROR(INDEX(Stats!$D:$D,MATCH($C108,Stats!$A:$A,0)),FALSE),ROUND(D108+(E108-D108)*(1+G108)*((4-1)/(MaxLevel-1))^(2^F108),0),D108+(E108-D108)*(1+G108)*((4-1)/(MaxLevel-1))^(2^F108)))</f>
        <v/>
      </c>
      <c r="L108" s="12" t="str">
        <f>IF(OR(D108="",E108=""),"",IF(IFERROR(INDEX(Stats!$D:$D,MATCH($C108,Stats!$A:$A,0)),FALSE),ROUND(D108+(E108-D108)*(1+G108)*((5-1)/(MaxLevel-1))^(2^F108),0),D108+(E108-D108)*(1+G108)*((5-1)/(MaxLevel-1))^(2^F108)))</f>
        <v/>
      </c>
      <c r="M108" s="12" t="str">
        <f>IF(OR(D108="",E108=""),"",IF(IFERROR(INDEX(Stats!$D:$D,MATCH($C108,Stats!$A:$A,0)),FALSE),ROUND(D108+(E108-D108)*(1+G108)*((6-1)/(MaxLevel-1))^(2^F108),0),D108+(E108-D108)*(1+G108)*((6-1)/(MaxLevel-1))^(2^F108)))</f>
        <v/>
      </c>
      <c r="N108" s="12" t="str">
        <f>IF(OR(D108="",E108=""),"",IF(IFERROR(INDEX(Stats!$D:$D,MATCH($C108,Stats!$A:$A,0)),FALSE),ROUND(D108+(E108-D108)*(1+G108)*((7-1)/(MaxLevel-1))^(2^F108),0),D108+(E108-D108)*(1+G108)*((7-1)/(MaxLevel-1))^(2^F108)))</f>
        <v/>
      </c>
      <c r="O108" s="12" t="str">
        <f>IF(OR(D108="",E108=""),"",IF(IFERROR(INDEX(Stats!$D:$D,MATCH($C108,Stats!$A:$A,0)),FALSE),ROUND(D108+(E108-D108)*(1+G108)*((8-1)/(MaxLevel-1))^(2^F108),0),D108+(E108-D108)*(1+G108)*((8-1)/(MaxLevel-1))^(2^F108)))</f>
        <v/>
      </c>
      <c r="P108" s="12" t="str">
        <f>IF(OR(D108="",E108=""),"",IF(IFERROR(INDEX(Stats!$D:$D,MATCH($C108,Stats!$A:$A,0)),FALSE),ROUND(D108+(E108-D108)*(1+G108)*((9-1)/(MaxLevel-1))^(2^F108),0),D108+(E108-D108)*(1+G108)*((9-1)/(MaxLevel-1))^(2^F108)))</f>
        <v/>
      </c>
      <c r="Q108" s="12" t="str">
        <f>IF(OR(D108="",E108=""),"",IF(IFERROR(INDEX(Stats!$D:$D,MATCH($C108,Stats!$A:$A,0)),FALSE),ROUND(D108+(E108-D108)*(1+G108)*((10-1)/(MaxLevel-1))^(2^F108),0),D108+(E108-D108)*(1+G108)*((10-1)/(MaxLevel-1))^(2^F108)))</f>
        <v/>
      </c>
    </row>
    <row r="109" spans="1:17" x14ac:dyDescent="0.25">
      <c r="A109" s="4" t="s">
        <v>185</v>
      </c>
      <c r="B109" s="4" t="s">
        <v>190</v>
      </c>
      <c r="C109" s="4" t="s">
        <v>48</v>
      </c>
      <c r="D109" s="5"/>
      <c r="E109" s="5"/>
      <c r="F109" s="5"/>
      <c r="G109" s="5"/>
      <c r="H109" s="12" t="str">
        <f>IF(OR(D109="",E109=""),"",IF(IFERROR(INDEX(Stats!$D:$D,MATCH($C109,Stats!$A:$A,0)),FALSE),ROUND(D109+(E109-D109)*(1+G109)*((1-1)/(MaxLevel-1))^(2^F109),0),D109+(E109-D109)*(1+G109)*((1-1)/(MaxLevel-1))^(2^F109)))</f>
        <v/>
      </c>
      <c r="I109" s="12" t="str">
        <f>IF(OR(D109="",E109=""),"",IF(IFERROR(INDEX(Stats!$D:$D,MATCH($C109,Stats!$A:$A,0)),FALSE),ROUND(D109+(E109-D109)*(1+G109)*((2-1)/(MaxLevel-1))^(2^F109),0),D109+(E109-D109)*(1+G109)*((2-1)/(MaxLevel-1))^(2^F109)))</f>
        <v/>
      </c>
      <c r="J109" s="12" t="str">
        <f>IF(OR(D109="",E109=""),"",IF(IFERROR(INDEX(Stats!$D:$D,MATCH($C109,Stats!$A:$A,0)),FALSE),ROUND(D109+(E109-D109)*(1+G109)*((3-1)/(MaxLevel-1))^(2^F109),0),D109+(E109-D109)*(1+G109)*((3-1)/(MaxLevel-1))^(2^F109)))</f>
        <v/>
      </c>
      <c r="K109" s="12" t="str">
        <f>IF(OR(D109="",E109=""),"",IF(IFERROR(INDEX(Stats!$D:$D,MATCH($C109,Stats!$A:$A,0)),FALSE),ROUND(D109+(E109-D109)*(1+G109)*((4-1)/(MaxLevel-1))^(2^F109),0),D109+(E109-D109)*(1+G109)*((4-1)/(MaxLevel-1))^(2^F109)))</f>
        <v/>
      </c>
      <c r="L109" s="12" t="str">
        <f>IF(OR(D109="",E109=""),"",IF(IFERROR(INDEX(Stats!$D:$D,MATCH($C109,Stats!$A:$A,0)),FALSE),ROUND(D109+(E109-D109)*(1+G109)*((5-1)/(MaxLevel-1))^(2^F109),0),D109+(E109-D109)*(1+G109)*((5-1)/(MaxLevel-1))^(2^F109)))</f>
        <v/>
      </c>
      <c r="M109" s="12" t="str">
        <f>IF(OR(D109="",E109=""),"",IF(IFERROR(INDEX(Stats!$D:$D,MATCH($C109,Stats!$A:$A,0)),FALSE),ROUND(D109+(E109-D109)*(1+G109)*((6-1)/(MaxLevel-1))^(2^F109),0),D109+(E109-D109)*(1+G109)*((6-1)/(MaxLevel-1))^(2^F109)))</f>
        <v/>
      </c>
      <c r="N109" s="12" t="str">
        <f>IF(OR(D109="",E109=""),"",IF(IFERROR(INDEX(Stats!$D:$D,MATCH($C109,Stats!$A:$A,0)),FALSE),ROUND(D109+(E109-D109)*(1+G109)*((7-1)/(MaxLevel-1))^(2^F109),0),D109+(E109-D109)*(1+G109)*((7-1)/(MaxLevel-1))^(2^F109)))</f>
        <v/>
      </c>
      <c r="O109" s="12" t="str">
        <f>IF(OR(D109="",E109=""),"",IF(IFERROR(INDEX(Stats!$D:$D,MATCH($C109,Stats!$A:$A,0)),FALSE),ROUND(D109+(E109-D109)*(1+G109)*((8-1)/(MaxLevel-1))^(2^F109),0),D109+(E109-D109)*(1+G109)*((8-1)/(MaxLevel-1))^(2^F109)))</f>
        <v/>
      </c>
      <c r="P109" s="12" t="str">
        <f>IF(OR(D109="",E109=""),"",IF(IFERROR(INDEX(Stats!$D:$D,MATCH($C109,Stats!$A:$A,0)),FALSE),ROUND(D109+(E109-D109)*(1+G109)*((9-1)/(MaxLevel-1))^(2^F109),0),D109+(E109-D109)*(1+G109)*((9-1)/(MaxLevel-1))^(2^F109)))</f>
        <v/>
      </c>
      <c r="Q109" s="12" t="str">
        <f>IF(OR(D109="",E109=""),"",IF(IFERROR(INDEX(Stats!$D:$D,MATCH($C109,Stats!$A:$A,0)),FALSE),ROUND(D109+(E109-D109)*(1+G109)*((10-1)/(MaxLevel-1))^(2^F109),0),D109+(E109-D109)*(1+G109)*((10-1)/(MaxLevel-1))^(2^F109)))</f>
        <v/>
      </c>
    </row>
    <row r="110" spans="1:17" x14ac:dyDescent="0.25">
      <c r="A110" s="4" t="s">
        <v>185</v>
      </c>
      <c r="B110" s="4" t="s">
        <v>190</v>
      </c>
      <c r="C110" s="4" t="s">
        <v>50</v>
      </c>
      <c r="D110" s="5"/>
      <c r="E110" s="5"/>
      <c r="F110" s="5"/>
      <c r="G110" s="5"/>
      <c r="H110" s="12" t="str">
        <f>IF(OR(D110="",E110=""),"",IF(IFERROR(INDEX(Stats!$D:$D,MATCH($C110,Stats!$A:$A,0)),FALSE),ROUND(D110+(E110-D110)*(1+G110)*((1-1)/(MaxLevel-1))^(2^F110),0),D110+(E110-D110)*(1+G110)*((1-1)/(MaxLevel-1))^(2^F110)))</f>
        <v/>
      </c>
      <c r="I110" s="12" t="str">
        <f>IF(OR(D110="",E110=""),"",IF(IFERROR(INDEX(Stats!$D:$D,MATCH($C110,Stats!$A:$A,0)),FALSE),ROUND(D110+(E110-D110)*(1+G110)*((2-1)/(MaxLevel-1))^(2^F110),0),D110+(E110-D110)*(1+G110)*((2-1)/(MaxLevel-1))^(2^F110)))</f>
        <v/>
      </c>
      <c r="J110" s="12" t="str">
        <f>IF(OR(D110="",E110=""),"",IF(IFERROR(INDEX(Stats!$D:$D,MATCH($C110,Stats!$A:$A,0)),FALSE),ROUND(D110+(E110-D110)*(1+G110)*((3-1)/(MaxLevel-1))^(2^F110),0),D110+(E110-D110)*(1+G110)*((3-1)/(MaxLevel-1))^(2^F110)))</f>
        <v/>
      </c>
      <c r="K110" s="12" t="str">
        <f>IF(OR(D110="",E110=""),"",IF(IFERROR(INDEX(Stats!$D:$D,MATCH($C110,Stats!$A:$A,0)),FALSE),ROUND(D110+(E110-D110)*(1+G110)*((4-1)/(MaxLevel-1))^(2^F110),0),D110+(E110-D110)*(1+G110)*((4-1)/(MaxLevel-1))^(2^F110)))</f>
        <v/>
      </c>
      <c r="L110" s="12" t="str">
        <f>IF(OR(D110="",E110=""),"",IF(IFERROR(INDEX(Stats!$D:$D,MATCH($C110,Stats!$A:$A,0)),FALSE),ROUND(D110+(E110-D110)*(1+G110)*((5-1)/(MaxLevel-1))^(2^F110),0),D110+(E110-D110)*(1+G110)*((5-1)/(MaxLevel-1))^(2^F110)))</f>
        <v/>
      </c>
      <c r="M110" s="12" t="str">
        <f>IF(OR(D110="",E110=""),"",IF(IFERROR(INDEX(Stats!$D:$D,MATCH($C110,Stats!$A:$A,0)),FALSE),ROUND(D110+(E110-D110)*(1+G110)*((6-1)/(MaxLevel-1))^(2^F110),0),D110+(E110-D110)*(1+G110)*((6-1)/(MaxLevel-1))^(2^F110)))</f>
        <v/>
      </c>
      <c r="N110" s="12" t="str">
        <f>IF(OR(D110="",E110=""),"",IF(IFERROR(INDEX(Stats!$D:$D,MATCH($C110,Stats!$A:$A,0)),FALSE),ROUND(D110+(E110-D110)*(1+G110)*((7-1)/(MaxLevel-1))^(2^F110),0),D110+(E110-D110)*(1+G110)*((7-1)/(MaxLevel-1))^(2^F110)))</f>
        <v/>
      </c>
      <c r="O110" s="12" t="str">
        <f>IF(OR(D110="",E110=""),"",IF(IFERROR(INDEX(Stats!$D:$D,MATCH($C110,Stats!$A:$A,0)),FALSE),ROUND(D110+(E110-D110)*(1+G110)*((8-1)/(MaxLevel-1))^(2^F110),0),D110+(E110-D110)*(1+G110)*((8-1)/(MaxLevel-1))^(2^F110)))</f>
        <v/>
      </c>
      <c r="P110" s="12" t="str">
        <f>IF(OR(D110="",E110=""),"",IF(IFERROR(INDEX(Stats!$D:$D,MATCH($C110,Stats!$A:$A,0)),FALSE),ROUND(D110+(E110-D110)*(1+G110)*((9-1)/(MaxLevel-1))^(2^F110),0),D110+(E110-D110)*(1+G110)*((9-1)/(MaxLevel-1))^(2^F110)))</f>
        <v/>
      </c>
      <c r="Q110" s="12" t="str">
        <f>IF(OR(D110="",E110=""),"",IF(IFERROR(INDEX(Stats!$D:$D,MATCH($C110,Stats!$A:$A,0)),FALSE),ROUND(D110+(E110-D110)*(1+G110)*((10-1)/(MaxLevel-1))^(2^F110),0),D110+(E110-D110)*(1+G110)*((10-1)/(MaxLevel-1))^(2^F110)))</f>
        <v/>
      </c>
    </row>
    <row r="111" spans="1:17" x14ac:dyDescent="0.25">
      <c r="A111" s="4" t="s">
        <v>185</v>
      </c>
      <c r="B111" s="4" t="s">
        <v>190</v>
      </c>
      <c r="C111" s="4" t="s">
        <v>52</v>
      </c>
      <c r="D111" s="5"/>
      <c r="E111" s="5"/>
      <c r="F111" s="5"/>
      <c r="G111" s="5"/>
      <c r="H111" s="12" t="str">
        <f>IF(OR(D111="",E111=""),"",IF(IFERROR(INDEX(Stats!$D:$D,MATCH($C111,Stats!$A:$A,0)),FALSE),ROUND(D111+(E111-D111)*(1+G111)*((1-1)/(MaxLevel-1))^(2^F111),0),D111+(E111-D111)*(1+G111)*((1-1)/(MaxLevel-1))^(2^F111)))</f>
        <v/>
      </c>
      <c r="I111" s="12" t="str">
        <f>IF(OR(D111="",E111=""),"",IF(IFERROR(INDEX(Stats!$D:$D,MATCH($C111,Stats!$A:$A,0)),FALSE),ROUND(D111+(E111-D111)*(1+G111)*((2-1)/(MaxLevel-1))^(2^F111),0),D111+(E111-D111)*(1+G111)*((2-1)/(MaxLevel-1))^(2^F111)))</f>
        <v/>
      </c>
      <c r="J111" s="12" t="str">
        <f>IF(OR(D111="",E111=""),"",IF(IFERROR(INDEX(Stats!$D:$D,MATCH($C111,Stats!$A:$A,0)),FALSE),ROUND(D111+(E111-D111)*(1+G111)*((3-1)/(MaxLevel-1))^(2^F111),0),D111+(E111-D111)*(1+G111)*((3-1)/(MaxLevel-1))^(2^F111)))</f>
        <v/>
      </c>
      <c r="K111" s="12" t="str">
        <f>IF(OR(D111="",E111=""),"",IF(IFERROR(INDEX(Stats!$D:$D,MATCH($C111,Stats!$A:$A,0)),FALSE),ROUND(D111+(E111-D111)*(1+G111)*((4-1)/(MaxLevel-1))^(2^F111),0),D111+(E111-D111)*(1+G111)*((4-1)/(MaxLevel-1))^(2^F111)))</f>
        <v/>
      </c>
      <c r="L111" s="12" t="str">
        <f>IF(OR(D111="",E111=""),"",IF(IFERROR(INDEX(Stats!$D:$D,MATCH($C111,Stats!$A:$A,0)),FALSE),ROUND(D111+(E111-D111)*(1+G111)*((5-1)/(MaxLevel-1))^(2^F111),0),D111+(E111-D111)*(1+G111)*((5-1)/(MaxLevel-1))^(2^F111)))</f>
        <v/>
      </c>
      <c r="M111" s="12" t="str">
        <f>IF(OR(D111="",E111=""),"",IF(IFERROR(INDEX(Stats!$D:$D,MATCH($C111,Stats!$A:$A,0)),FALSE),ROUND(D111+(E111-D111)*(1+G111)*((6-1)/(MaxLevel-1))^(2^F111),0),D111+(E111-D111)*(1+G111)*((6-1)/(MaxLevel-1))^(2^F111)))</f>
        <v/>
      </c>
      <c r="N111" s="12" t="str">
        <f>IF(OR(D111="",E111=""),"",IF(IFERROR(INDEX(Stats!$D:$D,MATCH($C111,Stats!$A:$A,0)),FALSE),ROUND(D111+(E111-D111)*(1+G111)*((7-1)/(MaxLevel-1))^(2^F111),0),D111+(E111-D111)*(1+G111)*((7-1)/(MaxLevel-1))^(2^F111)))</f>
        <v/>
      </c>
      <c r="O111" s="12" t="str">
        <f>IF(OR(D111="",E111=""),"",IF(IFERROR(INDEX(Stats!$D:$D,MATCH($C111,Stats!$A:$A,0)),FALSE),ROUND(D111+(E111-D111)*(1+G111)*((8-1)/(MaxLevel-1))^(2^F111),0),D111+(E111-D111)*(1+G111)*((8-1)/(MaxLevel-1))^(2^F111)))</f>
        <v/>
      </c>
      <c r="P111" s="12" t="str">
        <f>IF(OR(D111="",E111=""),"",IF(IFERROR(INDEX(Stats!$D:$D,MATCH($C111,Stats!$A:$A,0)),FALSE),ROUND(D111+(E111-D111)*(1+G111)*((9-1)/(MaxLevel-1))^(2^F111),0),D111+(E111-D111)*(1+G111)*((9-1)/(MaxLevel-1))^(2^F111)))</f>
        <v/>
      </c>
      <c r="Q111" s="12" t="str">
        <f>IF(OR(D111="",E111=""),"",IF(IFERROR(INDEX(Stats!$D:$D,MATCH($C111,Stats!$A:$A,0)),FALSE),ROUND(D111+(E111-D111)*(1+G111)*((10-1)/(MaxLevel-1))^(2^F111),0),D111+(E111-D111)*(1+G111)*((10-1)/(MaxLevel-1))^(2^F111)))</f>
        <v/>
      </c>
    </row>
    <row r="112" spans="1:17" x14ac:dyDescent="0.25">
      <c r="A112" s="4" t="s">
        <v>185</v>
      </c>
      <c r="B112" s="4" t="s">
        <v>190</v>
      </c>
      <c r="C112" s="4" t="s">
        <v>54</v>
      </c>
      <c r="D112" s="5"/>
      <c r="E112" s="5"/>
      <c r="F112" s="5"/>
      <c r="G112" s="5"/>
      <c r="H112" s="12" t="str">
        <f>IF(OR(D112="",E112=""),"",IF(IFERROR(INDEX(Stats!$D:$D,MATCH($C112,Stats!$A:$A,0)),FALSE),ROUND(D112+(E112-D112)*(1+G112)*((1-1)/(MaxLevel-1))^(2^F112),0),D112+(E112-D112)*(1+G112)*((1-1)/(MaxLevel-1))^(2^F112)))</f>
        <v/>
      </c>
      <c r="I112" s="12" t="str">
        <f>IF(OR(D112="",E112=""),"",IF(IFERROR(INDEX(Stats!$D:$D,MATCH($C112,Stats!$A:$A,0)),FALSE),ROUND(D112+(E112-D112)*(1+G112)*((2-1)/(MaxLevel-1))^(2^F112),0),D112+(E112-D112)*(1+G112)*((2-1)/(MaxLevel-1))^(2^F112)))</f>
        <v/>
      </c>
      <c r="J112" s="12" t="str">
        <f>IF(OR(D112="",E112=""),"",IF(IFERROR(INDEX(Stats!$D:$D,MATCH($C112,Stats!$A:$A,0)),FALSE),ROUND(D112+(E112-D112)*(1+G112)*((3-1)/(MaxLevel-1))^(2^F112),0),D112+(E112-D112)*(1+G112)*((3-1)/(MaxLevel-1))^(2^F112)))</f>
        <v/>
      </c>
      <c r="K112" s="12" t="str">
        <f>IF(OR(D112="",E112=""),"",IF(IFERROR(INDEX(Stats!$D:$D,MATCH($C112,Stats!$A:$A,0)),FALSE),ROUND(D112+(E112-D112)*(1+G112)*((4-1)/(MaxLevel-1))^(2^F112),0),D112+(E112-D112)*(1+G112)*((4-1)/(MaxLevel-1))^(2^F112)))</f>
        <v/>
      </c>
      <c r="L112" s="12" t="str">
        <f>IF(OR(D112="",E112=""),"",IF(IFERROR(INDEX(Stats!$D:$D,MATCH($C112,Stats!$A:$A,0)),FALSE),ROUND(D112+(E112-D112)*(1+G112)*((5-1)/(MaxLevel-1))^(2^F112),0),D112+(E112-D112)*(1+G112)*((5-1)/(MaxLevel-1))^(2^F112)))</f>
        <v/>
      </c>
      <c r="M112" s="12" t="str">
        <f>IF(OR(D112="",E112=""),"",IF(IFERROR(INDEX(Stats!$D:$D,MATCH($C112,Stats!$A:$A,0)),FALSE),ROUND(D112+(E112-D112)*(1+G112)*((6-1)/(MaxLevel-1))^(2^F112),0),D112+(E112-D112)*(1+G112)*((6-1)/(MaxLevel-1))^(2^F112)))</f>
        <v/>
      </c>
      <c r="N112" s="12" t="str">
        <f>IF(OR(D112="",E112=""),"",IF(IFERROR(INDEX(Stats!$D:$D,MATCH($C112,Stats!$A:$A,0)),FALSE),ROUND(D112+(E112-D112)*(1+G112)*((7-1)/(MaxLevel-1))^(2^F112),0),D112+(E112-D112)*(1+G112)*((7-1)/(MaxLevel-1))^(2^F112)))</f>
        <v/>
      </c>
      <c r="O112" s="12" t="str">
        <f>IF(OR(D112="",E112=""),"",IF(IFERROR(INDEX(Stats!$D:$D,MATCH($C112,Stats!$A:$A,0)),FALSE),ROUND(D112+(E112-D112)*(1+G112)*((8-1)/(MaxLevel-1))^(2^F112),0),D112+(E112-D112)*(1+G112)*((8-1)/(MaxLevel-1))^(2^F112)))</f>
        <v/>
      </c>
      <c r="P112" s="12" t="str">
        <f>IF(OR(D112="",E112=""),"",IF(IFERROR(INDEX(Stats!$D:$D,MATCH($C112,Stats!$A:$A,0)),FALSE),ROUND(D112+(E112-D112)*(1+G112)*((9-1)/(MaxLevel-1))^(2^F112),0),D112+(E112-D112)*(1+G112)*((9-1)/(MaxLevel-1))^(2^F112)))</f>
        <v/>
      </c>
      <c r="Q112" s="12" t="str">
        <f>IF(OR(D112="",E112=""),"",IF(IFERROR(INDEX(Stats!$D:$D,MATCH($C112,Stats!$A:$A,0)),FALSE),ROUND(D112+(E112-D112)*(1+G112)*((10-1)/(MaxLevel-1))^(2^F112),0),D112+(E112-D112)*(1+G112)*((10-1)/(MaxLevel-1))^(2^F112)))</f>
        <v/>
      </c>
    </row>
    <row r="113" spans="1:17" x14ac:dyDescent="0.25">
      <c r="A113" s="4" t="s">
        <v>185</v>
      </c>
      <c r="B113" s="4" t="s">
        <v>190</v>
      </c>
      <c r="C113" s="4" t="s">
        <v>56</v>
      </c>
      <c r="D113" s="5"/>
      <c r="E113" s="5"/>
      <c r="F113" s="5"/>
      <c r="G113" s="5"/>
      <c r="H113" s="12" t="str">
        <f>IF(OR(D113="",E113=""),"",IF(IFERROR(INDEX(Stats!$D:$D,MATCH($C113,Stats!$A:$A,0)),FALSE),ROUND(D113+(E113-D113)*(1+G113)*((1-1)/(MaxLevel-1))^(2^F113),0),D113+(E113-D113)*(1+G113)*((1-1)/(MaxLevel-1))^(2^F113)))</f>
        <v/>
      </c>
      <c r="I113" s="12" t="str">
        <f>IF(OR(D113="",E113=""),"",IF(IFERROR(INDEX(Stats!$D:$D,MATCH($C113,Stats!$A:$A,0)),FALSE),ROUND(D113+(E113-D113)*(1+G113)*((2-1)/(MaxLevel-1))^(2^F113),0),D113+(E113-D113)*(1+G113)*((2-1)/(MaxLevel-1))^(2^F113)))</f>
        <v/>
      </c>
      <c r="J113" s="12" t="str">
        <f>IF(OR(D113="",E113=""),"",IF(IFERROR(INDEX(Stats!$D:$D,MATCH($C113,Stats!$A:$A,0)),FALSE),ROUND(D113+(E113-D113)*(1+G113)*((3-1)/(MaxLevel-1))^(2^F113),0),D113+(E113-D113)*(1+G113)*((3-1)/(MaxLevel-1))^(2^F113)))</f>
        <v/>
      </c>
      <c r="K113" s="12" t="str">
        <f>IF(OR(D113="",E113=""),"",IF(IFERROR(INDEX(Stats!$D:$D,MATCH($C113,Stats!$A:$A,0)),FALSE),ROUND(D113+(E113-D113)*(1+G113)*((4-1)/(MaxLevel-1))^(2^F113),0),D113+(E113-D113)*(1+G113)*((4-1)/(MaxLevel-1))^(2^F113)))</f>
        <v/>
      </c>
      <c r="L113" s="12" t="str">
        <f>IF(OR(D113="",E113=""),"",IF(IFERROR(INDEX(Stats!$D:$D,MATCH($C113,Stats!$A:$A,0)),FALSE),ROUND(D113+(E113-D113)*(1+G113)*((5-1)/(MaxLevel-1))^(2^F113),0),D113+(E113-D113)*(1+G113)*((5-1)/(MaxLevel-1))^(2^F113)))</f>
        <v/>
      </c>
      <c r="M113" s="12" t="str">
        <f>IF(OR(D113="",E113=""),"",IF(IFERROR(INDEX(Stats!$D:$D,MATCH($C113,Stats!$A:$A,0)),FALSE),ROUND(D113+(E113-D113)*(1+G113)*((6-1)/(MaxLevel-1))^(2^F113),0),D113+(E113-D113)*(1+G113)*((6-1)/(MaxLevel-1))^(2^F113)))</f>
        <v/>
      </c>
      <c r="N113" s="12" t="str">
        <f>IF(OR(D113="",E113=""),"",IF(IFERROR(INDEX(Stats!$D:$D,MATCH($C113,Stats!$A:$A,0)),FALSE),ROUND(D113+(E113-D113)*(1+G113)*((7-1)/(MaxLevel-1))^(2^F113),0),D113+(E113-D113)*(1+G113)*((7-1)/(MaxLevel-1))^(2^F113)))</f>
        <v/>
      </c>
      <c r="O113" s="12" t="str">
        <f>IF(OR(D113="",E113=""),"",IF(IFERROR(INDEX(Stats!$D:$D,MATCH($C113,Stats!$A:$A,0)),FALSE),ROUND(D113+(E113-D113)*(1+G113)*((8-1)/(MaxLevel-1))^(2^F113),0),D113+(E113-D113)*(1+G113)*((8-1)/(MaxLevel-1))^(2^F113)))</f>
        <v/>
      </c>
      <c r="P113" s="12" t="str">
        <f>IF(OR(D113="",E113=""),"",IF(IFERROR(INDEX(Stats!$D:$D,MATCH($C113,Stats!$A:$A,0)),FALSE),ROUND(D113+(E113-D113)*(1+G113)*((9-1)/(MaxLevel-1))^(2^F113),0),D113+(E113-D113)*(1+G113)*((9-1)/(MaxLevel-1))^(2^F113)))</f>
        <v/>
      </c>
      <c r="Q113" s="12" t="str">
        <f>IF(OR(D113="",E113=""),"",IF(IFERROR(INDEX(Stats!$D:$D,MATCH($C113,Stats!$A:$A,0)),FALSE),ROUND(D113+(E113-D113)*(1+G113)*((10-1)/(MaxLevel-1))^(2^F113),0),D113+(E113-D113)*(1+G113)*((10-1)/(MaxLevel-1))^(2^F113)))</f>
        <v/>
      </c>
    </row>
    <row r="114" spans="1:17" x14ac:dyDescent="0.25">
      <c r="A114" s="4" t="s">
        <v>185</v>
      </c>
      <c r="B114" s="4" t="s">
        <v>190</v>
      </c>
      <c r="C114" s="4" t="s">
        <v>58</v>
      </c>
      <c r="D114" s="5"/>
      <c r="E114" s="5"/>
      <c r="F114" s="5"/>
      <c r="G114" s="5"/>
      <c r="H114" s="12" t="str">
        <f>IF(OR(D114="",E114=""),"",IF(IFERROR(INDEX(Stats!$D:$D,MATCH($C114,Stats!$A:$A,0)),FALSE),ROUND(D114+(E114-D114)*(1+G114)*((1-1)/(MaxLevel-1))^(2^F114),0),D114+(E114-D114)*(1+G114)*((1-1)/(MaxLevel-1))^(2^F114)))</f>
        <v/>
      </c>
      <c r="I114" s="12" t="str">
        <f>IF(OR(D114="",E114=""),"",IF(IFERROR(INDEX(Stats!$D:$D,MATCH($C114,Stats!$A:$A,0)),FALSE),ROUND(D114+(E114-D114)*(1+G114)*((2-1)/(MaxLevel-1))^(2^F114),0),D114+(E114-D114)*(1+G114)*((2-1)/(MaxLevel-1))^(2^F114)))</f>
        <v/>
      </c>
      <c r="J114" s="12" t="str">
        <f>IF(OR(D114="",E114=""),"",IF(IFERROR(INDEX(Stats!$D:$D,MATCH($C114,Stats!$A:$A,0)),FALSE),ROUND(D114+(E114-D114)*(1+G114)*((3-1)/(MaxLevel-1))^(2^F114),0),D114+(E114-D114)*(1+G114)*((3-1)/(MaxLevel-1))^(2^F114)))</f>
        <v/>
      </c>
      <c r="K114" s="12" t="str">
        <f>IF(OR(D114="",E114=""),"",IF(IFERROR(INDEX(Stats!$D:$D,MATCH($C114,Stats!$A:$A,0)),FALSE),ROUND(D114+(E114-D114)*(1+G114)*((4-1)/(MaxLevel-1))^(2^F114),0),D114+(E114-D114)*(1+G114)*((4-1)/(MaxLevel-1))^(2^F114)))</f>
        <v/>
      </c>
      <c r="L114" s="12" t="str">
        <f>IF(OR(D114="",E114=""),"",IF(IFERROR(INDEX(Stats!$D:$D,MATCH($C114,Stats!$A:$A,0)),FALSE),ROUND(D114+(E114-D114)*(1+G114)*((5-1)/(MaxLevel-1))^(2^F114),0),D114+(E114-D114)*(1+G114)*((5-1)/(MaxLevel-1))^(2^F114)))</f>
        <v/>
      </c>
      <c r="M114" s="12" t="str">
        <f>IF(OR(D114="",E114=""),"",IF(IFERROR(INDEX(Stats!$D:$D,MATCH($C114,Stats!$A:$A,0)),FALSE),ROUND(D114+(E114-D114)*(1+G114)*((6-1)/(MaxLevel-1))^(2^F114),0),D114+(E114-D114)*(1+G114)*((6-1)/(MaxLevel-1))^(2^F114)))</f>
        <v/>
      </c>
      <c r="N114" s="12" t="str">
        <f>IF(OR(D114="",E114=""),"",IF(IFERROR(INDEX(Stats!$D:$D,MATCH($C114,Stats!$A:$A,0)),FALSE),ROUND(D114+(E114-D114)*(1+G114)*((7-1)/(MaxLevel-1))^(2^F114),0),D114+(E114-D114)*(1+G114)*((7-1)/(MaxLevel-1))^(2^F114)))</f>
        <v/>
      </c>
      <c r="O114" s="12" t="str">
        <f>IF(OR(D114="",E114=""),"",IF(IFERROR(INDEX(Stats!$D:$D,MATCH($C114,Stats!$A:$A,0)),FALSE),ROUND(D114+(E114-D114)*(1+G114)*((8-1)/(MaxLevel-1))^(2^F114),0),D114+(E114-D114)*(1+G114)*((8-1)/(MaxLevel-1))^(2^F114)))</f>
        <v/>
      </c>
      <c r="P114" s="12" t="str">
        <f>IF(OR(D114="",E114=""),"",IF(IFERROR(INDEX(Stats!$D:$D,MATCH($C114,Stats!$A:$A,0)),FALSE),ROUND(D114+(E114-D114)*(1+G114)*((9-1)/(MaxLevel-1))^(2^F114),0),D114+(E114-D114)*(1+G114)*((9-1)/(MaxLevel-1))^(2^F114)))</f>
        <v/>
      </c>
      <c r="Q114" s="12" t="str">
        <f>IF(OR(D114="",E114=""),"",IF(IFERROR(INDEX(Stats!$D:$D,MATCH($C114,Stats!$A:$A,0)),FALSE),ROUND(D114+(E114-D114)*(1+G114)*((10-1)/(MaxLevel-1))^(2^F114),0),D114+(E114-D114)*(1+G114)*((10-1)/(MaxLevel-1))^(2^F114)))</f>
        <v/>
      </c>
    </row>
    <row r="115" spans="1:17" x14ac:dyDescent="0.25">
      <c r="A115" s="4" t="s">
        <v>185</v>
      </c>
      <c r="B115" s="4" t="s">
        <v>190</v>
      </c>
      <c r="C115" s="4" t="s">
        <v>60</v>
      </c>
      <c r="D115" s="5"/>
      <c r="E115" s="5"/>
      <c r="F115" s="5"/>
      <c r="G115" s="5"/>
      <c r="H115" s="12" t="str">
        <f>IF(OR(D115="",E115=""),"",IF(IFERROR(INDEX(Stats!$D:$D,MATCH($C115,Stats!$A:$A,0)),FALSE),ROUND(D115+(E115-D115)*(1+G115)*((1-1)/(MaxLevel-1))^(2^F115),0),D115+(E115-D115)*(1+G115)*((1-1)/(MaxLevel-1))^(2^F115)))</f>
        <v/>
      </c>
      <c r="I115" s="12" t="str">
        <f>IF(OR(D115="",E115=""),"",IF(IFERROR(INDEX(Stats!$D:$D,MATCH($C115,Stats!$A:$A,0)),FALSE),ROUND(D115+(E115-D115)*(1+G115)*((2-1)/(MaxLevel-1))^(2^F115),0),D115+(E115-D115)*(1+G115)*((2-1)/(MaxLevel-1))^(2^F115)))</f>
        <v/>
      </c>
      <c r="J115" s="12" t="str">
        <f>IF(OR(D115="",E115=""),"",IF(IFERROR(INDEX(Stats!$D:$D,MATCH($C115,Stats!$A:$A,0)),FALSE),ROUND(D115+(E115-D115)*(1+G115)*((3-1)/(MaxLevel-1))^(2^F115),0),D115+(E115-D115)*(1+G115)*((3-1)/(MaxLevel-1))^(2^F115)))</f>
        <v/>
      </c>
      <c r="K115" s="12" t="str">
        <f>IF(OR(D115="",E115=""),"",IF(IFERROR(INDEX(Stats!$D:$D,MATCH($C115,Stats!$A:$A,0)),FALSE),ROUND(D115+(E115-D115)*(1+G115)*((4-1)/(MaxLevel-1))^(2^F115),0),D115+(E115-D115)*(1+G115)*((4-1)/(MaxLevel-1))^(2^F115)))</f>
        <v/>
      </c>
      <c r="L115" s="12" t="str">
        <f>IF(OR(D115="",E115=""),"",IF(IFERROR(INDEX(Stats!$D:$D,MATCH($C115,Stats!$A:$A,0)),FALSE),ROUND(D115+(E115-D115)*(1+G115)*((5-1)/(MaxLevel-1))^(2^F115),0),D115+(E115-D115)*(1+G115)*((5-1)/(MaxLevel-1))^(2^F115)))</f>
        <v/>
      </c>
      <c r="M115" s="12" t="str">
        <f>IF(OR(D115="",E115=""),"",IF(IFERROR(INDEX(Stats!$D:$D,MATCH($C115,Stats!$A:$A,0)),FALSE),ROUND(D115+(E115-D115)*(1+G115)*((6-1)/(MaxLevel-1))^(2^F115),0),D115+(E115-D115)*(1+G115)*((6-1)/(MaxLevel-1))^(2^F115)))</f>
        <v/>
      </c>
      <c r="N115" s="12" t="str">
        <f>IF(OR(D115="",E115=""),"",IF(IFERROR(INDEX(Stats!$D:$D,MATCH($C115,Stats!$A:$A,0)),FALSE),ROUND(D115+(E115-D115)*(1+G115)*((7-1)/(MaxLevel-1))^(2^F115),0),D115+(E115-D115)*(1+G115)*((7-1)/(MaxLevel-1))^(2^F115)))</f>
        <v/>
      </c>
      <c r="O115" s="12" t="str">
        <f>IF(OR(D115="",E115=""),"",IF(IFERROR(INDEX(Stats!$D:$D,MATCH($C115,Stats!$A:$A,0)),FALSE),ROUND(D115+(E115-D115)*(1+G115)*((8-1)/(MaxLevel-1))^(2^F115),0),D115+(E115-D115)*(1+G115)*((8-1)/(MaxLevel-1))^(2^F115)))</f>
        <v/>
      </c>
      <c r="P115" s="12" t="str">
        <f>IF(OR(D115="",E115=""),"",IF(IFERROR(INDEX(Stats!$D:$D,MATCH($C115,Stats!$A:$A,0)),FALSE),ROUND(D115+(E115-D115)*(1+G115)*((9-1)/(MaxLevel-1))^(2^F115),0),D115+(E115-D115)*(1+G115)*((9-1)/(MaxLevel-1))^(2^F115)))</f>
        <v/>
      </c>
      <c r="Q115" s="12" t="str">
        <f>IF(OR(D115="",E115=""),"",IF(IFERROR(INDEX(Stats!$D:$D,MATCH($C115,Stats!$A:$A,0)),FALSE),ROUND(D115+(E115-D115)*(1+G115)*((10-1)/(MaxLevel-1))^(2^F115),0),D115+(E115-D115)*(1+G115)*((10-1)/(MaxLevel-1))^(2^F115)))</f>
        <v/>
      </c>
    </row>
    <row r="116" spans="1:17" x14ac:dyDescent="0.25">
      <c r="A116" s="4" t="s">
        <v>185</v>
      </c>
      <c r="B116" s="19" t="s">
        <v>222</v>
      </c>
      <c r="C116" s="4" t="s">
        <v>24</v>
      </c>
      <c r="D116" s="5">
        <v>0</v>
      </c>
      <c r="E116" s="5">
        <v>10000</v>
      </c>
      <c r="F116" s="5">
        <v>1</v>
      </c>
      <c r="G116" s="5">
        <v>0</v>
      </c>
      <c r="H116" s="12">
        <f>IF(OR(D116="",E116=""),"",IF(IFERROR(INDEX(Stats!$D:$D,MATCH($C116,Stats!$A:$A,0)),FALSE),ROUND(D116+(E116-D116)*(1+G116)*((1-1)/(MaxLevel-1))^(2^F116),0),D116+(E116-D116)*(1+G116)*((1-1)/(MaxLevel-1))^(2^F116)))</f>
        <v>0</v>
      </c>
      <c r="I116" s="12">
        <f>IF(OR(D116="",E116=""),"",IF(IFERROR(INDEX(Stats!$D:$D,MATCH($C116,Stats!$A:$A,0)),FALSE),ROUND(D116+(E116-D116)*(1+G116)*((2-1)/(MaxLevel-1))^(2^F116),0),D116+(E116-D116)*(1+G116)*((2-1)/(MaxLevel-1))^(2^F116)))</f>
        <v>123</v>
      </c>
      <c r="J116" s="12">
        <f>IF(OR(D116="",E116=""),"",IF(IFERROR(INDEX(Stats!$D:$D,MATCH($C116,Stats!$A:$A,0)),FALSE),ROUND(D116+(E116-D116)*(1+G116)*((3-1)/(MaxLevel-1))^(2^F116),0),D116+(E116-D116)*(1+G116)*((3-1)/(MaxLevel-1))^(2^F116)))</f>
        <v>494</v>
      </c>
      <c r="K116" s="12">
        <f>IF(OR(D116="",E116=""),"",IF(IFERROR(INDEX(Stats!$D:$D,MATCH($C116,Stats!$A:$A,0)),FALSE),ROUND(D116+(E116-D116)*(1+G116)*((4-1)/(MaxLevel-1))^(2^F116),0),D116+(E116-D116)*(1+G116)*((4-1)/(MaxLevel-1))^(2^F116)))</f>
        <v>1111</v>
      </c>
      <c r="L116" s="12">
        <f>IF(OR(D116="",E116=""),"",IF(IFERROR(INDEX(Stats!$D:$D,MATCH($C116,Stats!$A:$A,0)),FALSE),ROUND(D116+(E116-D116)*(1+G116)*((5-1)/(MaxLevel-1))^(2^F116),0),D116+(E116-D116)*(1+G116)*((5-1)/(MaxLevel-1))^(2^F116)))</f>
        <v>1975</v>
      </c>
      <c r="M116" s="12">
        <f>IF(OR(D116="",E116=""),"",IF(IFERROR(INDEX(Stats!$D:$D,MATCH($C116,Stats!$A:$A,0)),FALSE),ROUND(D116+(E116-D116)*(1+G116)*((6-1)/(MaxLevel-1))^(2^F116),0),D116+(E116-D116)*(1+G116)*((6-1)/(MaxLevel-1))^(2^F116)))</f>
        <v>3086</v>
      </c>
      <c r="N116" s="12">
        <f>IF(OR(D116="",E116=""),"",IF(IFERROR(INDEX(Stats!$D:$D,MATCH($C116,Stats!$A:$A,0)),FALSE),ROUND(D116+(E116-D116)*(1+G116)*((7-1)/(MaxLevel-1))^(2^F116),0),D116+(E116-D116)*(1+G116)*((7-1)/(MaxLevel-1))^(2^F116)))</f>
        <v>4444</v>
      </c>
      <c r="O116" s="12">
        <f>IF(OR(D116="",E116=""),"",IF(IFERROR(INDEX(Stats!$D:$D,MATCH($C116,Stats!$A:$A,0)),FALSE),ROUND(D116+(E116-D116)*(1+G116)*((8-1)/(MaxLevel-1))^(2^F116),0),D116+(E116-D116)*(1+G116)*((8-1)/(MaxLevel-1))^(2^F116)))</f>
        <v>6049</v>
      </c>
      <c r="P116" s="12">
        <f>IF(OR(D116="",E116=""),"",IF(IFERROR(INDEX(Stats!$D:$D,MATCH($C116,Stats!$A:$A,0)),FALSE),ROUND(D116+(E116-D116)*(1+G116)*((9-1)/(MaxLevel-1))^(2^F116),0),D116+(E116-D116)*(1+G116)*((9-1)/(MaxLevel-1))^(2^F116)))</f>
        <v>7901</v>
      </c>
      <c r="Q116" s="12">
        <f>IF(OR(D116="",E116=""),"",IF(IFERROR(INDEX(Stats!$D:$D,MATCH($C116,Stats!$A:$A,0)),FALSE),ROUND(D116+(E116-D116)*(1+G116)*((10-1)/(MaxLevel-1))^(2^F116),0),D116+(E116-D116)*(1+G116)*((10-1)/(MaxLevel-1))^(2^F116)))</f>
        <v>10000</v>
      </c>
    </row>
    <row r="117" spans="1:17" x14ac:dyDescent="0.25">
      <c r="A117" s="4" t="s">
        <v>185</v>
      </c>
      <c r="B117" s="19" t="s">
        <v>222</v>
      </c>
      <c r="C117" s="4" t="s">
        <v>26</v>
      </c>
      <c r="D117" s="5">
        <v>25</v>
      </c>
      <c r="E117" s="5">
        <v>150</v>
      </c>
      <c r="F117" s="5">
        <v>0</v>
      </c>
      <c r="G117" s="5">
        <v>0</v>
      </c>
      <c r="H117" s="12">
        <f>IF(OR(D117="",E117=""),"",IF(IFERROR(INDEX(Stats!$D:$D,MATCH($C117,Stats!$A:$A,0)),FALSE),ROUND(D117+(E117-D117)*(1+G117)*((1-1)/(MaxLevel-1))^(2^F117),0),D117+(E117-D117)*(1+G117)*((1-1)/(MaxLevel-1))^(2^F117)))</f>
        <v>25</v>
      </c>
      <c r="I117" s="12">
        <f>IF(OR(D117="",E117=""),"",IF(IFERROR(INDEX(Stats!$D:$D,MATCH($C117,Stats!$A:$A,0)),FALSE),ROUND(D117+(E117-D117)*(1+G117)*((2-1)/(MaxLevel-1))^(2^F117),0),D117+(E117-D117)*(1+G117)*((2-1)/(MaxLevel-1))^(2^F117)))</f>
        <v>39</v>
      </c>
      <c r="J117" s="12">
        <f>IF(OR(D117="",E117=""),"",IF(IFERROR(INDEX(Stats!$D:$D,MATCH($C117,Stats!$A:$A,0)),FALSE),ROUND(D117+(E117-D117)*(1+G117)*((3-1)/(MaxLevel-1))^(2^F117),0),D117+(E117-D117)*(1+G117)*((3-1)/(MaxLevel-1))^(2^F117)))</f>
        <v>53</v>
      </c>
      <c r="K117" s="12">
        <f>IF(OR(D117="",E117=""),"",IF(IFERROR(INDEX(Stats!$D:$D,MATCH($C117,Stats!$A:$A,0)),FALSE),ROUND(D117+(E117-D117)*(1+G117)*((4-1)/(MaxLevel-1))^(2^F117),0),D117+(E117-D117)*(1+G117)*((4-1)/(MaxLevel-1))^(2^F117)))</f>
        <v>67</v>
      </c>
      <c r="L117" s="12">
        <f>IF(OR(D117="",E117=""),"",IF(IFERROR(INDEX(Stats!$D:$D,MATCH($C117,Stats!$A:$A,0)),FALSE),ROUND(D117+(E117-D117)*(1+G117)*((5-1)/(MaxLevel-1))^(2^F117),0),D117+(E117-D117)*(1+G117)*((5-1)/(MaxLevel-1))^(2^F117)))</f>
        <v>81</v>
      </c>
      <c r="M117" s="12">
        <f>IF(OR(D117="",E117=""),"",IF(IFERROR(INDEX(Stats!$D:$D,MATCH($C117,Stats!$A:$A,0)),FALSE),ROUND(D117+(E117-D117)*(1+G117)*((6-1)/(MaxLevel-1))^(2^F117),0),D117+(E117-D117)*(1+G117)*((6-1)/(MaxLevel-1))^(2^F117)))</f>
        <v>94</v>
      </c>
      <c r="N117" s="12">
        <f>IF(OR(D117="",E117=""),"",IF(IFERROR(INDEX(Stats!$D:$D,MATCH($C117,Stats!$A:$A,0)),FALSE),ROUND(D117+(E117-D117)*(1+G117)*((7-1)/(MaxLevel-1))^(2^F117),0),D117+(E117-D117)*(1+G117)*((7-1)/(MaxLevel-1))^(2^F117)))</f>
        <v>108</v>
      </c>
      <c r="O117" s="12">
        <f>IF(OR(D117="",E117=""),"",IF(IFERROR(INDEX(Stats!$D:$D,MATCH($C117,Stats!$A:$A,0)),FALSE),ROUND(D117+(E117-D117)*(1+G117)*((8-1)/(MaxLevel-1))^(2^F117),0),D117+(E117-D117)*(1+G117)*((8-1)/(MaxLevel-1))^(2^F117)))</f>
        <v>122</v>
      </c>
      <c r="P117" s="12">
        <f>IF(OR(D117="",E117=""),"",IF(IFERROR(INDEX(Stats!$D:$D,MATCH($C117,Stats!$A:$A,0)),FALSE),ROUND(D117+(E117-D117)*(1+G117)*((9-1)/(MaxLevel-1))^(2^F117),0),D117+(E117-D117)*(1+G117)*((9-1)/(MaxLevel-1))^(2^F117)))</f>
        <v>136</v>
      </c>
      <c r="Q117" s="12">
        <f>IF(OR(D117="",E117=""),"",IF(IFERROR(INDEX(Stats!$D:$D,MATCH($C117,Stats!$A:$A,0)),FALSE),ROUND(D117+(E117-D117)*(1+G117)*((10-1)/(MaxLevel-1))^(2^F117),0),D117+(E117-D117)*(1+G117)*((10-1)/(MaxLevel-1))^(2^F117)))</f>
        <v>150</v>
      </c>
    </row>
    <row r="118" spans="1:17" x14ac:dyDescent="0.25">
      <c r="A118" s="4" t="s">
        <v>185</v>
      </c>
      <c r="B118" s="19" t="s">
        <v>222</v>
      </c>
      <c r="C118" s="4" t="s">
        <v>28</v>
      </c>
      <c r="D118" s="5">
        <v>300</v>
      </c>
      <c r="E118" s="5">
        <v>1200</v>
      </c>
      <c r="F118" s="5">
        <v>0</v>
      </c>
      <c r="G118" s="5">
        <v>-0.1</v>
      </c>
      <c r="H118" s="12">
        <f>IF(OR(D118="",E118=""),"",IF(IFERROR(INDEX(Stats!$D:$D,MATCH($C118,Stats!$A:$A,0)),FALSE),ROUND(D118+(E118-D118)*(1+G118)*((1-1)/(MaxLevel-1))^(2^F118),0),D118+(E118-D118)*(1+G118)*((1-1)/(MaxLevel-1))^(2^F118)))</f>
        <v>300</v>
      </c>
      <c r="I118" s="12">
        <f>IF(OR(D118="",E118=""),"",IF(IFERROR(INDEX(Stats!$D:$D,MATCH($C118,Stats!$A:$A,0)),FALSE),ROUND(D118+(E118-D118)*(1+G118)*((2-1)/(MaxLevel-1))^(2^F118),0),D118+(E118-D118)*(1+G118)*((2-1)/(MaxLevel-1))^(2^F118)))</f>
        <v>390</v>
      </c>
      <c r="J118" s="12">
        <f>IF(OR(D118="",E118=""),"",IF(IFERROR(INDEX(Stats!$D:$D,MATCH($C118,Stats!$A:$A,0)),FALSE),ROUND(D118+(E118-D118)*(1+G118)*((3-1)/(MaxLevel-1))^(2^F118),0),D118+(E118-D118)*(1+G118)*((3-1)/(MaxLevel-1))^(2^F118)))</f>
        <v>480</v>
      </c>
      <c r="K118" s="12">
        <f>IF(OR(D118="",E118=""),"",IF(IFERROR(INDEX(Stats!$D:$D,MATCH($C118,Stats!$A:$A,0)),FALSE),ROUND(D118+(E118-D118)*(1+G118)*((4-1)/(MaxLevel-1))^(2^F118),0),D118+(E118-D118)*(1+G118)*((4-1)/(MaxLevel-1))^(2^F118)))</f>
        <v>570</v>
      </c>
      <c r="L118" s="12">
        <f>IF(OR(D118="",E118=""),"",IF(IFERROR(INDEX(Stats!$D:$D,MATCH($C118,Stats!$A:$A,0)),FALSE),ROUND(D118+(E118-D118)*(1+G118)*((5-1)/(MaxLevel-1))^(2^F118),0),D118+(E118-D118)*(1+G118)*((5-1)/(MaxLevel-1))^(2^F118)))</f>
        <v>660</v>
      </c>
      <c r="M118" s="12">
        <f>IF(OR(D118="",E118=""),"",IF(IFERROR(INDEX(Stats!$D:$D,MATCH($C118,Stats!$A:$A,0)),FALSE),ROUND(D118+(E118-D118)*(1+G118)*((6-1)/(MaxLevel-1))^(2^F118),0),D118+(E118-D118)*(1+G118)*((6-1)/(MaxLevel-1))^(2^F118)))</f>
        <v>750</v>
      </c>
      <c r="N118" s="12">
        <f>IF(OR(D118="",E118=""),"",IF(IFERROR(INDEX(Stats!$D:$D,MATCH($C118,Stats!$A:$A,0)),FALSE),ROUND(D118+(E118-D118)*(1+G118)*((7-1)/(MaxLevel-1))^(2^F118),0),D118+(E118-D118)*(1+G118)*((7-1)/(MaxLevel-1))^(2^F118)))</f>
        <v>840</v>
      </c>
      <c r="O118" s="12">
        <f>IF(OR(D118="",E118=""),"",IF(IFERROR(INDEX(Stats!$D:$D,MATCH($C118,Stats!$A:$A,0)),FALSE),ROUND(D118+(E118-D118)*(1+G118)*((8-1)/(MaxLevel-1))^(2^F118),0),D118+(E118-D118)*(1+G118)*((8-1)/(MaxLevel-1))^(2^F118)))</f>
        <v>930</v>
      </c>
      <c r="P118" s="12">
        <f>IF(OR(D118="",E118=""),"",IF(IFERROR(INDEX(Stats!$D:$D,MATCH($C118,Stats!$A:$A,0)),FALSE),ROUND(D118+(E118-D118)*(1+G118)*((9-1)/(MaxLevel-1))^(2^F118),0),D118+(E118-D118)*(1+G118)*((9-1)/(MaxLevel-1))^(2^F118)))</f>
        <v>1020</v>
      </c>
      <c r="Q118" s="12">
        <f>IF(OR(D118="",E118=""),"",IF(IFERROR(INDEX(Stats!$D:$D,MATCH($C118,Stats!$A:$A,0)),FALSE),ROUND(D118+(E118-D118)*(1+G118)*((10-1)/(MaxLevel-1))^(2^F118),0),D118+(E118-D118)*(1+G118)*((10-1)/(MaxLevel-1))^(2^F118)))</f>
        <v>1110</v>
      </c>
    </row>
    <row r="119" spans="1:17" x14ac:dyDescent="0.25">
      <c r="A119" s="4" t="s">
        <v>185</v>
      </c>
      <c r="B119" s="19" t="s">
        <v>222</v>
      </c>
      <c r="C119" s="4" t="s">
        <v>30</v>
      </c>
      <c r="D119" s="5">
        <v>25</v>
      </c>
      <c r="E119" s="5">
        <v>110</v>
      </c>
      <c r="F119" s="5">
        <v>0.5</v>
      </c>
      <c r="G119" s="5">
        <v>0</v>
      </c>
      <c r="H119" s="12">
        <f>IF(OR(D119="",E119=""),"",IF(IFERROR(INDEX(Stats!$D:$D,MATCH($C119,Stats!$A:$A,0)),FALSE),ROUND(D119+(E119-D119)*(1+G119)*((1-1)/(MaxLevel-1))^(2^F119),0),D119+(E119-D119)*(1+G119)*((1-1)/(MaxLevel-1))^(2^F119)))</f>
        <v>25</v>
      </c>
      <c r="I119" s="12">
        <f>IF(OR(D119="",E119=""),"",IF(IFERROR(INDEX(Stats!$D:$D,MATCH($C119,Stats!$A:$A,0)),FALSE),ROUND(D119+(E119-D119)*(1+G119)*((2-1)/(MaxLevel-1))^(2^F119),0),D119+(E119-D119)*(1+G119)*((2-1)/(MaxLevel-1))^(2^F119)))</f>
        <v>29</v>
      </c>
      <c r="J119" s="12">
        <f>IF(OR(D119="",E119=""),"",IF(IFERROR(INDEX(Stats!$D:$D,MATCH($C119,Stats!$A:$A,0)),FALSE),ROUND(D119+(E119-D119)*(1+G119)*((3-1)/(MaxLevel-1))^(2^F119),0),D119+(E119-D119)*(1+G119)*((3-1)/(MaxLevel-1))^(2^F119)))</f>
        <v>35</v>
      </c>
      <c r="K119" s="12">
        <f>IF(OR(D119="",E119=""),"",IF(IFERROR(INDEX(Stats!$D:$D,MATCH($C119,Stats!$A:$A,0)),FALSE),ROUND(D119+(E119-D119)*(1+G119)*((4-1)/(MaxLevel-1))^(2^F119),0),D119+(E119-D119)*(1+G119)*((4-1)/(MaxLevel-1))^(2^F119)))</f>
        <v>43</v>
      </c>
      <c r="L119" s="12">
        <f>IF(OR(D119="",E119=""),"",IF(IFERROR(INDEX(Stats!$D:$D,MATCH($C119,Stats!$A:$A,0)),FALSE),ROUND(D119+(E119-D119)*(1+G119)*((5-1)/(MaxLevel-1))^(2^F119),0),D119+(E119-D119)*(1+G119)*((5-1)/(MaxLevel-1))^(2^F119)))</f>
        <v>52</v>
      </c>
      <c r="M119" s="12">
        <f>IF(OR(D119="",E119=""),"",IF(IFERROR(INDEX(Stats!$D:$D,MATCH($C119,Stats!$A:$A,0)),FALSE),ROUND(D119+(E119-D119)*(1+G119)*((6-1)/(MaxLevel-1))^(2^F119),0),D119+(E119-D119)*(1+G119)*((6-1)/(MaxLevel-1))^(2^F119)))</f>
        <v>62</v>
      </c>
      <c r="N119" s="12">
        <f>IF(OR(D119="",E119=""),"",IF(IFERROR(INDEX(Stats!$D:$D,MATCH($C119,Stats!$A:$A,0)),FALSE),ROUND(D119+(E119-D119)*(1+G119)*((7-1)/(MaxLevel-1))^(2^F119),0),D119+(E119-D119)*(1+G119)*((7-1)/(MaxLevel-1))^(2^F119)))</f>
        <v>73</v>
      </c>
      <c r="O119" s="12">
        <f>IF(OR(D119="",E119=""),"",IF(IFERROR(INDEX(Stats!$D:$D,MATCH($C119,Stats!$A:$A,0)),FALSE),ROUND(D119+(E119-D119)*(1+G119)*((8-1)/(MaxLevel-1))^(2^F119),0),D119+(E119-D119)*(1+G119)*((8-1)/(MaxLevel-1))^(2^F119)))</f>
        <v>85</v>
      </c>
      <c r="P119" s="12">
        <f>IF(OR(D119="",E119=""),"",IF(IFERROR(INDEX(Stats!$D:$D,MATCH($C119,Stats!$A:$A,0)),FALSE),ROUND(D119+(E119-D119)*(1+G119)*((9-1)/(MaxLevel-1))^(2^F119),0),D119+(E119-D119)*(1+G119)*((9-1)/(MaxLevel-1))^(2^F119)))</f>
        <v>97</v>
      </c>
      <c r="Q119" s="12">
        <f>IF(OR(D119="",E119=""),"",IF(IFERROR(INDEX(Stats!$D:$D,MATCH($C119,Stats!$A:$A,0)),FALSE),ROUND(D119+(E119-D119)*(1+G119)*((10-1)/(MaxLevel-1))^(2^F119),0),D119+(E119-D119)*(1+G119)*((10-1)/(MaxLevel-1))^(2^F119)))</f>
        <v>110</v>
      </c>
    </row>
    <row r="120" spans="1:17" x14ac:dyDescent="0.25">
      <c r="A120" s="4" t="s">
        <v>185</v>
      </c>
      <c r="B120" s="19" t="s">
        <v>222</v>
      </c>
      <c r="C120" s="4" t="s">
        <v>32</v>
      </c>
      <c r="D120" s="5"/>
      <c r="E120" s="5"/>
      <c r="F120" s="5"/>
      <c r="G120" s="5"/>
      <c r="H120" s="12" t="str">
        <f>IF(OR(D120="",E120=""),"",IF(IFERROR(INDEX(Stats!$D:$D,MATCH($C120,Stats!$A:$A,0)),FALSE),ROUND(D120+(E120-D120)*(1+G120)*((1-1)/(MaxLevel-1))^(2^F120),0),D120+(E120-D120)*(1+G120)*((1-1)/(MaxLevel-1))^(2^F120)))</f>
        <v/>
      </c>
      <c r="I120" s="12" t="str">
        <f>IF(OR(D120="",E120=""),"",IF(IFERROR(INDEX(Stats!$D:$D,MATCH($C120,Stats!$A:$A,0)),FALSE),ROUND(D120+(E120-D120)*(1+G120)*((2-1)/(MaxLevel-1))^(2^F120),0),D120+(E120-D120)*(1+G120)*((2-1)/(MaxLevel-1))^(2^F120)))</f>
        <v/>
      </c>
      <c r="J120" s="12" t="str">
        <f>IF(OR(D120="",E120=""),"",IF(IFERROR(INDEX(Stats!$D:$D,MATCH($C120,Stats!$A:$A,0)),FALSE),ROUND(D120+(E120-D120)*(1+G120)*((3-1)/(MaxLevel-1))^(2^F120),0),D120+(E120-D120)*(1+G120)*((3-1)/(MaxLevel-1))^(2^F120)))</f>
        <v/>
      </c>
      <c r="K120" s="12" t="str">
        <f>IF(OR(D120="",E120=""),"",IF(IFERROR(INDEX(Stats!$D:$D,MATCH($C120,Stats!$A:$A,0)),FALSE),ROUND(D120+(E120-D120)*(1+G120)*((4-1)/(MaxLevel-1))^(2^F120),0),D120+(E120-D120)*(1+G120)*((4-1)/(MaxLevel-1))^(2^F120)))</f>
        <v/>
      </c>
      <c r="L120" s="12" t="str">
        <f>IF(OR(D120="",E120=""),"",IF(IFERROR(INDEX(Stats!$D:$D,MATCH($C120,Stats!$A:$A,0)),FALSE),ROUND(D120+(E120-D120)*(1+G120)*((5-1)/(MaxLevel-1))^(2^F120),0),D120+(E120-D120)*(1+G120)*((5-1)/(MaxLevel-1))^(2^F120)))</f>
        <v/>
      </c>
      <c r="M120" s="12" t="str">
        <f>IF(OR(D120="",E120=""),"",IF(IFERROR(INDEX(Stats!$D:$D,MATCH($C120,Stats!$A:$A,0)),FALSE),ROUND(D120+(E120-D120)*(1+G120)*((6-1)/(MaxLevel-1))^(2^F120),0),D120+(E120-D120)*(1+G120)*((6-1)/(MaxLevel-1))^(2^F120)))</f>
        <v/>
      </c>
      <c r="N120" s="12" t="str">
        <f>IF(OR(D120="",E120=""),"",IF(IFERROR(INDEX(Stats!$D:$D,MATCH($C120,Stats!$A:$A,0)),FALSE),ROUND(D120+(E120-D120)*(1+G120)*((7-1)/(MaxLevel-1))^(2^F120),0),D120+(E120-D120)*(1+G120)*((7-1)/(MaxLevel-1))^(2^F120)))</f>
        <v/>
      </c>
      <c r="O120" s="12" t="str">
        <f>IF(OR(D120="",E120=""),"",IF(IFERROR(INDEX(Stats!$D:$D,MATCH($C120,Stats!$A:$A,0)),FALSE),ROUND(D120+(E120-D120)*(1+G120)*((8-1)/(MaxLevel-1))^(2^F120),0),D120+(E120-D120)*(1+G120)*((8-1)/(MaxLevel-1))^(2^F120)))</f>
        <v/>
      </c>
      <c r="P120" s="12" t="str">
        <f>IF(OR(D120="",E120=""),"",IF(IFERROR(INDEX(Stats!$D:$D,MATCH($C120,Stats!$A:$A,0)),FALSE),ROUND(D120+(E120-D120)*(1+G120)*((9-1)/(MaxLevel-1))^(2^F120),0),D120+(E120-D120)*(1+G120)*((9-1)/(MaxLevel-1))^(2^F120)))</f>
        <v/>
      </c>
      <c r="Q120" s="12" t="str">
        <f>IF(OR(D120="",E120=""),"",IF(IFERROR(INDEX(Stats!$D:$D,MATCH($C120,Stats!$A:$A,0)),FALSE),ROUND(D120+(E120-D120)*(1+G120)*((10-1)/(MaxLevel-1))^(2^F120),0),D120+(E120-D120)*(1+G120)*((10-1)/(MaxLevel-1))^(2^F120)))</f>
        <v/>
      </c>
    </row>
    <row r="121" spans="1:17" x14ac:dyDescent="0.25">
      <c r="A121" s="4" t="s">
        <v>185</v>
      </c>
      <c r="B121" s="19" t="s">
        <v>222</v>
      </c>
      <c r="C121" s="4" t="s">
        <v>34</v>
      </c>
      <c r="D121" s="5"/>
      <c r="E121" s="5"/>
      <c r="F121" s="5"/>
      <c r="G121" s="5"/>
      <c r="H121" s="12" t="str">
        <f>IF(OR(D121="",E121=""),"",IF(IFERROR(INDEX(Stats!$D:$D,MATCH($C121,Stats!$A:$A,0)),FALSE),ROUND(D121+(E121-D121)*(1+G121)*((1-1)/(MaxLevel-1))^(2^F121),0),D121+(E121-D121)*(1+G121)*((1-1)/(MaxLevel-1))^(2^F121)))</f>
        <v/>
      </c>
      <c r="I121" s="12" t="str">
        <f>IF(OR(D121="",E121=""),"",IF(IFERROR(INDEX(Stats!$D:$D,MATCH($C121,Stats!$A:$A,0)),FALSE),ROUND(D121+(E121-D121)*(1+G121)*((2-1)/(MaxLevel-1))^(2^F121),0),D121+(E121-D121)*(1+G121)*((2-1)/(MaxLevel-1))^(2^F121)))</f>
        <v/>
      </c>
      <c r="J121" s="12" t="str">
        <f>IF(OR(D121="",E121=""),"",IF(IFERROR(INDEX(Stats!$D:$D,MATCH($C121,Stats!$A:$A,0)),FALSE),ROUND(D121+(E121-D121)*(1+G121)*((3-1)/(MaxLevel-1))^(2^F121),0),D121+(E121-D121)*(1+G121)*((3-1)/(MaxLevel-1))^(2^F121)))</f>
        <v/>
      </c>
      <c r="K121" s="12" t="str">
        <f>IF(OR(D121="",E121=""),"",IF(IFERROR(INDEX(Stats!$D:$D,MATCH($C121,Stats!$A:$A,0)),FALSE),ROUND(D121+(E121-D121)*(1+G121)*((4-1)/(MaxLevel-1))^(2^F121),0),D121+(E121-D121)*(1+G121)*((4-1)/(MaxLevel-1))^(2^F121)))</f>
        <v/>
      </c>
      <c r="L121" s="12" t="str">
        <f>IF(OR(D121="",E121=""),"",IF(IFERROR(INDEX(Stats!$D:$D,MATCH($C121,Stats!$A:$A,0)),FALSE),ROUND(D121+(E121-D121)*(1+G121)*((5-1)/(MaxLevel-1))^(2^F121),0),D121+(E121-D121)*(1+G121)*((5-1)/(MaxLevel-1))^(2^F121)))</f>
        <v/>
      </c>
      <c r="M121" s="12" t="str">
        <f>IF(OR(D121="",E121=""),"",IF(IFERROR(INDEX(Stats!$D:$D,MATCH($C121,Stats!$A:$A,0)),FALSE),ROUND(D121+(E121-D121)*(1+G121)*((6-1)/(MaxLevel-1))^(2^F121),0),D121+(E121-D121)*(1+G121)*((6-1)/(MaxLevel-1))^(2^F121)))</f>
        <v/>
      </c>
      <c r="N121" s="12" t="str">
        <f>IF(OR(D121="",E121=""),"",IF(IFERROR(INDEX(Stats!$D:$D,MATCH($C121,Stats!$A:$A,0)),FALSE),ROUND(D121+(E121-D121)*(1+G121)*((7-1)/(MaxLevel-1))^(2^F121),0),D121+(E121-D121)*(1+G121)*((7-1)/(MaxLevel-1))^(2^F121)))</f>
        <v/>
      </c>
      <c r="O121" s="12" t="str">
        <f>IF(OR(D121="",E121=""),"",IF(IFERROR(INDEX(Stats!$D:$D,MATCH($C121,Stats!$A:$A,0)),FALSE),ROUND(D121+(E121-D121)*(1+G121)*((8-1)/(MaxLevel-1))^(2^F121),0),D121+(E121-D121)*(1+G121)*((8-1)/(MaxLevel-1))^(2^F121)))</f>
        <v/>
      </c>
      <c r="P121" s="12" t="str">
        <f>IF(OR(D121="",E121=""),"",IF(IFERROR(INDEX(Stats!$D:$D,MATCH($C121,Stats!$A:$A,0)),FALSE),ROUND(D121+(E121-D121)*(1+G121)*((9-1)/(MaxLevel-1))^(2^F121),0),D121+(E121-D121)*(1+G121)*((9-1)/(MaxLevel-1))^(2^F121)))</f>
        <v/>
      </c>
      <c r="Q121" s="12" t="str">
        <f>IF(OR(D121="",E121=""),"",IF(IFERROR(INDEX(Stats!$D:$D,MATCH($C121,Stats!$A:$A,0)),FALSE),ROUND(D121+(E121-D121)*(1+G121)*((10-1)/(MaxLevel-1))^(2^F121),0),D121+(E121-D121)*(1+G121)*((10-1)/(MaxLevel-1))^(2^F121)))</f>
        <v/>
      </c>
    </row>
    <row r="122" spans="1:17" x14ac:dyDescent="0.25">
      <c r="A122" s="4" t="s">
        <v>185</v>
      </c>
      <c r="B122" s="19" t="s">
        <v>222</v>
      </c>
      <c r="C122" s="4" t="s">
        <v>36</v>
      </c>
      <c r="D122" s="5"/>
      <c r="E122" s="5"/>
      <c r="F122" s="5"/>
      <c r="G122" s="5"/>
      <c r="H122" s="12" t="str">
        <f>IF(OR(D122="",E122=""),"",IF(IFERROR(INDEX(Stats!$D:$D,MATCH($C122,Stats!$A:$A,0)),FALSE),ROUND(D122+(E122-D122)*(1+G122)*((1-1)/(MaxLevel-1))^(2^F122),0),D122+(E122-D122)*(1+G122)*((1-1)/(MaxLevel-1))^(2^F122)))</f>
        <v/>
      </c>
      <c r="I122" s="12" t="str">
        <f>IF(OR(D122="",E122=""),"",IF(IFERROR(INDEX(Stats!$D:$D,MATCH($C122,Stats!$A:$A,0)),FALSE),ROUND(D122+(E122-D122)*(1+G122)*((2-1)/(MaxLevel-1))^(2^F122),0),D122+(E122-D122)*(1+G122)*((2-1)/(MaxLevel-1))^(2^F122)))</f>
        <v/>
      </c>
      <c r="J122" s="12" t="str">
        <f>IF(OR(D122="",E122=""),"",IF(IFERROR(INDEX(Stats!$D:$D,MATCH($C122,Stats!$A:$A,0)),FALSE),ROUND(D122+(E122-D122)*(1+G122)*((3-1)/(MaxLevel-1))^(2^F122),0),D122+(E122-D122)*(1+G122)*((3-1)/(MaxLevel-1))^(2^F122)))</f>
        <v/>
      </c>
      <c r="K122" s="12" t="str">
        <f>IF(OR(D122="",E122=""),"",IF(IFERROR(INDEX(Stats!$D:$D,MATCH($C122,Stats!$A:$A,0)),FALSE),ROUND(D122+(E122-D122)*(1+G122)*((4-1)/(MaxLevel-1))^(2^F122),0),D122+(E122-D122)*(1+G122)*((4-1)/(MaxLevel-1))^(2^F122)))</f>
        <v/>
      </c>
      <c r="L122" s="12" t="str">
        <f>IF(OR(D122="",E122=""),"",IF(IFERROR(INDEX(Stats!$D:$D,MATCH($C122,Stats!$A:$A,0)),FALSE),ROUND(D122+(E122-D122)*(1+G122)*((5-1)/(MaxLevel-1))^(2^F122),0),D122+(E122-D122)*(1+G122)*((5-1)/(MaxLevel-1))^(2^F122)))</f>
        <v/>
      </c>
      <c r="M122" s="12" t="str">
        <f>IF(OR(D122="",E122=""),"",IF(IFERROR(INDEX(Stats!$D:$D,MATCH($C122,Stats!$A:$A,0)),FALSE),ROUND(D122+(E122-D122)*(1+G122)*((6-1)/(MaxLevel-1))^(2^F122),0),D122+(E122-D122)*(1+G122)*((6-1)/(MaxLevel-1))^(2^F122)))</f>
        <v/>
      </c>
      <c r="N122" s="12" t="str">
        <f>IF(OR(D122="",E122=""),"",IF(IFERROR(INDEX(Stats!$D:$D,MATCH($C122,Stats!$A:$A,0)),FALSE),ROUND(D122+(E122-D122)*(1+G122)*((7-1)/(MaxLevel-1))^(2^F122),0),D122+(E122-D122)*(1+G122)*((7-1)/(MaxLevel-1))^(2^F122)))</f>
        <v/>
      </c>
      <c r="O122" s="12" t="str">
        <f>IF(OR(D122="",E122=""),"",IF(IFERROR(INDEX(Stats!$D:$D,MATCH($C122,Stats!$A:$A,0)),FALSE),ROUND(D122+(E122-D122)*(1+G122)*((8-1)/(MaxLevel-1))^(2^F122),0),D122+(E122-D122)*(1+G122)*((8-1)/(MaxLevel-1))^(2^F122)))</f>
        <v/>
      </c>
      <c r="P122" s="12" t="str">
        <f>IF(OR(D122="",E122=""),"",IF(IFERROR(INDEX(Stats!$D:$D,MATCH($C122,Stats!$A:$A,0)),FALSE),ROUND(D122+(E122-D122)*(1+G122)*((9-1)/(MaxLevel-1))^(2^F122),0),D122+(E122-D122)*(1+G122)*((9-1)/(MaxLevel-1))^(2^F122)))</f>
        <v/>
      </c>
      <c r="Q122" s="12" t="str">
        <f>IF(OR(D122="",E122=""),"",IF(IFERROR(INDEX(Stats!$D:$D,MATCH($C122,Stats!$A:$A,0)),FALSE),ROUND(D122+(E122-D122)*(1+G122)*((10-1)/(MaxLevel-1))^(2^F122),0),D122+(E122-D122)*(1+G122)*((10-1)/(MaxLevel-1))^(2^F122)))</f>
        <v/>
      </c>
    </row>
    <row r="123" spans="1:17" x14ac:dyDescent="0.25">
      <c r="A123" s="4" t="s">
        <v>185</v>
      </c>
      <c r="B123" s="19" t="s">
        <v>222</v>
      </c>
      <c r="C123" s="4" t="s">
        <v>38</v>
      </c>
      <c r="D123" s="5"/>
      <c r="E123" s="5"/>
      <c r="F123" s="5"/>
      <c r="G123" s="5"/>
      <c r="H123" s="12" t="str">
        <f>IF(OR(D123="",E123=""),"",IF(IFERROR(INDEX(Stats!$D:$D,MATCH($C123,Stats!$A:$A,0)),FALSE),ROUND(D123+(E123-D123)*(1+G123)*((1-1)/(MaxLevel-1))^(2^F123),0),D123+(E123-D123)*(1+G123)*((1-1)/(MaxLevel-1))^(2^F123)))</f>
        <v/>
      </c>
      <c r="I123" s="12" t="str">
        <f>IF(OR(D123="",E123=""),"",IF(IFERROR(INDEX(Stats!$D:$D,MATCH($C123,Stats!$A:$A,0)),FALSE),ROUND(D123+(E123-D123)*(1+G123)*((2-1)/(MaxLevel-1))^(2^F123),0),D123+(E123-D123)*(1+G123)*((2-1)/(MaxLevel-1))^(2^F123)))</f>
        <v/>
      </c>
      <c r="J123" s="12" t="str">
        <f>IF(OR(D123="",E123=""),"",IF(IFERROR(INDEX(Stats!$D:$D,MATCH($C123,Stats!$A:$A,0)),FALSE),ROUND(D123+(E123-D123)*(1+G123)*((3-1)/(MaxLevel-1))^(2^F123),0),D123+(E123-D123)*(1+G123)*((3-1)/(MaxLevel-1))^(2^F123)))</f>
        <v/>
      </c>
      <c r="K123" s="12" t="str">
        <f>IF(OR(D123="",E123=""),"",IF(IFERROR(INDEX(Stats!$D:$D,MATCH($C123,Stats!$A:$A,0)),FALSE),ROUND(D123+(E123-D123)*(1+G123)*((4-1)/(MaxLevel-1))^(2^F123),0),D123+(E123-D123)*(1+G123)*((4-1)/(MaxLevel-1))^(2^F123)))</f>
        <v/>
      </c>
      <c r="L123" s="12" t="str">
        <f>IF(OR(D123="",E123=""),"",IF(IFERROR(INDEX(Stats!$D:$D,MATCH($C123,Stats!$A:$A,0)),FALSE),ROUND(D123+(E123-D123)*(1+G123)*((5-1)/(MaxLevel-1))^(2^F123),0),D123+(E123-D123)*(1+G123)*((5-1)/(MaxLevel-1))^(2^F123)))</f>
        <v/>
      </c>
      <c r="M123" s="12" t="str">
        <f>IF(OR(D123="",E123=""),"",IF(IFERROR(INDEX(Stats!$D:$D,MATCH($C123,Stats!$A:$A,0)),FALSE),ROUND(D123+(E123-D123)*(1+G123)*((6-1)/(MaxLevel-1))^(2^F123),0),D123+(E123-D123)*(1+G123)*((6-1)/(MaxLevel-1))^(2^F123)))</f>
        <v/>
      </c>
      <c r="N123" s="12" t="str">
        <f>IF(OR(D123="",E123=""),"",IF(IFERROR(INDEX(Stats!$D:$D,MATCH($C123,Stats!$A:$A,0)),FALSE),ROUND(D123+(E123-D123)*(1+G123)*((7-1)/(MaxLevel-1))^(2^F123),0),D123+(E123-D123)*(1+G123)*((7-1)/(MaxLevel-1))^(2^F123)))</f>
        <v/>
      </c>
      <c r="O123" s="12" t="str">
        <f>IF(OR(D123="",E123=""),"",IF(IFERROR(INDEX(Stats!$D:$D,MATCH($C123,Stats!$A:$A,0)),FALSE),ROUND(D123+(E123-D123)*(1+G123)*((8-1)/(MaxLevel-1))^(2^F123),0),D123+(E123-D123)*(1+G123)*((8-1)/(MaxLevel-1))^(2^F123)))</f>
        <v/>
      </c>
      <c r="P123" s="12" t="str">
        <f>IF(OR(D123="",E123=""),"",IF(IFERROR(INDEX(Stats!$D:$D,MATCH($C123,Stats!$A:$A,0)),FALSE),ROUND(D123+(E123-D123)*(1+G123)*((9-1)/(MaxLevel-1))^(2^F123),0),D123+(E123-D123)*(1+G123)*((9-1)/(MaxLevel-1))^(2^F123)))</f>
        <v/>
      </c>
      <c r="Q123" s="12" t="str">
        <f>IF(OR(D123="",E123=""),"",IF(IFERROR(INDEX(Stats!$D:$D,MATCH($C123,Stats!$A:$A,0)),FALSE),ROUND(D123+(E123-D123)*(1+G123)*((10-1)/(MaxLevel-1))^(2^F123),0),D123+(E123-D123)*(1+G123)*((10-1)/(MaxLevel-1))^(2^F123)))</f>
        <v/>
      </c>
    </row>
    <row r="124" spans="1:17" x14ac:dyDescent="0.25">
      <c r="A124" s="4" t="s">
        <v>185</v>
      </c>
      <c r="B124" s="19" t="s">
        <v>222</v>
      </c>
      <c r="C124" s="4" t="s">
        <v>40</v>
      </c>
      <c r="D124" s="5"/>
      <c r="E124" s="5"/>
      <c r="F124" s="5"/>
      <c r="G124" s="5"/>
      <c r="H124" s="12" t="str">
        <f>IF(OR(D124="",E124=""),"",IF(IFERROR(INDEX(Stats!$D:$D,MATCH($C124,Stats!$A:$A,0)),FALSE),ROUND(D124+(E124-D124)*(1+G124)*((1-1)/(MaxLevel-1))^(2^F124),0),D124+(E124-D124)*(1+G124)*((1-1)/(MaxLevel-1))^(2^F124)))</f>
        <v/>
      </c>
      <c r="I124" s="12" t="str">
        <f>IF(OR(D124="",E124=""),"",IF(IFERROR(INDEX(Stats!$D:$D,MATCH($C124,Stats!$A:$A,0)),FALSE),ROUND(D124+(E124-D124)*(1+G124)*((2-1)/(MaxLevel-1))^(2^F124),0),D124+(E124-D124)*(1+G124)*((2-1)/(MaxLevel-1))^(2^F124)))</f>
        <v/>
      </c>
      <c r="J124" s="12" t="str">
        <f>IF(OR(D124="",E124=""),"",IF(IFERROR(INDEX(Stats!$D:$D,MATCH($C124,Stats!$A:$A,0)),FALSE),ROUND(D124+(E124-D124)*(1+G124)*((3-1)/(MaxLevel-1))^(2^F124),0),D124+(E124-D124)*(1+G124)*((3-1)/(MaxLevel-1))^(2^F124)))</f>
        <v/>
      </c>
      <c r="K124" s="12" t="str">
        <f>IF(OR(D124="",E124=""),"",IF(IFERROR(INDEX(Stats!$D:$D,MATCH($C124,Stats!$A:$A,0)),FALSE),ROUND(D124+(E124-D124)*(1+G124)*((4-1)/(MaxLevel-1))^(2^F124),0),D124+(E124-D124)*(1+G124)*((4-1)/(MaxLevel-1))^(2^F124)))</f>
        <v/>
      </c>
      <c r="L124" s="12" t="str">
        <f>IF(OR(D124="",E124=""),"",IF(IFERROR(INDEX(Stats!$D:$D,MATCH($C124,Stats!$A:$A,0)),FALSE),ROUND(D124+(E124-D124)*(1+G124)*((5-1)/(MaxLevel-1))^(2^F124),0),D124+(E124-D124)*(1+G124)*((5-1)/(MaxLevel-1))^(2^F124)))</f>
        <v/>
      </c>
      <c r="M124" s="12" t="str">
        <f>IF(OR(D124="",E124=""),"",IF(IFERROR(INDEX(Stats!$D:$D,MATCH($C124,Stats!$A:$A,0)),FALSE),ROUND(D124+(E124-D124)*(1+G124)*((6-1)/(MaxLevel-1))^(2^F124),0),D124+(E124-D124)*(1+G124)*((6-1)/(MaxLevel-1))^(2^F124)))</f>
        <v/>
      </c>
      <c r="N124" s="12" t="str">
        <f>IF(OR(D124="",E124=""),"",IF(IFERROR(INDEX(Stats!$D:$D,MATCH($C124,Stats!$A:$A,0)),FALSE),ROUND(D124+(E124-D124)*(1+G124)*((7-1)/(MaxLevel-1))^(2^F124),0),D124+(E124-D124)*(1+G124)*((7-1)/(MaxLevel-1))^(2^F124)))</f>
        <v/>
      </c>
      <c r="O124" s="12" t="str">
        <f>IF(OR(D124="",E124=""),"",IF(IFERROR(INDEX(Stats!$D:$D,MATCH($C124,Stats!$A:$A,0)),FALSE),ROUND(D124+(E124-D124)*(1+G124)*((8-1)/(MaxLevel-1))^(2^F124),0),D124+(E124-D124)*(1+G124)*((8-1)/(MaxLevel-1))^(2^F124)))</f>
        <v/>
      </c>
      <c r="P124" s="12" t="str">
        <f>IF(OR(D124="",E124=""),"",IF(IFERROR(INDEX(Stats!$D:$D,MATCH($C124,Stats!$A:$A,0)),FALSE),ROUND(D124+(E124-D124)*(1+G124)*((9-1)/(MaxLevel-1))^(2^F124),0),D124+(E124-D124)*(1+G124)*((9-1)/(MaxLevel-1))^(2^F124)))</f>
        <v/>
      </c>
      <c r="Q124" s="12" t="str">
        <f>IF(OR(D124="",E124=""),"",IF(IFERROR(INDEX(Stats!$D:$D,MATCH($C124,Stats!$A:$A,0)),FALSE),ROUND(D124+(E124-D124)*(1+G124)*((10-1)/(MaxLevel-1))^(2^F124),0),D124+(E124-D124)*(1+G124)*((10-1)/(MaxLevel-1))^(2^F124)))</f>
        <v/>
      </c>
    </row>
    <row r="125" spans="1:17" x14ac:dyDescent="0.25">
      <c r="A125" s="4" t="s">
        <v>185</v>
      </c>
      <c r="B125" s="19" t="s">
        <v>222</v>
      </c>
      <c r="C125" s="4" t="s">
        <v>42</v>
      </c>
      <c r="D125" s="5"/>
      <c r="E125" s="5"/>
      <c r="F125" s="5"/>
      <c r="G125" s="5"/>
      <c r="H125" s="12" t="str">
        <f>IF(OR(D125="",E125=""),"",IF(IFERROR(INDEX(Stats!$D:$D,MATCH($C125,Stats!$A:$A,0)),FALSE),ROUND(D125+(E125-D125)*(1+G125)*((1-1)/(MaxLevel-1))^(2^F125),0),D125+(E125-D125)*(1+G125)*((1-1)/(MaxLevel-1))^(2^F125)))</f>
        <v/>
      </c>
      <c r="I125" s="12" t="str">
        <f>IF(OR(D125="",E125=""),"",IF(IFERROR(INDEX(Stats!$D:$D,MATCH($C125,Stats!$A:$A,0)),FALSE),ROUND(D125+(E125-D125)*(1+G125)*((2-1)/(MaxLevel-1))^(2^F125),0),D125+(E125-D125)*(1+G125)*((2-1)/(MaxLevel-1))^(2^F125)))</f>
        <v/>
      </c>
      <c r="J125" s="12" t="str">
        <f>IF(OR(D125="",E125=""),"",IF(IFERROR(INDEX(Stats!$D:$D,MATCH($C125,Stats!$A:$A,0)),FALSE),ROUND(D125+(E125-D125)*(1+G125)*((3-1)/(MaxLevel-1))^(2^F125),0),D125+(E125-D125)*(1+G125)*((3-1)/(MaxLevel-1))^(2^F125)))</f>
        <v/>
      </c>
      <c r="K125" s="12" t="str">
        <f>IF(OR(D125="",E125=""),"",IF(IFERROR(INDEX(Stats!$D:$D,MATCH($C125,Stats!$A:$A,0)),FALSE),ROUND(D125+(E125-D125)*(1+G125)*((4-1)/(MaxLevel-1))^(2^F125),0),D125+(E125-D125)*(1+G125)*((4-1)/(MaxLevel-1))^(2^F125)))</f>
        <v/>
      </c>
      <c r="L125" s="12" t="str">
        <f>IF(OR(D125="",E125=""),"",IF(IFERROR(INDEX(Stats!$D:$D,MATCH($C125,Stats!$A:$A,0)),FALSE),ROUND(D125+(E125-D125)*(1+G125)*((5-1)/(MaxLevel-1))^(2^F125),0),D125+(E125-D125)*(1+G125)*((5-1)/(MaxLevel-1))^(2^F125)))</f>
        <v/>
      </c>
      <c r="M125" s="12" t="str">
        <f>IF(OR(D125="",E125=""),"",IF(IFERROR(INDEX(Stats!$D:$D,MATCH($C125,Stats!$A:$A,0)),FALSE),ROUND(D125+(E125-D125)*(1+G125)*((6-1)/(MaxLevel-1))^(2^F125),0),D125+(E125-D125)*(1+G125)*((6-1)/(MaxLevel-1))^(2^F125)))</f>
        <v/>
      </c>
      <c r="N125" s="12" t="str">
        <f>IF(OR(D125="",E125=""),"",IF(IFERROR(INDEX(Stats!$D:$D,MATCH($C125,Stats!$A:$A,0)),FALSE),ROUND(D125+(E125-D125)*(1+G125)*((7-1)/(MaxLevel-1))^(2^F125),0),D125+(E125-D125)*(1+G125)*((7-1)/(MaxLevel-1))^(2^F125)))</f>
        <v/>
      </c>
      <c r="O125" s="12" t="str">
        <f>IF(OR(D125="",E125=""),"",IF(IFERROR(INDEX(Stats!$D:$D,MATCH($C125,Stats!$A:$A,0)),FALSE),ROUND(D125+(E125-D125)*(1+G125)*((8-1)/(MaxLevel-1))^(2^F125),0),D125+(E125-D125)*(1+G125)*((8-1)/(MaxLevel-1))^(2^F125)))</f>
        <v/>
      </c>
      <c r="P125" s="12" t="str">
        <f>IF(OR(D125="",E125=""),"",IF(IFERROR(INDEX(Stats!$D:$D,MATCH($C125,Stats!$A:$A,0)),FALSE),ROUND(D125+(E125-D125)*(1+G125)*((9-1)/(MaxLevel-1))^(2^F125),0),D125+(E125-D125)*(1+G125)*((9-1)/(MaxLevel-1))^(2^F125)))</f>
        <v/>
      </c>
      <c r="Q125" s="12" t="str">
        <f>IF(OR(D125="",E125=""),"",IF(IFERROR(INDEX(Stats!$D:$D,MATCH($C125,Stats!$A:$A,0)),FALSE),ROUND(D125+(E125-D125)*(1+G125)*((10-1)/(MaxLevel-1))^(2^F125),0),D125+(E125-D125)*(1+G125)*((10-1)/(MaxLevel-1))^(2^F125)))</f>
        <v/>
      </c>
    </row>
    <row r="126" spans="1:17" x14ac:dyDescent="0.25">
      <c r="A126" s="4" t="s">
        <v>185</v>
      </c>
      <c r="B126" s="19" t="s">
        <v>222</v>
      </c>
      <c r="C126" s="4" t="s">
        <v>44</v>
      </c>
      <c r="D126" s="5"/>
      <c r="E126" s="5"/>
      <c r="F126" s="5"/>
      <c r="G126" s="5"/>
      <c r="H126" s="12" t="str">
        <f>IF(OR(D126="",E126=""),"",IF(IFERROR(INDEX(Stats!$D:$D,MATCH($C126,Stats!$A:$A,0)),FALSE),ROUND(D126+(E126-D126)*(1+G126)*((1-1)/(MaxLevel-1))^(2^F126),0),D126+(E126-D126)*(1+G126)*((1-1)/(MaxLevel-1))^(2^F126)))</f>
        <v/>
      </c>
      <c r="I126" s="12" t="str">
        <f>IF(OR(D126="",E126=""),"",IF(IFERROR(INDEX(Stats!$D:$D,MATCH($C126,Stats!$A:$A,0)),FALSE),ROUND(D126+(E126-D126)*(1+G126)*((2-1)/(MaxLevel-1))^(2^F126),0),D126+(E126-D126)*(1+G126)*((2-1)/(MaxLevel-1))^(2^F126)))</f>
        <v/>
      </c>
      <c r="J126" s="12" t="str">
        <f>IF(OR(D126="",E126=""),"",IF(IFERROR(INDEX(Stats!$D:$D,MATCH($C126,Stats!$A:$A,0)),FALSE),ROUND(D126+(E126-D126)*(1+G126)*((3-1)/(MaxLevel-1))^(2^F126),0),D126+(E126-D126)*(1+G126)*((3-1)/(MaxLevel-1))^(2^F126)))</f>
        <v/>
      </c>
      <c r="K126" s="12" t="str">
        <f>IF(OR(D126="",E126=""),"",IF(IFERROR(INDEX(Stats!$D:$D,MATCH($C126,Stats!$A:$A,0)),FALSE),ROUND(D126+(E126-D126)*(1+G126)*((4-1)/(MaxLevel-1))^(2^F126),0),D126+(E126-D126)*(1+G126)*((4-1)/(MaxLevel-1))^(2^F126)))</f>
        <v/>
      </c>
      <c r="L126" s="12" t="str">
        <f>IF(OR(D126="",E126=""),"",IF(IFERROR(INDEX(Stats!$D:$D,MATCH($C126,Stats!$A:$A,0)),FALSE),ROUND(D126+(E126-D126)*(1+G126)*((5-1)/(MaxLevel-1))^(2^F126),0),D126+(E126-D126)*(1+G126)*((5-1)/(MaxLevel-1))^(2^F126)))</f>
        <v/>
      </c>
      <c r="M126" s="12" t="str">
        <f>IF(OR(D126="",E126=""),"",IF(IFERROR(INDEX(Stats!$D:$D,MATCH($C126,Stats!$A:$A,0)),FALSE),ROUND(D126+(E126-D126)*(1+G126)*((6-1)/(MaxLevel-1))^(2^F126),0),D126+(E126-D126)*(1+G126)*((6-1)/(MaxLevel-1))^(2^F126)))</f>
        <v/>
      </c>
      <c r="N126" s="12" t="str">
        <f>IF(OR(D126="",E126=""),"",IF(IFERROR(INDEX(Stats!$D:$D,MATCH($C126,Stats!$A:$A,0)),FALSE),ROUND(D126+(E126-D126)*(1+G126)*((7-1)/(MaxLevel-1))^(2^F126),0),D126+(E126-D126)*(1+G126)*((7-1)/(MaxLevel-1))^(2^F126)))</f>
        <v/>
      </c>
      <c r="O126" s="12" t="str">
        <f>IF(OR(D126="",E126=""),"",IF(IFERROR(INDEX(Stats!$D:$D,MATCH($C126,Stats!$A:$A,0)),FALSE),ROUND(D126+(E126-D126)*(1+G126)*((8-1)/(MaxLevel-1))^(2^F126),0),D126+(E126-D126)*(1+G126)*((8-1)/(MaxLevel-1))^(2^F126)))</f>
        <v/>
      </c>
      <c r="P126" s="12" t="str">
        <f>IF(OR(D126="",E126=""),"",IF(IFERROR(INDEX(Stats!$D:$D,MATCH($C126,Stats!$A:$A,0)),FALSE),ROUND(D126+(E126-D126)*(1+G126)*((9-1)/(MaxLevel-1))^(2^F126),0),D126+(E126-D126)*(1+G126)*((9-1)/(MaxLevel-1))^(2^F126)))</f>
        <v/>
      </c>
      <c r="Q126" s="12" t="str">
        <f>IF(OR(D126="",E126=""),"",IF(IFERROR(INDEX(Stats!$D:$D,MATCH($C126,Stats!$A:$A,0)),FALSE),ROUND(D126+(E126-D126)*(1+G126)*((10-1)/(MaxLevel-1))^(2^F126),0),D126+(E126-D126)*(1+G126)*((10-1)/(MaxLevel-1))^(2^F126)))</f>
        <v/>
      </c>
    </row>
    <row r="127" spans="1:17" x14ac:dyDescent="0.25">
      <c r="A127" s="4" t="s">
        <v>185</v>
      </c>
      <c r="B127" s="19" t="s">
        <v>222</v>
      </c>
      <c r="C127" s="4" t="s">
        <v>46</v>
      </c>
      <c r="D127" s="5">
        <v>300</v>
      </c>
      <c r="E127" s="5">
        <v>320</v>
      </c>
      <c r="F127" s="5">
        <v>0</v>
      </c>
      <c r="G127" s="5">
        <v>0</v>
      </c>
      <c r="H127" s="12">
        <f>IF(OR(D127="",E127=""),"",IF(IFERROR(INDEX(Stats!$D:$D,MATCH($C127,Stats!$A:$A,0)),FALSE),ROUND(D127+(E127-D127)*(1+G127)*((1-1)/(MaxLevel-1))^(2^F127),0),D127+(E127-D127)*(1+G127)*((1-1)/(MaxLevel-1))^(2^F127)))</f>
        <v>300</v>
      </c>
      <c r="I127" s="12">
        <f>IF(OR(D127="",E127=""),"",IF(IFERROR(INDEX(Stats!$D:$D,MATCH($C127,Stats!$A:$A,0)),FALSE),ROUND(D127+(E127-D127)*(1+G127)*((2-1)/(MaxLevel-1))^(2^F127),0),D127+(E127-D127)*(1+G127)*((2-1)/(MaxLevel-1))^(2^F127)))</f>
        <v>302.22222222222223</v>
      </c>
      <c r="J127" s="12">
        <f>IF(OR(D127="",E127=""),"",IF(IFERROR(INDEX(Stats!$D:$D,MATCH($C127,Stats!$A:$A,0)),FALSE),ROUND(D127+(E127-D127)*(1+G127)*((3-1)/(MaxLevel-1))^(2^F127),0),D127+(E127-D127)*(1+G127)*((3-1)/(MaxLevel-1))^(2^F127)))</f>
        <v>304.44444444444446</v>
      </c>
      <c r="K127" s="12">
        <f>IF(OR(D127="",E127=""),"",IF(IFERROR(INDEX(Stats!$D:$D,MATCH($C127,Stats!$A:$A,0)),FALSE),ROUND(D127+(E127-D127)*(1+G127)*((4-1)/(MaxLevel-1))^(2^F127),0),D127+(E127-D127)*(1+G127)*((4-1)/(MaxLevel-1))^(2^F127)))</f>
        <v>306.66666666666669</v>
      </c>
      <c r="L127" s="12">
        <f>IF(OR(D127="",E127=""),"",IF(IFERROR(INDEX(Stats!$D:$D,MATCH($C127,Stats!$A:$A,0)),FALSE),ROUND(D127+(E127-D127)*(1+G127)*((5-1)/(MaxLevel-1))^(2^F127),0),D127+(E127-D127)*(1+G127)*((5-1)/(MaxLevel-1))^(2^F127)))</f>
        <v>308.88888888888891</v>
      </c>
      <c r="M127" s="12">
        <f>IF(OR(D127="",E127=""),"",IF(IFERROR(INDEX(Stats!$D:$D,MATCH($C127,Stats!$A:$A,0)),FALSE),ROUND(D127+(E127-D127)*(1+G127)*((6-1)/(MaxLevel-1))^(2^F127),0),D127+(E127-D127)*(1+G127)*((6-1)/(MaxLevel-1))^(2^F127)))</f>
        <v>311.11111111111109</v>
      </c>
      <c r="N127" s="12">
        <f>IF(OR(D127="",E127=""),"",IF(IFERROR(INDEX(Stats!$D:$D,MATCH($C127,Stats!$A:$A,0)),FALSE),ROUND(D127+(E127-D127)*(1+G127)*((7-1)/(MaxLevel-1))^(2^F127),0),D127+(E127-D127)*(1+G127)*((7-1)/(MaxLevel-1))^(2^F127)))</f>
        <v>313.33333333333331</v>
      </c>
      <c r="O127" s="12">
        <f>IF(OR(D127="",E127=""),"",IF(IFERROR(INDEX(Stats!$D:$D,MATCH($C127,Stats!$A:$A,0)),FALSE),ROUND(D127+(E127-D127)*(1+G127)*((8-1)/(MaxLevel-1))^(2^F127),0),D127+(E127-D127)*(1+G127)*((8-1)/(MaxLevel-1))^(2^F127)))</f>
        <v>315.55555555555554</v>
      </c>
      <c r="P127" s="12">
        <f>IF(OR(D127="",E127=""),"",IF(IFERROR(INDEX(Stats!$D:$D,MATCH($C127,Stats!$A:$A,0)),FALSE),ROUND(D127+(E127-D127)*(1+G127)*((9-1)/(MaxLevel-1))^(2^F127),0),D127+(E127-D127)*(1+G127)*((9-1)/(MaxLevel-1))^(2^F127)))</f>
        <v>317.77777777777777</v>
      </c>
      <c r="Q127" s="12">
        <f>IF(OR(D127="",E127=""),"",IF(IFERROR(INDEX(Stats!$D:$D,MATCH($C127,Stats!$A:$A,0)),FALSE),ROUND(D127+(E127-D127)*(1+G127)*((10-1)/(MaxLevel-1))^(2^F127),0),D127+(E127-D127)*(1+G127)*((10-1)/(MaxLevel-1))^(2^F127)))</f>
        <v>320</v>
      </c>
    </row>
    <row r="128" spans="1:17" x14ac:dyDescent="0.25">
      <c r="A128" s="4" t="s">
        <v>185</v>
      </c>
      <c r="B128" s="19" t="s">
        <v>222</v>
      </c>
      <c r="C128" s="4" t="s">
        <v>48</v>
      </c>
      <c r="D128" s="5"/>
      <c r="E128" s="5"/>
      <c r="F128" s="5"/>
      <c r="G128" s="5"/>
      <c r="H128" s="12" t="str">
        <f>IF(OR(D128="",E128=""),"",IF(IFERROR(INDEX(Stats!$D:$D,MATCH($C128,Stats!$A:$A,0)),FALSE),ROUND(D128+(E128-D128)*(1+G128)*((1-1)/(MaxLevel-1))^(2^F128),0),D128+(E128-D128)*(1+G128)*((1-1)/(MaxLevel-1))^(2^F128)))</f>
        <v/>
      </c>
      <c r="I128" s="12" t="str">
        <f>IF(OR(D128="",E128=""),"",IF(IFERROR(INDEX(Stats!$D:$D,MATCH($C128,Stats!$A:$A,0)),FALSE),ROUND(D128+(E128-D128)*(1+G128)*((2-1)/(MaxLevel-1))^(2^F128),0),D128+(E128-D128)*(1+G128)*((2-1)/(MaxLevel-1))^(2^F128)))</f>
        <v/>
      </c>
      <c r="J128" s="12" t="str">
        <f>IF(OR(D128="",E128=""),"",IF(IFERROR(INDEX(Stats!$D:$D,MATCH($C128,Stats!$A:$A,0)),FALSE),ROUND(D128+(E128-D128)*(1+G128)*((3-1)/(MaxLevel-1))^(2^F128),0),D128+(E128-D128)*(1+G128)*((3-1)/(MaxLevel-1))^(2^F128)))</f>
        <v/>
      </c>
      <c r="K128" s="12" t="str">
        <f>IF(OR(D128="",E128=""),"",IF(IFERROR(INDEX(Stats!$D:$D,MATCH($C128,Stats!$A:$A,0)),FALSE),ROUND(D128+(E128-D128)*(1+G128)*((4-1)/(MaxLevel-1))^(2^F128),0),D128+(E128-D128)*(1+G128)*((4-1)/(MaxLevel-1))^(2^F128)))</f>
        <v/>
      </c>
      <c r="L128" s="12" t="str">
        <f>IF(OR(D128="",E128=""),"",IF(IFERROR(INDEX(Stats!$D:$D,MATCH($C128,Stats!$A:$A,0)),FALSE),ROUND(D128+(E128-D128)*(1+G128)*((5-1)/(MaxLevel-1))^(2^F128),0),D128+(E128-D128)*(1+G128)*((5-1)/(MaxLevel-1))^(2^F128)))</f>
        <v/>
      </c>
      <c r="M128" s="12" t="str">
        <f>IF(OR(D128="",E128=""),"",IF(IFERROR(INDEX(Stats!$D:$D,MATCH($C128,Stats!$A:$A,0)),FALSE),ROUND(D128+(E128-D128)*(1+G128)*((6-1)/(MaxLevel-1))^(2^F128),0),D128+(E128-D128)*(1+G128)*((6-1)/(MaxLevel-1))^(2^F128)))</f>
        <v/>
      </c>
      <c r="N128" s="12" t="str">
        <f>IF(OR(D128="",E128=""),"",IF(IFERROR(INDEX(Stats!$D:$D,MATCH($C128,Stats!$A:$A,0)),FALSE),ROUND(D128+(E128-D128)*(1+G128)*((7-1)/(MaxLevel-1))^(2^F128),0),D128+(E128-D128)*(1+G128)*((7-1)/(MaxLevel-1))^(2^F128)))</f>
        <v/>
      </c>
      <c r="O128" s="12" t="str">
        <f>IF(OR(D128="",E128=""),"",IF(IFERROR(INDEX(Stats!$D:$D,MATCH($C128,Stats!$A:$A,0)),FALSE),ROUND(D128+(E128-D128)*(1+G128)*((8-1)/(MaxLevel-1))^(2^F128),0),D128+(E128-D128)*(1+G128)*((8-1)/(MaxLevel-1))^(2^F128)))</f>
        <v/>
      </c>
      <c r="P128" s="12" t="str">
        <f>IF(OR(D128="",E128=""),"",IF(IFERROR(INDEX(Stats!$D:$D,MATCH($C128,Stats!$A:$A,0)),FALSE),ROUND(D128+(E128-D128)*(1+G128)*((9-1)/(MaxLevel-1))^(2^F128),0),D128+(E128-D128)*(1+G128)*((9-1)/(MaxLevel-1))^(2^F128)))</f>
        <v/>
      </c>
      <c r="Q128" s="12" t="str">
        <f>IF(OR(D128="",E128=""),"",IF(IFERROR(INDEX(Stats!$D:$D,MATCH($C128,Stats!$A:$A,0)),FALSE),ROUND(D128+(E128-D128)*(1+G128)*((10-1)/(MaxLevel-1))^(2^F128),0),D128+(E128-D128)*(1+G128)*((10-1)/(MaxLevel-1))^(2^F128)))</f>
        <v/>
      </c>
    </row>
    <row r="129" spans="1:17" x14ac:dyDescent="0.25">
      <c r="A129" s="4" t="s">
        <v>185</v>
      </c>
      <c r="B129" s="19" t="s">
        <v>222</v>
      </c>
      <c r="C129" s="4" t="s">
        <v>50</v>
      </c>
      <c r="D129" s="5"/>
      <c r="E129" s="5"/>
      <c r="F129" s="5"/>
      <c r="G129" s="5"/>
      <c r="H129" s="12" t="str">
        <f>IF(OR(D129="",E129=""),"",IF(IFERROR(INDEX(Stats!$D:$D,MATCH($C129,Stats!$A:$A,0)),FALSE),ROUND(D129+(E129-D129)*(1+G129)*((1-1)/(MaxLevel-1))^(2^F129),0),D129+(E129-D129)*(1+G129)*((1-1)/(MaxLevel-1))^(2^F129)))</f>
        <v/>
      </c>
      <c r="I129" s="12" t="str">
        <f>IF(OR(D129="",E129=""),"",IF(IFERROR(INDEX(Stats!$D:$D,MATCH($C129,Stats!$A:$A,0)),FALSE),ROUND(D129+(E129-D129)*(1+G129)*((2-1)/(MaxLevel-1))^(2^F129),0),D129+(E129-D129)*(1+G129)*((2-1)/(MaxLevel-1))^(2^F129)))</f>
        <v/>
      </c>
      <c r="J129" s="12" t="str">
        <f>IF(OR(D129="",E129=""),"",IF(IFERROR(INDEX(Stats!$D:$D,MATCH($C129,Stats!$A:$A,0)),FALSE),ROUND(D129+(E129-D129)*(1+G129)*((3-1)/(MaxLevel-1))^(2^F129),0),D129+(E129-D129)*(1+G129)*((3-1)/(MaxLevel-1))^(2^F129)))</f>
        <v/>
      </c>
      <c r="K129" s="12" t="str">
        <f>IF(OR(D129="",E129=""),"",IF(IFERROR(INDEX(Stats!$D:$D,MATCH($C129,Stats!$A:$A,0)),FALSE),ROUND(D129+(E129-D129)*(1+G129)*((4-1)/(MaxLevel-1))^(2^F129),0),D129+(E129-D129)*(1+G129)*((4-1)/(MaxLevel-1))^(2^F129)))</f>
        <v/>
      </c>
      <c r="L129" s="12" t="str">
        <f>IF(OR(D129="",E129=""),"",IF(IFERROR(INDEX(Stats!$D:$D,MATCH($C129,Stats!$A:$A,0)),FALSE),ROUND(D129+(E129-D129)*(1+G129)*((5-1)/(MaxLevel-1))^(2^F129),0),D129+(E129-D129)*(1+G129)*((5-1)/(MaxLevel-1))^(2^F129)))</f>
        <v/>
      </c>
      <c r="M129" s="12" t="str">
        <f>IF(OR(D129="",E129=""),"",IF(IFERROR(INDEX(Stats!$D:$D,MATCH($C129,Stats!$A:$A,0)),FALSE),ROUND(D129+(E129-D129)*(1+G129)*((6-1)/(MaxLevel-1))^(2^F129),0),D129+(E129-D129)*(1+G129)*((6-1)/(MaxLevel-1))^(2^F129)))</f>
        <v/>
      </c>
      <c r="N129" s="12" t="str">
        <f>IF(OR(D129="",E129=""),"",IF(IFERROR(INDEX(Stats!$D:$D,MATCH($C129,Stats!$A:$A,0)),FALSE),ROUND(D129+(E129-D129)*(1+G129)*((7-1)/(MaxLevel-1))^(2^F129),0),D129+(E129-D129)*(1+G129)*((7-1)/(MaxLevel-1))^(2^F129)))</f>
        <v/>
      </c>
      <c r="O129" s="12" t="str">
        <f>IF(OR(D129="",E129=""),"",IF(IFERROR(INDEX(Stats!$D:$D,MATCH($C129,Stats!$A:$A,0)),FALSE),ROUND(D129+(E129-D129)*(1+G129)*((8-1)/(MaxLevel-1))^(2^F129),0),D129+(E129-D129)*(1+G129)*((8-1)/(MaxLevel-1))^(2^F129)))</f>
        <v/>
      </c>
      <c r="P129" s="12" t="str">
        <f>IF(OR(D129="",E129=""),"",IF(IFERROR(INDEX(Stats!$D:$D,MATCH($C129,Stats!$A:$A,0)),FALSE),ROUND(D129+(E129-D129)*(1+G129)*((9-1)/(MaxLevel-1))^(2^F129),0),D129+(E129-D129)*(1+G129)*((9-1)/(MaxLevel-1))^(2^F129)))</f>
        <v/>
      </c>
      <c r="Q129" s="12" t="str">
        <f>IF(OR(D129="",E129=""),"",IF(IFERROR(INDEX(Stats!$D:$D,MATCH($C129,Stats!$A:$A,0)),FALSE),ROUND(D129+(E129-D129)*(1+G129)*((10-1)/(MaxLevel-1))^(2^F129),0),D129+(E129-D129)*(1+G129)*((10-1)/(MaxLevel-1))^(2^F129)))</f>
        <v/>
      </c>
    </row>
    <row r="130" spans="1:17" x14ac:dyDescent="0.25">
      <c r="A130" s="4" t="s">
        <v>185</v>
      </c>
      <c r="B130" s="19" t="s">
        <v>222</v>
      </c>
      <c r="C130" s="4" t="s">
        <v>52</v>
      </c>
      <c r="D130" s="5"/>
      <c r="E130" s="5"/>
      <c r="F130" s="5"/>
      <c r="G130" s="5"/>
      <c r="H130" s="12" t="str">
        <f>IF(OR(D130="",E130=""),"",IF(IFERROR(INDEX(Stats!$D:$D,MATCH($C130,Stats!$A:$A,0)),FALSE),ROUND(D130+(E130-D130)*(1+G130)*((1-1)/(MaxLevel-1))^(2^F130),0),D130+(E130-D130)*(1+G130)*((1-1)/(MaxLevel-1))^(2^F130)))</f>
        <v/>
      </c>
      <c r="I130" s="12" t="str">
        <f>IF(OR(D130="",E130=""),"",IF(IFERROR(INDEX(Stats!$D:$D,MATCH($C130,Stats!$A:$A,0)),FALSE),ROUND(D130+(E130-D130)*(1+G130)*((2-1)/(MaxLevel-1))^(2^F130),0),D130+(E130-D130)*(1+G130)*((2-1)/(MaxLevel-1))^(2^F130)))</f>
        <v/>
      </c>
      <c r="J130" s="12" t="str">
        <f>IF(OR(D130="",E130=""),"",IF(IFERROR(INDEX(Stats!$D:$D,MATCH($C130,Stats!$A:$A,0)),FALSE),ROUND(D130+(E130-D130)*(1+G130)*((3-1)/(MaxLevel-1))^(2^F130),0),D130+(E130-D130)*(1+G130)*((3-1)/(MaxLevel-1))^(2^F130)))</f>
        <v/>
      </c>
      <c r="K130" s="12" t="str">
        <f>IF(OR(D130="",E130=""),"",IF(IFERROR(INDEX(Stats!$D:$D,MATCH($C130,Stats!$A:$A,0)),FALSE),ROUND(D130+(E130-D130)*(1+G130)*((4-1)/(MaxLevel-1))^(2^F130),0),D130+(E130-D130)*(1+G130)*((4-1)/(MaxLevel-1))^(2^F130)))</f>
        <v/>
      </c>
      <c r="L130" s="12" t="str">
        <f>IF(OR(D130="",E130=""),"",IF(IFERROR(INDEX(Stats!$D:$D,MATCH($C130,Stats!$A:$A,0)),FALSE),ROUND(D130+(E130-D130)*(1+G130)*((5-1)/(MaxLevel-1))^(2^F130),0),D130+(E130-D130)*(1+G130)*((5-1)/(MaxLevel-1))^(2^F130)))</f>
        <v/>
      </c>
      <c r="M130" s="12" t="str">
        <f>IF(OR(D130="",E130=""),"",IF(IFERROR(INDEX(Stats!$D:$D,MATCH($C130,Stats!$A:$A,0)),FALSE),ROUND(D130+(E130-D130)*(1+G130)*((6-1)/(MaxLevel-1))^(2^F130),0),D130+(E130-D130)*(1+G130)*((6-1)/(MaxLevel-1))^(2^F130)))</f>
        <v/>
      </c>
      <c r="N130" s="12" t="str">
        <f>IF(OR(D130="",E130=""),"",IF(IFERROR(INDEX(Stats!$D:$D,MATCH($C130,Stats!$A:$A,0)),FALSE),ROUND(D130+(E130-D130)*(1+G130)*((7-1)/(MaxLevel-1))^(2^F130),0),D130+(E130-D130)*(1+G130)*((7-1)/(MaxLevel-1))^(2^F130)))</f>
        <v/>
      </c>
      <c r="O130" s="12" t="str">
        <f>IF(OR(D130="",E130=""),"",IF(IFERROR(INDEX(Stats!$D:$D,MATCH($C130,Stats!$A:$A,0)),FALSE),ROUND(D130+(E130-D130)*(1+G130)*((8-1)/(MaxLevel-1))^(2^F130),0),D130+(E130-D130)*(1+G130)*((8-1)/(MaxLevel-1))^(2^F130)))</f>
        <v/>
      </c>
      <c r="P130" s="12" t="str">
        <f>IF(OR(D130="",E130=""),"",IF(IFERROR(INDEX(Stats!$D:$D,MATCH($C130,Stats!$A:$A,0)),FALSE),ROUND(D130+(E130-D130)*(1+G130)*((9-1)/(MaxLevel-1))^(2^F130),0),D130+(E130-D130)*(1+G130)*((9-1)/(MaxLevel-1))^(2^F130)))</f>
        <v/>
      </c>
      <c r="Q130" s="12" t="str">
        <f>IF(OR(D130="",E130=""),"",IF(IFERROR(INDEX(Stats!$D:$D,MATCH($C130,Stats!$A:$A,0)),FALSE),ROUND(D130+(E130-D130)*(1+G130)*((10-1)/(MaxLevel-1))^(2^F130),0),D130+(E130-D130)*(1+G130)*((10-1)/(MaxLevel-1))^(2^F130)))</f>
        <v/>
      </c>
    </row>
    <row r="131" spans="1:17" x14ac:dyDescent="0.25">
      <c r="A131" s="4" t="s">
        <v>185</v>
      </c>
      <c r="B131" s="19" t="s">
        <v>222</v>
      </c>
      <c r="C131" s="4" t="s">
        <v>54</v>
      </c>
      <c r="D131" s="5"/>
      <c r="E131" s="5"/>
      <c r="F131" s="5"/>
      <c r="G131" s="5"/>
      <c r="H131" s="12" t="str">
        <f>IF(OR(D131="",E131=""),"",IF(IFERROR(INDEX(Stats!$D:$D,MATCH($C131,Stats!$A:$A,0)),FALSE),ROUND(D131+(E131-D131)*(1+G131)*((1-1)/(MaxLevel-1))^(2^F131),0),D131+(E131-D131)*(1+G131)*((1-1)/(MaxLevel-1))^(2^F131)))</f>
        <v/>
      </c>
      <c r="I131" s="12" t="str">
        <f>IF(OR(D131="",E131=""),"",IF(IFERROR(INDEX(Stats!$D:$D,MATCH($C131,Stats!$A:$A,0)),FALSE),ROUND(D131+(E131-D131)*(1+G131)*((2-1)/(MaxLevel-1))^(2^F131),0),D131+(E131-D131)*(1+G131)*((2-1)/(MaxLevel-1))^(2^F131)))</f>
        <v/>
      </c>
      <c r="J131" s="12" t="str">
        <f>IF(OR(D131="",E131=""),"",IF(IFERROR(INDEX(Stats!$D:$D,MATCH($C131,Stats!$A:$A,0)),FALSE),ROUND(D131+(E131-D131)*(1+G131)*((3-1)/(MaxLevel-1))^(2^F131),0),D131+(E131-D131)*(1+G131)*((3-1)/(MaxLevel-1))^(2^F131)))</f>
        <v/>
      </c>
      <c r="K131" s="12" t="str">
        <f>IF(OR(D131="",E131=""),"",IF(IFERROR(INDEX(Stats!$D:$D,MATCH($C131,Stats!$A:$A,0)),FALSE),ROUND(D131+(E131-D131)*(1+G131)*((4-1)/(MaxLevel-1))^(2^F131),0),D131+(E131-D131)*(1+G131)*((4-1)/(MaxLevel-1))^(2^F131)))</f>
        <v/>
      </c>
      <c r="L131" s="12" t="str">
        <f>IF(OR(D131="",E131=""),"",IF(IFERROR(INDEX(Stats!$D:$D,MATCH($C131,Stats!$A:$A,0)),FALSE),ROUND(D131+(E131-D131)*(1+G131)*((5-1)/(MaxLevel-1))^(2^F131),0),D131+(E131-D131)*(1+G131)*((5-1)/(MaxLevel-1))^(2^F131)))</f>
        <v/>
      </c>
      <c r="M131" s="12" t="str">
        <f>IF(OR(D131="",E131=""),"",IF(IFERROR(INDEX(Stats!$D:$D,MATCH($C131,Stats!$A:$A,0)),FALSE),ROUND(D131+(E131-D131)*(1+G131)*((6-1)/(MaxLevel-1))^(2^F131),0),D131+(E131-D131)*(1+G131)*((6-1)/(MaxLevel-1))^(2^F131)))</f>
        <v/>
      </c>
      <c r="N131" s="12" t="str">
        <f>IF(OR(D131="",E131=""),"",IF(IFERROR(INDEX(Stats!$D:$D,MATCH($C131,Stats!$A:$A,0)),FALSE),ROUND(D131+(E131-D131)*(1+G131)*((7-1)/(MaxLevel-1))^(2^F131),0),D131+(E131-D131)*(1+G131)*((7-1)/(MaxLevel-1))^(2^F131)))</f>
        <v/>
      </c>
      <c r="O131" s="12" t="str">
        <f>IF(OR(D131="",E131=""),"",IF(IFERROR(INDEX(Stats!$D:$D,MATCH($C131,Stats!$A:$A,0)),FALSE),ROUND(D131+(E131-D131)*(1+G131)*((8-1)/(MaxLevel-1))^(2^F131),0),D131+(E131-D131)*(1+G131)*((8-1)/(MaxLevel-1))^(2^F131)))</f>
        <v/>
      </c>
      <c r="P131" s="12" t="str">
        <f>IF(OR(D131="",E131=""),"",IF(IFERROR(INDEX(Stats!$D:$D,MATCH($C131,Stats!$A:$A,0)),FALSE),ROUND(D131+(E131-D131)*(1+G131)*((9-1)/(MaxLevel-1))^(2^F131),0),D131+(E131-D131)*(1+G131)*((9-1)/(MaxLevel-1))^(2^F131)))</f>
        <v/>
      </c>
      <c r="Q131" s="12" t="str">
        <f>IF(OR(D131="",E131=""),"",IF(IFERROR(INDEX(Stats!$D:$D,MATCH($C131,Stats!$A:$A,0)),FALSE),ROUND(D131+(E131-D131)*(1+G131)*((10-1)/(MaxLevel-1))^(2^F131),0),D131+(E131-D131)*(1+G131)*((10-1)/(MaxLevel-1))^(2^F131)))</f>
        <v/>
      </c>
    </row>
    <row r="132" spans="1:17" x14ac:dyDescent="0.25">
      <c r="A132" s="4" t="s">
        <v>185</v>
      </c>
      <c r="B132" s="19" t="s">
        <v>222</v>
      </c>
      <c r="C132" s="4" t="s">
        <v>56</v>
      </c>
      <c r="D132" s="5"/>
      <c r="E132" s="5"/>
      <c r="F132" s="5"/>
      <c r="G132" s="5"/>
      <c r="H132" s="12" t="str">
        <f>IF(OR(D132="",E132=""),"",IF(IFERROR(INDEX(Stats!$D:$D,MATCH($C132,Stats!$A:$A,0)),FALSE),ROUND(D132+(E132-D132)*(1+G132)*((1-1)/(MaxLevel-1))^(2^F132),0),D132+(E132-D132)*(1+G132)*((1-1)/(MaxLevel-1))^(2^F132)))</f>
        <v/>
      </c>
      <c r="I132" s="12" t="str">
        <f>IF(OR(D132="",E132=""),"",IF(IFERROR(INDEX(Stats!$D:$D,MATCH($C132,Stats!$A:$A,0)),FALSE),ROUND(D132+(E132-D132)*(1+G132)*((2-1)/(MaxLevel-1))^(2^F132),0),D132+(E132-D132)*(1+G132)*((2-1)/(MaxLevel-1))^(2^F132)))</f>
        <v/>
      </c>
      <c r="J132" s="12" t="str">
        <f>IF(OR(D132="",E132=""),"",IF(IFERROR(INDEX(Stats!$D:$D,MATCH($C132,Stats!$A:$A,0)),FALSE),ROUND(D132+(E132-D132)*(1+G132)*((3-1)/(MaxLevel-1))^(2^F132),0),D132+(E132-D132)*(1+G132)*((3-1)/(MaxLevel-1))^(2^F132)))</f>
        <v/>
      </c>
      <c r="K132" s="12" t="str">
        <f>IF(OR(D132="",E132=""),"",IF(IFERROR(INDEX(Stats!$D:$D,MATCH($C132,Stats!$A:$A,0)),FALSE),ROUND(D132+(E132-D132)*(1+G132)*((4-1)/(MaxLevel-1))^(2^F132),0),D132+(E132-D132)*(1+G132)*((4-1)/(MaxLevel-1))^(2^F132)))</f>
        <v/>
      </c>
      <c r="L132" s="12" t="str">
        <f>IF(OR(D132="",E132=""),"",IF(IFERROR(INDEX(Stats!$D:$D,MATCH($C132,Stats!$A:$A,0)),FALSE),ROUND(D132+(E132-D132)*(1+G132)*((5-1)/(MaxLevel-1))^(2^F132),0),D132+(E132-D132)*(1+G132)*((5-1)/(MaxLevel-1))^(2^F132)))</f>
        <v/>
      </c>
      <c r="M132" s="12" t="str">
        <f>IF(OR(D132="",E132=""),"",IF(IFERROR(INDEX(Stats!$D:$D,MATCH($C132,Stats!$A:$A,0)),FALSE),ROUND(D132+(E132-D132)*(1+G132)*((6-1)/(MaxLevel-1))^(2^F132),0),D132+(E132-D132)*(1+G132)*((6-1)/(MaxLevel-1))^(2^F132)))</f>
        <v/>
      </c>
      <c r="N132" s="12" t="str">
        <f>IF(OR(D132="",E132=""),"",IF(IFERROR(INDEX(Stats!$D:$D,MATCH($C132,Stats!$A:$A,0)),FALSE),ROUND(D132+(E132-D132)*(1+G132)*((7-1)/(MaxLevel-1))^(2^F132),0),D132+(E132-D132)*(1+G132)*((7-1)/(MaxLevel-1))^(2^F132)))</f>
        <v/>
      </c>
      <c r="O132" s="12" t="str">
        <f>IF(OR(D132="",E132=""),"",IF(IFERROR(INDEX(Stats!$D:$D,MATCH($C132,Stats!$A:$A,0)),FALSE),ROUND(D132+(E132-D132)*(1+G132)*((8-1)/(MaxLevel-1))^(2^F132),0),D132+(E132-D132)*(1+G132)*((8-1)/(MaxLevel-1))^(2^F132)))</f>
        <v/>
      </c>
      <c r="P132" s="12" t="str">
        <f>IF(OR(D132="",E132=""),"",IF(IFERROR(INDEX(Stats!$D:$D,MATCH($C132,Stats!$A:$A,0)),FALSE),ROUND(D132+(E132-D132)*(1+G132)*((9-1)/(MaxLevel-1))^(2^F132),0),D132+(E132-D132)*(1+G132)*((9-1)/(MaxLevel-1))^(2^F132)))</f>
        <v/>
      </c>
      <c r="Q132" s="12" t="str">
        <f>IF(OR(D132="",E132=""),"",IF(IFERROR(INDEX(Stats!$D:$D,MATCH($C132,Stats!$A:$A,0)),FALSE),ROUND(D132+(E132-D132)*(1+G132)*((10-1)/(MaxLevel-1))^(2^F132),0),D132+(E132-D132)*(1+G132)*((10-1)/(MaxLevel-1))^(2^F132)))</f>
        <v/>
      </c>
    </row>
    <row r="133" spans="1:17" x14ac:dyDescent="0.25">
      <c r="A133" s="4" t="s">
        <v>185</v>
      </c>
      <c r="B133" s="19" t="s">
        <v>222</v>
      </c>
      <c r="C133" s="4" t="s">
        <v>58</v>
      </c>
      <c r="D133" s="5"/>
      <c r="E133" s="5"/>
      <c r="F133" s="5"/>
      <c r="G133" s="5"/>
      <c r="H133" s="12" t="str">
        <f>IF(OR(D133="",E133=""),"",IF(IFERROR(INDEX(Stats!$D:$D,MATCH($C133,Stats!$A:$A,0)),FALSE),ROUND(D133+(E133-D133)*(1+G133)*((1-1)/(MaxLevel-1))^(2^F133),0),D133+(E133-D133)*(1+G133)*((1-1)/(MaxLevel-1))^(2^F133)))</f>
        <v/>
      </c>
      <c r="I133" s="12" t="str">
        <f>IF(OR(D133="",E133=""),"",IF(IFERROR(INDEX(Stats!$D:$D,MATCH($C133,Stats!$A:$A,0)),FALSE),ROUND(D133+(E133-D133)*(1+G133)*((2-1)/(MaxLevel-1))^(2^F133),0),D133+(E133-D133)*(1+G133)*((2-1)/(MaxLevel-1))^(2^F133)))</f>
        <v/>
      </c>
      <c r="J133" s="12" t="str">
        <f>IF(OR(D133="",E133=""),"",IF(IFERROR(INDEX(Stats!$D:$D,MATCH($C133,Stats!$A:$A,0)),FALSE),ROUND(D133+(E133-D133)*(1+G133)*((3-1)/(MaxLevel-1))^(2^F133),0),D133+(E133-D133)*(1+G133)*((3-1)/(MaxLevel-1))^(2^F133)))</f>
        <v/>
      </c>
      <c r="K133" s="12" t="str">
        <f>IF(OR(D133="",E133=""),"",IF(IFERROR(INDEX(Stats!$D:$D,MATCH($C133,Stats!$A:$A,0)),FALSE),ROUND(D133+(E133-D133)*(1+G133)*((4-1)/(MaxLevel-1))^(2^F133),0),D133+(E133-D133)*(1+G133)*((4-1)/(MaxLevel-1))^(2^F133)))</f>
        <v/>
      </c>
      <c r="L133" s="12" t="str">
        <f>IF(OR(D133="",E133=""),"",IF(IFERROR(INDEX(Stats!$D:$D,MATCH($C133,Stats!$A:$A,0)),FALSE),ROUND(D133+(E133-D133)*(1+G133)*((5-1)/(MaxLevel-1))^(2^F133),0),D133+(E133-D133)*(1+G133)*((5-1)/(MaxLevel-1))^(2^F133)))</f>
        <v/>
      </c>
      <c r="M133" s="12" t="str">
        <f>IF(OR(D133="",E133=""),"",IF(IFERROR(INDEX(Stats!$D:$D,MATCH($C133,Stats!$A:$A,0)),FALSE),ROUND(D133+(E133-D133)*(1+G133)*((6-1)/(MaxLevel-1))^(2^F133),0),D133+(E133-D133)*(1+G133)*((6-1)/(MaxLevel-1))^(2^F133)))</f>
        <v/>
      </c>
      <c r="N133" s="12" t="str">
        <f>IF(OR(D133="",E133=""),"",IF(IFERROR(INDEX(Stats!$D:$D,MATCH($C133,Stats!$A:$A,0)),FALSE),ROUND(D133+(E133-D133)*(1+G133)*((7-1)/(MaxLevel-1))^(2^F133),0),D133+(E133-D133)*(1+G133)*((7-1)/(MaxLevel-1))^(2^F133)))</f>
        <v/>
      </c>
      <c r="O133" s="12" t="str">
        <f>IF(OR(D133="",E133=""),"",IF(IFERROR(INDEX(Stats!$D:$D,MATCH($C133,Stats!$A:$A,0)),FALSE),ROUND(D133+(E133-D133)*(1+G133)*((8-1)/(MaxLevel-1))^(2^F133),0),D133+(E133-D133)*(1+G133)*((8-1)/(MaxLevel-1))^(2^F133)))</f>
        <v/>
      </c>
      <c r="P133" s="12" t="str">
        <f>IF(OR(D133="",E133=""),"",IF(IFERROR(INDEX(Stats!$D:$D,MATCH($C133,Stats!$A:$A,0)),FALSE),ROUND(D133+(E133-D133)*(1+G133)*((9-1)/(MaxLevel-1))^(2^F133),0),D133+(E133-D133)*(1+G133)*((9-1)/(MaxLevel-1))^(2^F133)))</f>
        <v/>
      </c>
      <c r="Q133" s="12" t="str">
        <f>IF(OR(D133="",E133=""),"",IF(IFERROR(INDEX(Stats!$D:$D,MATCH($C133,Stats!$A:$A,0)),FALSE),ROUND(D133+(E133-D133)*(1+G133)*((10-1)/(MaxLevel-1))^(2^F133),0),D133+(E133-D133)*(1+G133)*((10-1)/(MaxLevel-1))^(2^F133)))</f>
        <v/>
      </c>
    </row>
    <row r="134" spans="1:17" x14ac:dyDescent="0.25">
      <c r="A134" s="4" t="s">
        <v>185</v>
      </c>
      <c r="B134" s="19" t="s">
        <v>222</v>
      </c>
      <c r="C134" s="4" t="s">
        <v>60</v>
      </c>
      <c r="D134" s="5"/>
      <c r="E134" s="5"/>
      <c r="F134" s="5"/>
      <c r="G134" s="5"/>
      <c r="H134" s="12" t="str">
        <f>IF(OR(D134="",E134=""),"",IF(IFERROR(INDEX(Stats!$D:$D,MATCH($C134,Stats!$A:$A,0)),FALSE),ROUND(D134+(E134-D134)*(1+G134)*((1-1)/(MaxLevel-1))^(2^F134),0),D134+(E134-D134)*(1+G134)*((1-1)/(MaxLevel-1))^(2^F134)))</f>
        <v/>
      </c>
      <c r="I134" s="12" t="str">
        <f>IF(OR(D134="",E134=""),"",IF(IFERROR(INDEX(Stats!$D:$D,MATCH($C134,Stats!$A:$A,0)),FALSE),ROUND(D134+(E134-D134)*(1+G134)*((2-1)/(MaxLevel-1))^(2^F134),0),D134+(E134-D134)*(1+G134)*((2-1)/(MaxLevel-1))^(2^F134)))</f>
        <v/>
      </c>
      <c r="J134" s="12" t="str">
        <f>IF(OR(D134="",E134=""),"",IF(IFERROR(INDEX(Stats!$D:$D,MATCH($C134,Stats!$A:$A,0)),FALSE),ROUND(D134+(E134-D134)*(1+G134)*((3-1)/(MaxLevel-1))^(2^F134),0),D134+(E134-D134)*(1+G134)*((3-1)/(MaxLevel-1))^(2^F134)))</f>
        <v/>
      </c>
      <c r="K134" s="12" t="str">
        <f>IF(OR(D134="",E134=""),"",IF(IFERROR(INDEX(Stats!$D:$D,MATCH($C134,Stats!$A:$A,0)),FALSE),ROUND(D134+(E134-D134)*(1+G134)*((4-1)/(MaxLevel-1))^(2^F134),0),D134+(E134-D134)*(1+G134)*((4-1)/(MaxLevel-1))^(2^F134)))</f>
        <v/>
      </c>
      <c r="L134" s="12" t="str">
        <f>IF(OR(D134="",E134=""),"",IF(IFERROR(INDEX(Stats!$D:$D,MATCH($C134,Stats!$A:$A,0)),FALSE),ROUND(D134+(E134-D134)*(1+G134)*((5-1)/(MaxLevel-1))^(2^F134),0),D134+(E134-D134)*(1+G134)*((5-1)/(MaxLevel-1))^(2^F134)))</f>
        <v/>
      </c>
      <c r="M134" s="12" t="str">
        <f>IF(OR(D134="",E134=""),"",IF(IFERROR(INDEX(Stats!$D:$D,MATCH($C134,Stats!$A:$A,0)),FALSE),ROUND(D134+(E134-D134)*(1+G134)*((6-1)/(MaxLevel-1))^(2^F134),0),D134+(E134-D134)*(1+G134)*((6-1)/(MaxLevel-1))^(2^F134)))</f>
        <v/>
      </c>
      <c r="N134" s="12" t="str">
        <f>IF(OR(D134="",E134=""),"",IF(IFERROR(INDEX(Stats!$D:$D,MATCH($C134,Stats!$A:$A,0)),FALSE),ROUND(D134+(E134-D134)*(1+G134)*((7-1)/(MaxLevel-1))^(2^F134),0),D134+(E134-D134)*(1+G134)*((7-1)/(MaxLevel-1))^(2^F134)))</f>
        <v/>
      </c>
      <c r="O134" s="12" t="str">
        <f>IF(OR(D134="",E134=""),"",IF(IFERROR(INDEX(Stats!$D:$D,MATCH($C134,Stats!$A:$A,0)),FALSE),ROUND(D134+(E134-D134)*(1+G134)*((8-1)/(MaxLevel-1))^(2^F134),0),D134+(E134-D134)*(1+G134)*((8-1)/(MaxLevel-1))^(2^F134)))</f>
        <v/>
      </c>
      <c r="P134" s="12" t="str">
        <f>IF(OR(D134="",E134=""),"",IF(IFERROR(INDEX(Stats!$D:$D,MATCH($C134,Stats!$A:$A,0)),FALSE),ROUND(D134+(E134-D134)*(1+G134)*((9-1)/(MaxLevel-1))^(2^F134),0),D134+(E134-D134)*(1+G134)*((9-1)/(MaxLevel-1))^(2^F134)))</f>
        <v/>
      </c>
      <c r="Q134" s="12" t="str">
        <f>IF(OR(D134="",E134=""),"",IF(IFERROR(INDEX(Stats!$D:$D,MATCH($C134,Stats!$A:$A,0)),FALSE),ROUND(D134+(E134-D134)*(1+G134)*((10-1)/(MaxLevel-1))^(2^F134),0),D134+(E134-D134)*(1+G134)*((10-1)/(MaxLevel-1))^(2^F134)))</f>
        <v/>
      </c>
    </row>
    <row r="135" spans="1:17" x14ac:dyDescent="0.25">
      <c r="A135" s="4" t="s">
        <v>185</v>
      </c>
      <c r="B135" s="19" t="s">
        <v>223</v>
      </c>
      <c r="C135" s="4" t="s">
        <v>24</v>
      </c>
      <c r="D135" s="5">
        <v>0</v>
      </c>
      <c r="E135" s="5">
        <v>10000</v>
      </c>
      <c r="F135" s="5">
        <v>1</v>
      </c>
      <c r="G135" s="5">
        <v>0</v>
      </c>
      <c r="H135" s="12">
        <f>IF(OR(D135="",E135=""),"",IF(IFERROR(INDEX(Stats!$D:$D,MATCH($C135,Stats!$A:$A,0)),FALSE),ROUND(D135+(E135-D135)*(1+G135)*((1-1)/(MaxLevel-1))^(2^F135),0),D135+(E135-D135)*(1+G135)*((1-1)/(MaxLevel-1))^(2^F135)))</f>
        <v>0</v>
      </c>
      <c r="I135" s="12">
        <f>IF(OR(D135="",E135=""),"",IF(IFERROR(INDEX(Stats!$D:$D,MATCH($C135,Stats!$A:$A,0)),FALSE),ROUND(D135+(E135-D135)*(1+G135)*((2-1)/(MaxLevel-1))^(2^F135),0),D135+(E135-D135)*(1+G135)*((2-1)/(MaxLevel-1))^(2^F135)))</f>
        <v>123</v>
      </c>
      <c r="J135" s="12">
        <f>IF(OR(D135="",E135=""),"",IF(IFERROR(INDEX(Stats!$D:$D,MATCH($C135,Stats!$A:$A,0)),FALSE),ROUND(D135+(E135-D135)*(1+G135)*((3-1)/(MaxLevel-1))^(2^F135),0),D135+(E135-D135)*(1+G135)*((3-1)/(MaxLevel-1))^(2^F135)))</f>
        <v>494</v>
      </c>
      <c r="K135" s="12">
        <f>IF(OR(D135="",E135=""),"",IF(IFERROR(INDEX(Stats!$D:$D,MATCH($C135,Stats!$A:$A,0)),FALSE),ROUND(D135+(E135-D135)*(1+G135)*((4-1)/(MaxLevel-1))^(2^F135),0),D135+(E135-D135)*(1+G135)*((4-1)/(MaxLevel-1))^(2^F135)))</f>
        <v>1111</v>
      </c>
      <c r="L135" s="12">
        <f>IF(OR(D135="",E135=""),"",IF(IFERROR(INDEX(Stats!$D:$D,MATCH($C135,Stats!$A:$A,0)),FALSE),ROUND(D135+(E135-D135)*(1+G135)*((5-1)/(MaxLevel-1))^(2^F135),0),D135+(E135-D135)*(1+G135)*((5-1)/(MaxLevel-1))^(2^F135)))</f>
        <v>1975</v>
      </c>
      <c r="M135" s="12">
        <f>IF(OR(D135="",E135=""),"",IF(IFERROR(INDEX(Stats!$D:$D,MATCH($C135,Stats!$A:$A,0)),FALSE),ROUND(D135+(E135-D135)*(1+G135)*((6-1)/(MaxLevel-1))^(2^F135),0),D135+(E135-D135)*(1+G135)*((6-1)/(MaxLevel-1))^(2^F135)))</f>
        <v>3086</v>
      </c>
      <c r="N135" s="12">
        <f>IF(OR(D135="",E135=""),"",IF(IFERROR(INDEX(Stats!$D:$D,MATCH($C135,Stats!$A:$A,0)),FALSE),ROUND(D135+(E135-D135)*(1+G135)*((7-1)/(MaxLevel-1))^(2^F135),0),D135+(E135-D135)*(1+G135)*((7-1)/(MaxLevel-1))^(2^F135)))</f>
        <v>4444</v>
      </c>
      <c r="O135" s="12">
        <f>IF(OR(D135="",E135=""),"",IF(IFERROR(INDEX(Stats!$D:$D,MATCH($C135,Stats!$A:$A,0)),FALSE),ROUND(D135+(E135-D135)*(1+G135)*((8-1)/(MaxLevel-1))^(2^F135),0),D135+(E135-D135)*(1+G135)*((8-1)/(MaxLevel-1))^(2^F135)))</f>
        <v>6049</v>
      </c>
      <c r="P135" s="12">
        <f>IF(OR(D135="",E135=""),"",IF(IFERROR(INDEX(Stats!$D:$D,MATCH($C135,Stats!$A:$A,0)),FALSE),ROUND(D135+(E135-D135)*(1+G135)*((9-1)/(MaxLevel-1))^(2^F135),0),D135+(E135-D135)*(1+G135)*((9-1)/(MaxLevel-1))^(2^F135)))</f>
        <v>7901</v>
      </c>
      <c r="Q135" s="12">
        <f>IF(OR(D135="",E135=""),"",IF(IFERROR(INDEX(Stats!$D:$D,MATCH($C135,Stats!$A:$A,0)),FALSE),ROUND(D135+(E135-D135)*(1+G135)*((10-1)/(MaxLevel-1))^(2^F135),0),D135+(E135-D135)*(1+G135)*((10-1)/(MaxLevel-1))^(2^F135)))</f>
        <v>10000</v>
      </c>
    </row>
    <row r="136" spans="1:17" x14ac:dyDescent="0.25">
      <c r="A136" s="4" t="s">
        <v>185</v>
      </c>
      <c r="B136" s="19" t="s">
        <v>223</v>
      </c>
      <c r="C136" s="4" t="s">
        <v>26</v>
      </c>
      <c r="D136" s="5">
        <v>25</v>
      </c>
      <c r="E136" s="5">
        <v>150</v>
      </c>
      <c r="F136" s="5">
        <v>0</v>
      </c>
      <c r="G136" s="5">
        <v>0</v>
      </c>
      <c r="H136" s="12">
        <f>IF(OR(D136="",E136=""),"",IF(IFERROR(INDEX(Stats!$D:$D,MATCH($C136,Stats!$A:$A,0)),FALSE),ROUND(D136+(E136-D136)*(1+G136)*((1-1)/(MaxLevel-1))^(2^F136),0),D136+(E136-D136)*(1+G136)*((1-1)/(MaxLevel-1))^(2^F136)))</f>
        <v>25</v>
      </c>
      <c r="I136" s="12">
        <f>IF(OR(D136="",E136=""),"",IF(IFERROR(INDEX(Stats!$D:$D,MATCH($C136,Stats!$A:$A,0)),FALSE),ROUND(D136+(E136-D136)*(1+G136)*((2-1)/(MaxLevel-1))^(2^F136),0),D136+(E136-D136)*(1+G136)*((2-1)/(MaxLevel-1))^(2^F136)))</f>
        <v>39</v>
      </c>
      <c r="J136" s="12">
        <f>IF(OR(D136="",E136=""),"",IF(IFERROR(INDEX(Stats!$D:$D,MATCH($C136,Stats!$A:$A,0)),FALSE),ROUND(D136+(E136-D136)*(1+G136)*((3-1)/(MaxLevel-1))^(2^F136),0),D136+(E136-D136)*(1+G136)*((3-1)/(MaxLevel-1))^(2^F136)))</f>
        <v>53</v>
      </c>
      <c r="K136" s="12">
        <f>IF(OR(D136="",E136=""),"",IF(IFERROR(INDEX(Stats!$D:$D,MATCH($C136,Stats!$A:$A,0)),FALSE),ROUND(D136+(E136-D136)*(1+G136)*((4-1)/(MaxLevel-1))^(2^F136),0),D136+(E136-D136)*(1+G136)*((4-1)/(MaxLevel-1))^(2^F136)))</f>
        <v>67</v>
      </c>
      <c r="L136" s="12">
        <f>IF(OR(D136="",E136=""),"",IF(IFERROR(INDEX(Stats!$D:$D,MATCH($C136,Stats!$A:$A,0)),FALSE),ROUND(D136+(E136-D136)*(1+G136)*((5-1)/(MaxLevel-1))^(2^F136),0),D136+(E136-D136)*(1+G136)*((5-1)/(MaxLevel-1))^(2^F136)))</f>
        <v>81</v>
      </c>
      <c r="M136" s="12">
        <f>IF(OR(D136="",E136=""),"",IF(IFERROR(INDEX(Stats!$D:$D,MATCH($C136,Stats!$A:$A,0)),FALSE),ROUND(D136+(E136-D136)*(1+G136)*((6-1)/(MaxLevel-1))^(2^F136),0),D136+(E136-D136)*(1+G136)*((6-1)/(MaxLevel-1))^(2^F136)))</f>
        <v>94</v>
      </c>
      <c r="N136" s="12">
        <f>IF(OR(D136="",E136=""),"",IF(IFERROR(INDEX(Stats!$D:$D,MATCH($C136,Stats!$A:$A,0)),FALSE),ROUND(D136+(E136-D136)*(1+G136)*((7-1)/(MaxLevel-1))^(2^F136),0),D136+(E136-D136)*(1+G136)*((7-1)/(MaxLevel-1))^(2^F136)))</f>
        <v>108</v>
      </c>
      <c r="O136" s="12">
        <f>IF(OR(D136="",E136=""),"",IF(IFERROR(INDEX(Stats!$D:$D,MATCH($C136,Stats!$A:$A,0)),FALSE),ROUND(D136+(E136-D136)*(1+G136)*((8-1)/(MaxLevel-1))^(2^F136),0),D136+(E136-D136)*(1+G136)*((8-1)/(MaxLevel-1))^(2^F136)))</f>
        <v>122</v>
      </c>
      <c r="P136" s="12">
        <f>IF(OR(D136="",E136=""),"",IF(IFERROR(INDEX(Stats!$D:$D,MATCH($C136,Stats!$A:$A,0)),FALSE),ROUND(D136+(E136-D136)*(1+G136)*((9-1)/(MaxLevel-1))^(2^F136),0),D136+(E136-D136)*(1+G136)*((9-1)/(MaxLevel-1))^(2^F136)))</f>
        <v>136</v>
      </c>
      <c r="Q136" s="12">
        <f>IF(OR(D136="",E136=""),"",IF(IFERROR(INDEX(Stats!$D:$D,MATCH($C136,Stats!$A:$A,0)),FALSE),ROUND(D136+(E136-D136)*(1+G136)*((10-1)/(MaxLevel-1))^(2^F136),0),D136+(E136-D136)*(1+G136)*((10-1)/(MaxLevel-1))^(2^F136)))</f>
        <v>150</v>
      </c>
    </row>
    <row r="137" spans="1:17" x14ac:dyDescent="0.25">
      <c r="A137" s="4" t="s">
        <v>185</v>
      </c>
      <c r="B137" s="19" t="s">
        <v>223</v>
      </c>
      <c r="C137" s="4" t="s">
        <v>28</v>
      </c>
      <c r="D137" s="5">
        <v>300</v>
      </c>
      <c r="E137" s="5">
        <v>1200</v>
      </c>
      <c r="F137" s="5">
        <v>0</v>
      </c>
      <c r="G137" s="5">
        <v>-0.1</v>
      </c>
      <c r="H137" s="12">
        <f>IF(OR(D137="",E137=""),"",IF(IFERROR(INDEX(Stats!$D:$D,MATCH($C137,Stats!$A:$A,0)),FALSE),ROUND(D137+(E137-D137)*(1+G137)*((1-1)/(MaxLevel-1))^(2^F137),0),D137+(E137-D137)*(1+G137)*((1-1)/(MaxLevel-1))^(2^F137)))</f>
        <v>300</v>
      </c>
      <c r="I137" s="12">
        <f>IF(OR(D137="",E137=""),"",IF(IFERROR(INDEX(Stats!$D:$D,MATCH($C137,Stats!$A:$A,0)),FALSE),ROUND(D137+(E137-D137)*(1+G137)*((2-1)/(MaxLevel-1))^(2^F137),0),D137+(E137-D137)*(1+G137)*((2-1)/(MaxLevel-1))^(2^F137)))</f>
        <v>390</v>
      </c>
      <c r="J137" s="12">
        <f>IF(OR(D137="",E137=""),"",IF(IFERROR(INDEX(Stats!$D:$D,MATCH($C137,Stats!$A:$A,0)),FALSE),ROUND(D137+(E137-D137)*(1+G137)*((3-1)/(MaxLevel-1))^(2^F137),0),D137+(E137-D137)*(1+G137)*((3-1)/(MaxLevel-1))^(2^F137)))</f>
        <v>480</v>
      </c>
      <c r="K137" s="12">
        <f>IF(OR(D137="",E137=""),"",IF(IFERROR(INDEX(Stats!$D:$D,MATCH($C137,Stats!$A:$A,0)),FALSE),ROUND(D137+(E137-D137)*(1+G137)*((4-1)/(MaxLevel-1))^(2^F137),0),D137+(E137-D137)*(1+G137)*((4-1)/(MaxLevel-1))^(2^F137)))</f>
        <v>570</v>
      </c>
      <c r="L137" s="12">
        <f>IF(OR(D137="",E137=""),"",IF(IFERROR(INDEX(Stats!$D:$D,MATCH($C137,Stats!$A:$A,0)),FALSE),ROUND(D137+(E137-D137)*(1+G137)*((5-1)/(MaxLevel-1))^(2^F137),0),D137+(E137-D137)*(1+G137)*((5-1)/(MaxLevel-1))^(2^F137)))</f>
        <v>660</v>
      </c>
      <c r="M137" s="12">
        <f>IF(OR(D137="",E137=""),"",IF(IFERROR(INDEX(Stats!$D:$D,MATCH($C137,Stats!$A:$A,0)),FALSE),ROUND(D137+(E137-D137)*(1+G137)*((6-1)/(MaxLevel-1))^(2^F137),0),D137+(E137-D137)*(1+G137)*((6-1)/(MaxLevel-1))^(2^F137)))</f>
        <v>750</v>
      </c>
      <c r="N137" s="12">
        <f>IF(OR(D137="",E137=""),"",IF(IFERROR(INDEX(Stats!$D:$D,MATCH($C137,Stats!$A:$A,0)),FALSE),ROUND(D137+(E137-D137)*(1+G137)*((7-1)/(MaxLevel-1))^(2^F137),0),D137+(E137-D137)*(1+G137)*((7-1)/(MaxLevel-1))^(2^F137)))</f>
        <v>840</v>
      </c>
      <c r="O137" s="12">
        <f>IF(OR(D137="",E137=""),"",IF(IFERROR(INDEX(Stats!$D:$D,MATCH($C137,Stats!$A:$A,0)),FALSE),ROUND(D137+(E137-D137)*(1+G137)*((8-1)/(MaxLevel-1))^(2^F137),0),D137+(E137-D137)*(1+G137)*((8-1)/(MaxLevel-1))^(2^F137)))</f>
        <v>930</v>
      </c>
      <c r="P137" s="12">
        <f>IF(OR(D137="",E137=""),"",IF(IFERROR(INDEX(Stats!$D:$D,MATCH($C137,Stats!$A:$A,0)),FALSE),ROUND(D137+(E137-D137)*(1+G137)*((9-1)/(MaxLevel-1))^(2^F137),0),D137+(E137-D137)*(1+G137)*((9-1)/(MaxLevel-1))^(2^F137)))</f>
        <v>1020</v>
      </c>
      <c r="Q137" s="12">
        <f>IF(OR(D137="",E137=""),"",IF(IFERROR(INDEX(Stats!$D:$D,MATCH($C137,Stats!$A:$A,0)),FALSE),ROUND(D137+(E137-D137)*(1+G137)*((10-1)/(MaxLevel-1))^(2^F137),0),D137+(E137-D137)*(1+G137)*((10-1)/(MaxLevel-1))^(2^F137)))</f>
        <v>1110</v>
      </c>
    </row>
    <row r="138" spans="1:17" x14ac:dyDescent="0.25">
      <c r="A138" s="4" t="s">
        <v>185</v>
      </c>
      <c r="B138" s="19" t="s">
        <v>223</v>
      </c>
      <c r="C138" s="4" t="s">
        <v>30</v>
      </c>
      <c r="D138" s="5">
        <v>25</v>
      </c>
      <c r="E138" s="5">
        <v>110</v>
      </c>
      <c r="F138" s="5">
        <v>0.5</v>
      </c>
      <c r="G138" s="5">
        <v>0</v>
      </c>
      <c r="H138" s="12">
        <f>IF(OR(D138="",E138=""),"",IF(IFERROR(INDEX(Stats!$D:$D,MATCH($C138,Stats!$A:$A,0)),FALSE),ROUND(D138+(E138-D138)*(1+G138)*((1-1)/(MaxLevel-1))^(2^F138),0),D138+(E138-D138)*(1+G138)*((1-1)/(MaxLevel-1))^(2^F138)))</f>
        <v>25</v>
      </c>
      <c r="I138" s="12">
        <f>IF(OR(D138="",E138=""),"",IF(IFERROR(INDEX(Stats!$D:$D,MATCH($C138,Stats!$A:$A,0)),FALSE),ROUND(D138+(E138-D138)*(1+G138)*((2-1)/(MaxLevel-1))^(2^F138),0),D138+(E138-D138)*(1+G138)*((2-1)/(MaxLevel-1))^(2^F138)))</f>
        <v>29</v>
      </c>
      <c r="J138" s="12">
        <f>IF(OR(D138="",E138=""),"",IF(IFERROR(INDEX(Stats!$D:$D,MATCH($C138,Stats!$A:$A,0)),FALSE),ROUND(D138+(E138-D138)*(1+G138)*((3-1)/(MaxLevel-1))^(2^F138),0),D138+(E138-D138)*(1+G138)*((3-1)/(MaxLevel-1))^(2^F138)))</f>
        <v>35</v>
      </c>
      <c r="K138" s="12">
        <f>IF(OR(D138="",E138=""),"",IF(IFERROR(INDEX(Stats!$D:$D,MATCH($C138,Stats!$A:$A,0)),FALSE),ROUND(D138+(E138-D138)*(1+G138)*((4-1)/(MaxLevel-1))^(2^F138),0),D138+(E138-D138)*(1+G138)*((4-1)/(MaxLevel-1))^(2^F138)))</f>
        <v>43</v>
      </c>
      <c r="L138" s="12">
        <f>IF(OR(D138="",E138=""),"",IF(IFERROR(INDEX(Stats!$D:$D,MATCH($C138,Stats!$A:$A,0)),FALSE),ROUND(D138+(E138-D138)*(1+G138)*((5-1)/(MaxLevel-1))^(2^F138),0),D138+(E138-D138)*(1+G138)*((5-1)/(MaxLevel-1))^(2^F138)))</f>
        <v>52</v>
      </c>
      <c r="M138" s="12">
        <f>IF(OR(D138="",E138=""),"",IF(IFERROR(INDEX(Stats!$D:$D,MATCH($C138,Stats!$A:$A,0)),FALSE),ROUND(D138+(E138-D138)*(1+G138)*((6-1)/(MaxLevel-1))^(2^F138),0),D138+(E138-D138)*(1+G138)*((6-1)/(MaxLevel-1))^(2^F138)))</f>
        <v>62</v>
      </c>
      <c r="N138" s="12">
        <f>IF(OR(D138="",E138=""),"",IF(IFERROR(INDEX(Stats!$D:$D,MATCH($C138,Stats!$A:$A,0)),FALSE),ROUND(D138+(E138-D138)*(1+G138)*((7-1)/(MaxLevel-1))^(2^F138),0),D138+(E138-D138)*(1+G138)*((7-1)/(MaxLevel-1))^(2^F138)))</f>
        <v>73</v>
      </c>
      <c r="O138" s="12">
        <f>IF(OR(D138="",E138=""),"",IF(IFERROR(INDEX(Stats!$D:$D,MATCH($C138,Stats!$A:$A,0)),FALSE),ROUND(D138+(E138-D138)*(1+G138)*((8-1)/(MaxLevel-1))^(2^F138),0),D138+(E138-D138)*(1+G138)*((8-1)/(MaxLevel-1))^(2^F138)))</f>
        <v>85</v>
      </c>
      <c r="P138" s="12">
        <f>IF(OR(D138="",E138=""),"",IF(IFERROR(INDEX(Stats!$D:$D,MATCH($C138,Stats!$A:$A,0)),FALSE),ROUND(D138+(E138-D138)*(1+G138)*((9-1)/(MaxLevel-1))^(2^F138),0),D138+(E138-D138)*(1+G138)*((9-1)/(MaxLevel-1))^(2^F138)))</f>
        <v>97</v>
      </c>
      <c r="Q138" s="12">
        <f>IF(OR(D138="",E138=""),"",IF(IFERROR(INDEX(Stats!$D:$D,MATCH($C138,Stats!$A:$A,0)),FALSE),ROUND(D138+(E138-D138)*(1+G138)*((10-1)/(MaxLevel-1))^(2^F138),0),D138+(E138-D138)*(1+G138)*((10-1)/(MaxLevel-1))^(2^F138)))</f>
        <v>110</v>
      </c>
    </row>
    <row r="139" spans="1:17" x14ac:dyDescent="0.25">
      <c r="A139" s="4" t="s">
        <v>185</v>
      </c>
      <c r="B139" s="19" t="s">
        <v>223</v>
      </c>
      <c r="C139" s="4" t="s">
        <v>32</v>
      </c>
      <c r="D139" s="5"/>
      <c r="E139" s="5"/>
      <c r="F139" s="5"/>
      <c r="G139" s="5"/>
      <c r="H139" s="12" t="str">
        <f>IF(OR(D139="",E139=""),"",IF(IFERROR(INDEX(Stats!$D:$D,MATCH($C139,Stats!$A:$A,0)),FALSE),ROUND(D139+(E139-D139)*(1+G139)*((1-1)/(MaxLevel-1))^(2^F139),0),D139+(E139-D139)*(1+G139)*((1-1)/(MaxLevel-1))^(2^F139)))</f>
        <v/>
      </c>
      <c r="I139" s="12" t="str">
        <f>IF(OR(D139="",E139=""),"",IF(IFERROR(INDEX(Stats!$D:$D,MATCH($C139,Stats!$A:$A,0)),FALSE),ROUND(D139+(E139-D139)*(1+G139)*((2-1)/(MaxLevel-1))^(2^F139),0),D139+(E139-D139)*(1+G139)*((2-1)/(MaxLevel-1))^(2^F139)))</f>
        <v/>
      </c>
      <c r="J139" s="12" t="str">
        <f>IF(OR(D139="",E139=""),"",IF(IFERROR(INDEX(Stats!$D:$D,MATCH($C139,Stats!$A:$A,0)),FALSE),ROUND(D139+(E139-D139)*(1+G139)*((3-1)/(MaxLevel-1))^(2^F139),0),D139+(E139-D139)*(1+G139)*((3-1)/(MaxLevel-1))^(2^F139)))</f>
        <v/>
      </c>
      <c r="K139" s="12" t="str">
        <f>IF(OR(D139="",E139=""),"",IF(IFERROR(INDEX(Stats!$D:$D,MATCH($C139,Stats!$A:$A,0)),FALSE),ROUND(D139+(E139-D139)*(1+G139)*((4-1)/(MaxLevel-1))^(2^F139),0),D139+(E139-D139)*(1+G139)*((4-1)/(MaxLevel-1))^(2^F139)))</f>
        <v/>
      </c>
      <c r="L139" s="12" t="str">
        <f>IF(OR(D139="",E139=""),"",IF(IFERROR(INDEX(Stats!$D:$D,MATCH($C139,Stats!$A:$A,0)),FALSE),ROUND(D139+(E139-D139)*(1+G139)*((5-1)/(MaxLevel-1))^(2^F139),0),D139+(E139-D139)*(1+G139)*((5-1)/(MaxLevel-1))^(2^F139)))</f>
        <v/>
      </c>
      <c r="M139" s="12" t="str">
        <f>IF(OR(D139="",E139=""),"",IF(IFERROR(INDEX(Stats!$D:$D,MATCH($C139,Stats!$A:$A,0)),FALSE),ROUND(D139+(E139-D139)*(1+G139)*((6-1)/(MaxLevel-1))^(2^F139),0),D139+(E139-D139)*(1+G139)*((6-1)/(MaxLevel-1))^(2^F139)))</f>
        <v/>
      </c>
      <c r="N139" s="12" t="str">
        <f>IF(OR(D139="",E139=""),"",IF(IFERROR(INDEX(Stats!$D:$D,MATCH($C139,Stats!$A:$A,0)),FALSE),ROUND(D139+(E139-D139)*(1+G139)*((7-1)/(MaxLevel-1))^(2^F139),0),D139+(E139-D139)*(1+G139)*((7-1)/(MaxLevel-1))^(2^F139)))</f>
        <v/>
      </c>
      <c r="O139" s="12" t="str">
        <f>IF(OR(D139="",E139=""),"",IF(IFERROR(INDEX(Stats!$D:$D,MATCH($C139,Stats!$A:$A,0)),FALSE),ROUND(D139+(E139-D139)*(1+G139)*((8-1)/(MaxLevel-1))^(2^F139),0),D139+(E139-D139)*(1+G139)*((8-1)/(MaxLevel-1))^(2^F139)))</f>
        <v/>
      </c>
      <c r="P139" s="12" t="str">
        <f>IF(OR(D139="",E139=""),"",IF(IFERROR(INDEX(Stats!$D:$D,MATCH($C139,Stats!$A:$A,0)),FALSE),ROUND(D139+(E139-D139)*(1+G139)*((9-1)/(MaxLevel-1))^(2^F139),0),D139+(E139-D139)*(1+G139)*((9-1)/(MaxLevel-1))^(2^F139)))</f>
        <v/>
      </c>
      <c r="Q139" s="12" t="str">
        <f>IF(OR(D139="",E139=""),"",IF(IFERROR(INDEX(Stats!$D:$D,MATCH($C139,Stats!$A:$A,0)),FALSE),ROUND(D139+(E139-D139)*(1+G139)*((10-1)/(MaxLevel-1))^(2^F139),0),D139+(E139-D139)*(1+G139)*((10-1)/(MaxLevel-1))^(2^F139)))</f>
        <v/>
      </c>
    </row>
    <row r="140" spans="1:17" x14ac:dyDescent="0.25">
      <c r="A140" s="4" t="s">
        <v>185</v>
      </c>
      <c r="B140" s="19" t="s">
        <v>223</v>
      </c>
      <c r="C140" s="4" t="s">
        <v>34</v>
      </c>
      <c r="D140" s="5"/>
      <c r="E140" s="5"/>
      <c r="F140" s="5"/>
      <c r="G140" s="5"/>
      <c r="H140" s="12" t="str">
        <f>IF(OR(D140="",E140=""),"",IF(IFERROR(INDEX(Stats!$D:$D,MATCH($C140,Stats!$A:$A,0)),FALSE),ROUND(D140+(E140-D140)*(1+G140)*((1-1)/(MaxLevel-1))^(2^F140),0),D140+(E140-D140)*(1+G140)*((1-1)/(MaxLevel-1))^(2^F140)))</f>
        <v/>
      </c>
      <c r="I140" s="12" t="str">
        <f>IF(OR(D140="",E140=""),"",IF(IFERROR(INDEX(Stats!$D:$D,MATCH($C140,Stats!$A:$A,0)),FALSE),ROUND(D140+(E140-D140)*(1+G140)*((2-1)/(MaxLevel-1))^(2^F140),0),D140+(E140-D140)*(1+G140)*((2-1)/(MaxLevel-1))^(2^F140)))</f>
        <v/>
      </c>
      <c r="J140" s="12" t="str">
        <f>IF(OR(D140="",E140=""),"",IF(IFERROR(INDEX(Stats!$D:$D,MATCH($C140,Stats!$A:$A,0)),FALSE),ROUND(D140+(E140-D140)*(1+G140)*((3-1)/(MaxLevel-1))^(2^F140),0),D140+(E140-D140)*(1+G140)*((3-1)/(MaxLevel-1))^(2^F140)))</f>
        <v/>
      </c>
      <c r="K140" s="12" t="str">
        <f>IF(OR(D140="",E140=""),"",IF(IFERROR(INDEX(Stats!$D:$D,MATCH($C140,Stats!$A:$A,0)),FALSE),ROUND(D140+(E140-D140)*(1+G140)*((4-1)/(MaxLevel-1))^(2^F140),0),D140+(E140-D140)*(1+G140)*((4-1)/(MaxLevel-1))^(2^F140)))</f>
        <v/>
      </c>
      <c r="L140" s="12" t="str">
        <f>IF(OR(D140="",E140=""),"",IF(IFERROR(INDEX(Stats!$D:$D,MATCH($C140,Stats!$A:$A,0)),FALSE),ROUND(D140+(E140-D140)*(1+G140)*((5-1)/(MaxLevel-1))^(2^F140),0),D140+(E140-D140)*(1+G140)*((5-1)/(MaxLevel-1))^(2^F140)))</f>
        <v/>
      </c>
      <c r="M140" s="12" t="str">
        <f>IF(OR(D140="",E140=""),"",IF(IFERROR(INDEX(Stats!$D:$D,MATCH($C140,Stats!$A:$A,0)),FALSE),ROUND(D140+(E140-D140)*(1+G140)*((6-1)/(MaxLevel-1))^(2^F140),0),D140+(E140-D140)*(1+G140)*((6-1)/(MaxLevel-1))^(2^F140)))</f>
        <v/>
      </c>
      <c r="N140" s="12" t="str">
        <f>IF(OR(D140="",E140=""),"",IF(IFERROR(INDEX(Stats!$D:$D,MATCH($C140,Stats!$A:$A,0)),FALSE),ROUND(D140+(E140-D140)*(1+G140)*((7-1)/(MaxLevel-1))^(2^F140),0),D140+(E140-D140)*(1+G140)*((7-1)/(MaxLevel-1))^(2^F140)))</f>
        <v/>
      </c>
      <c r="O140" s="12" t="str">
        <f>IF(OR(D140="",E140=""),"",IF(IFERROR(INDEX(Stats!$D:$D,MATCH($C140,Stats!$A:$A,0)),FALSE),ROUND(D140+(E140-D140)*(1+G140)*((8-1)/(MaxLevel-1))^(2^F140),0),D140+(E140-D140)*(1+G140)*((8-1)/(MaxLevel-1))^(2^F140)))</f>
        <v/>
      </c>
      <c r="P140" s="12" t="str">
        <f>IF(OR(D140="",E140=""),"",IF(IFERROR(INDEX(Stats!$D:$D,MATCH($C140,Stats!$A:$A,0)),FALSE),ROUND(D140+(E140-D140)*(1+G140)*((9-1)/(MaxLevel-1))^(2^F140),0),D140+(E140-D140)*(1+G140)*((9-1)/(MaxLevel-1))^(2^F140)))</f>
        <v/>
      </c>
      <c r="Q140" s="12" t="str">
        <f>IF(OR(D140="",E140=""),"",IF(IFERROR(INDEX(Stats!$D:$D,MATCH($C140,Stats!$A:$A,0)),FALSE),ROUND(D140+(E140-D140)*(1+G140)*((10-1)/(MaxLevel-1))^(2^F140),0),D140+(E140-D140)*(1+G140)*((10-1)/(MaxLevel-1))^(2^F140)))</f>
        <v/>
      </c>
    </row>
    <row r="141" spans="1:17" x14ac:dyDescent="0.25">
      <c r="A141" s="4" t="s">
        <v>185</v>
      </c>
      <c r="B141" s="19" t="s">
        <v>223</v>
      </c>
      <c r="C141" s="4" t="s">
        <v>36</v>
      </c>
      <c r="D141" s="5"/>
      <c r="E141" s="5"/>
      <c r="F141" s="5"/>
      <c r="G141" s="5"/>
      <c r="H141" s="12" t="str">
        <f>IF(OR(D141="",E141=""),"",IF(IFERROR(INDEX(Stats!$D:$D,MATCH($C141,Stats!$A:$A,0)),FALSE),ROUND(D141+(E141-D141)*(1+G141)*((1-1)/(MaxLevel-1))^(2^F141),0),D141+(E141-D141)*(1+G141)*((1-1)/(MaxLevel-1))^(2^F141)))</f>
        <v/>
      </c>
      <c r="I141" s="12" t="str">
        <f>IF(OR(D141="",E141=""),"",IF(IFERROR(INDEX(Stats!$D:$D,MATCH($C141,Stats!$A:$A,0)),FALSE),ROUND(D141+(E141-D141)*(1+G141)*((2-1)/(MaxLevel-1))^(2^F141),0),D141+(E141-D141)*(1+G141)*((2-1)/(MaxLevel-1))^(2^F141)))</f>
        <v/>
      </c>
      <c r="J141" s="12" t="str">
        <f>IF(OR(D141="",E141=""),"",IF(IFERROR(INDEX(Stats!$D:$D,MATCH($C141,Stats!$A:$A,0)),FALSE),ROUND(D141+(E141-D141)*(1+G141)*((3-1)/(MaxLevel-1))^(2^F141),0),D141+(E141-D141)*(1+G141)*((3-1)/(MaxLevel-1))^(2^F141)))</f>
        <v/>
      </c>
      <c r="K141" s="12" t="str">
        <f>IF(OR(D141="",E141=""),"",IF(IFERROR(INDEX(Stats!$D:$D,MATCH($C141,Stats!$A:$A,0)),FALSE),ROUND(D141+(E141-D141)*(1+G141)*((4-1)/(MaxLevel-1))^(2^F141),0),D141+(E141-D141)*(1+G141)*((4-1)/(MaxLevel-1))^(2^F141)))</f>
        <v/>
      </c>
      <c r="L141" s="12" t="str">
        <f>IF(OR(D141="",E141=""),"",IF(IFERROR(INDEX(Stats!$D:$D,MATCH($C141,Stats!$A:$A,0)),FALSE),ROUND(D141+(E141-D141)*(1+G141)*((5-1)/(MaxLevel-1))^(2^F141),0),D141+(E141-D141)*(1+G141)*((5-1)/(MaxLevel-1))^(2^F141)))</f>
        <v/>
      </c>
      <c r="M141" s="12" t="str">
        <f>IF(OR(D141="",E141=""),"",IF(IFERROR(INDEX(Stats!$D:$D,MATCH($C141,Stats!$A:$A,0)),FALSE),ROUND(D141+(E141-D141)*(1+G141)*((6-1)/(MaxLevel-1))^(2^F141),0),D141+(E141-D141)*(1+G141)*((6-1)/(MaxLevel-1))^(2^F141)))</f>
        <v/>
      </c>
      <c r="N141" s="12" t="str">
        <f>IF(OR(D141="",E141=""),"",IF(IFERROR(INDEX(Stats!$D:$D,MATCH($C141,Stats!$A:$A,0)),FALSE),ROUND(D141+(E141-D141)*(1+G141)*((7-1)/(MaxLevel-1))^(2^F141),0),D141+(E141-D141)*(1+G141)*((7-1)/(MaxLevel-1))^(2^F141)))</f>
        <v/>
      </c>
      <c r="O141" s="12" t="str">
        <f>IF(OR(D141="",E141=""),"",IF(IFERROR(INDEX(Stats!$D:$D,MATCH($C141,Stats!$A:$A,0)),FALSE),ROUND(D141+(E141-D141)*(1+G141)*((8-1)/(MaxLevel-1))^(2^F141),0),D141+(E141-D141)*(1+G141)*((8-1)/(MaxLevel-1))^(2^F141)))</f>
        <v/>
      </c>
      <c r="P141" s="12" t="str">
        <f>IF(OR(D141="",E141=""),"",IF(IFERROR(INDEX(Stats!$D:$D,MATCH($C141,Stats!$A:$A,0)),FALSE),ROUND(D141+(E141-D141)*(1+G141)*((9-1)/(MaxLevel-1))^(2^F141),0),D141+(E141-D141)*(1+G141)*((9-1)/(MaxLevel-1))^(2^F141)))</f>
        <v/>
      </c>
      <c r="Q141" s="12" t="str">
        <f>IF(OR(D141="",E141=""),"",IF(IFERROR(INDEX(Stats!$D:$D,MATCH($C141,Stats!$A:$A,0)),FALSE),ROUND(D141+(E141-D141)*(1+G141)*((10-1)/(MaxLevel-1))^(2^F141),0),D141+(E141-D141)*(1+G141)*((10-1)/(MaxLevel-1))^(2^F141)))</f>
        <v/>
      </c>
    </row>
    <row r="142" spans="1:17" x14ac:dyDescent="0.25">
      <c r="A142" s="4" t="s">
        <v>185</v>
      </c>
      <c r="B142" s="19" t="s">
        <v>223</v>
      </c>
      <c r="C142" s="4" t="s">
        <v>38</v>
      </c>
      <c r="D142" s="5"/>
      <c r="E142" s="5"/>
      <c r="F142" s="5"/>
      <c r="G142" s="5"/>
      <c r="H142" s="12" t="str">
        <f>IF(OR(D142="",E142=""),"",IF(IFERROR(INDEX(Stats!$D:$D,MATCH($C142,Stats!$A:$A,0)),FALSE),ROUND(D142+(E142-D142)*(1+G142)*((1-1)/(MaxLevel-1))^(2^F142),0),D142+(E142-D142)*(1+G142)*((1-1)/(MaxLevel-1))^(2^F142)))</f>
        <v/>
      </c>
      <c r="I142" s="12" t="str">
        <f>IF(OR(D142="",E142=""),"",IF(IFERROR(INDEX(Stats!$D:$D,MATCH($C142,Stats!$A:$A,0)),FALSE),ROUND(D142+(E142-D142)*(1+G142)*((2-1)/(MaxLevel-1))^(2^F142),0),D142+(E142-D142)*(1+G142)*((2-1)/(MaxLevel-1))^(2^F142)))</f>
        <v/>
      </c>
      <c r="J142" s="12" t="str">
        <f>IF(OR(D142="",E142=""),"",IF(IFERROR(INDEX(Stats!$D:$D,MATCH($C142,Stats!$A:$A,0)),FALSE),ROUND(D142+(E142-D142)*(1+G142)*((3-1)/(MaxLevel-1))^(2^F142),0),D142+(E142-D142)*(1+G142)*((3-1)/(MaxLevel-1))^(2^F142)))</f>
        <v/>
      </c>
      <c r="K142" s="12" t="str">
        <f>IF(OR(D142="",E142=""),"",IF(IFERROR(INDEX(Stats!$D:$D,MATCH($C142,Stats!$A:$A,0)),FALSE),ROUND(D142+(E142-D142)*(1+G142)*((4-1)/(MaxLevel-1))^(2^F142),0),D142+(E142-D142)*(1+G142)*((4-1)/(MaxLevel-1))^(2^F142)))</f>
        <v/>
      </c>
      <c r="L142" s="12" t="str">
        <f>IF(OR(D142="",E142=""),"",IF(IFERROR(INDEX(Stats!$D:$D,MATCH($C142,Stats!$A:$A,0)),FALSE),ROUND(D142+(E142-D142)*(1+G142)*((5-1)/(MaxLevel-1))^(2^F142),0),D142+(E142-D142)*(1+G142)*((5-1)/(MaxLevel-1))^(2^F142)))</f>
        <v/>
      </c>
      <c r="M142" s="12" t="str">
        <f>IF(OR(D142="",E142=""),"",IF(IFERROR(INDEX(Stats!$D:$D,MATCH($C142,Stats!$A:$A,0)),FALSE),ROUND(D142+(E142-D142)*(1+G142)*((6-1)/(MaxLevel-1))^(2^F142),0),D142+(E142-D142)*(1+G142)*((6-1)/(MaxLevel-1))^(2^F142)))</f>
        <v/>
      </c>
      <c r="N142" s="12" t="str">
        <f>IF(OR(D142="",E142=""),"",IF(IFERROR(INDEX(Stats!$D:$D,MATCH($C142,Stats!$A:$A,0)),FALSE),ROUND(D142+(E142-D142)*(1+G142)*((7-1)/(MaxLevel-1))^(2^F142),0),D142+(E142-D142)*(1+G142)*((7-1)/(MaxLevel-1))^(2^F142)))</f>
        <v/>
      </c>
      <c r="O142" s="12" t="str">
        <f>IF(OR(D142="",E142=""),"",IF(IFERROR(INDEX(Stats!$D:$D,MATCH($C142,Stats!$A:$A,0)),FALSE),ROUND(D142+(E142-D142)*(1+G142)*((8-1)/(MaxLevel-1))^(2^F142),0),D142+(E142-D142)*(1+G142)*((8-1)/(MaxLevel-1))^(2^F142)))</f>
        <v/>
      </c>
      <c r="P142" s="12" t="str">
        <f>IF(OR(D142="",E142=""),"",IF(IFERROR(INDEX(Stats!$D:$D,MATCH($C142,Stats!$A:$A,0)),FALSE),ROUND(D142+(E142-D142)*(1+G142)*((9-1)/(MaxLevel-1))^(2^F142),0),D142+(E142-D142)*(1+G142)*((9-1)/(MaxLevel-1))^(2^F142)))</f>
        <v/>
      </c>
      <c r="Q142" s="12" t="str">
        <f>IF(OR(D142="",E142=""),"",IF(IFERROR(INDEX(Stats!$D:$D,MATCH($C142,Stats!$A:$A,0)),FALSE),ROUND(D142+(E142-D142)*(1+G142)*((10-1)/(MaxLevel-1))^(2^F142),0),D142+(E142-D142)*(1+G142)*((10-1)/(MaxLevel-1))^(2^F142)))</f>
        <v/>
      </c>
    </row>
    <row r="143" spans="1:17" x14ac:dyDescent="0.25">
      <c r="A143" s="4" t="s">
        <v>185</v>
      </c>
      <c r="B143" s="19" t="s">
        <v>223</v>
      </c>
      <c r="C143" s="4" t="s">
        <v>40</v>
      </c>
      <c r="D143" s="5"/>
      <c r="E143" s="5"/>
      <c r="F143" s="5"/>
      <c r="G143" s="5"/>
      <c r="H143" s="12" t="str">
        <f>IF(OR(D143="",E143=""),"",IF(IFERROR(INDEX(Stats!$D:$D,MATCH($C143,Stats!$A:$A,0)),FALSE),ROUND(D143+(E143-D143)*(1+G143)*((1-1)/(MaxLevel-1))^(2^F143),0),D143+(E143-D143)*(1+G143)*((1-1)/(MaxLevel-1))^(2^F143)))</f>
        <v/>
      </c>
      <c r="I143" s="12" t="str">
        <f>IF(OR(D143="",E143=""),"",IF(IFERROR(INDEX(Stats!$D:$D,MATCH($C143,Stats!$A:$A,0)),FALSE),ROUND(D143+(E143-D143)*(1+G143)*((2-1)/(MaxLevel-1))^(2^F143),0),D143+(E143-D143)*(1+G143)*((2-1)/(MaxLevel-1))^(2^F143)))</f>
        <v/>
      </c>
      <c r="J143" s="12" t="str">
        <f>IF(OR(D143="",E143=""),"",IF(IFERROR(INDEX(Stats!$D:$D,MATCH($C143,Stats!$A:$A,0)),FALSE),ROUND(D143+(E143-D143)*(1+G143)*((3-1)/(MaxLevel-1))^(2^F143),0),D143+(E143-D143)*(1+G143)*((3-1)/(MaxLevel-1))^(2^F143)))</f>
        <v/>
      </c>
      <c r="K143" s="12" t="str">
        <f>IF(OR(D143="",E143=""),"",IF(IFERROR(INDEX(Stats!$D:$D,MATCH($C143,Stats!$A:$A,0)),FALSE),ROUND(D143+(E143-D143)*(1+G143)*((4-1)/(MaxLevel-1))^(2^F143),0),D143+(E143-D143)*(1+G143)*((4-1)/(MaxLevel-1))^(2^F143)))</f>
        <v/>
      </c>
      <c r="L143" s="12" t="str">
        <f>IF(OR(D143="",E143=""),"",IF(IFERROR(INDEX(Stats!$D:$D,MATCH($C143,Stats!$A:$A,0)),FALSE),ROUND(D143+(E143-D143)*(1+G143)*((5-1)/(MaxLevel-1))^(2^F143),0),D143+(E143-D143)*(1+G143)*((5-1)/(MaxLevel-1))^(2^F143)))</f>
        <v/>
      </c>
      <c r="M143" s="12" t="str">
        <f>IF(OR(D143="",E143=""),"",IF(IFERROR(INDEX(Stats!$D:$D,MATCH($C143,Stats!$A:$A,0)),FALSE),ROUND(D143+(E143-D143)*(1+G143)*((6-1)/(MaxLevel-1))^(2^F143),0),D143+(E143-D143)*(1+G143)*((6-1)/(MaxLevel-1))^(2^F143)))</f>
        <v/>
      </c>
      <c r="N143" s="12" t="str">
        <f>IF(OR(D143="",E143=""),"",IF(IFERROR(INDEX(Stats!$D:$D,MATCH($C143,Stats!$A:$A,0)),FALSE),ROUND(D143+(E143-D143)*(1+G143)*((7-1)/(MaxLevel-1))^(2^F143),0),D143+(E143-D143)*(1+G143)*((7-1)/(MaxLevel-1))^(2^F143)))</f>
        <v/>
      </c>
      <c r="O143" s="12" t="str">
        <f>IF(OR(D143="",E143=""),"",IF(IFERROR(INDEX(Stats!$D:$D,MATCH($C143,Stats!$A:$A,0)),FALSE),ROUND(D143+(E143-D143)*(1+G143)*((8-1)/(MaxLevel-1))^(2^F143),0),D143+(E143-D143)*(1+G143)*((8-1)/(MaxLevel-1))^(2^F143)))</f>
        <v/>
      </c>
      <c r="P143" s="12" t="str">
        <f>IF(OR(D143="",E143=""),"",IF(IFERROR(INDEX(Stats!$D:$D,MATCH($C143,Stats!$A:$A,0)),FALSE),ROUND(D143+(E143-D143)*(1+G143)*((9-1)/(MaxLevel-1))^(2^F143),0),D143+(E143-D143)*(1+G143)*((9-1)/(MaxLevel-1))^(2^F143)))</f>
        <v/>
      </c>
      <c r="Q143" s="12" t="str">
        <f>IF(OR(D143="",E143=""),"",IF(IFERROR(INDEX(Stats!$D:$D,MATCH($C143,Stats!$A:$A,0)),FALSE),ROUND(D143+(E143-D143)*(1+G143)*((10-1)/(MaxLevel-1))^(2^F143),0),D143+(E143-D143)*(1+G143)*((10-1)/(MaxLevel-1))^(2^F143)))</f>
        <v/>
      </c>
    </row>
    <row r="144" spans="1:17" x14ac:dyDescent="0.25">
      <c r="A144" s="4" t="s">
        <v>185</v>
      </c>
      <c r="B144" s="19" t="s">
        <v>223</v>
      </c>
      <c r="C144" s="4" t="s">
        <v>42</v>
      </c>
      <c r="D144" s="5"/>
      <c r="E144" s="5"/>
      <c r="F144" s="5"/>
      <c r="G144" s="5"/>
      <c r="H144" s="12" t="str">
        <f>IF(OR(D144="",E144=""),"",IF(IFERROR(INDEX(Stats!$D:$D,MATCH($C144,Stats!$A:$A,0)),FALSE),ROUND(D144+(E144-D144)*(1+G144)*((1-1)/(MaxLevel-1))^(2^F144),0),D144+(E144-D144)*(1+G144)*((1-1)/(MaxLevel-1))^(2^F144)))</f>
        <v/>
      </c>
      <c r="I144" s="12" t="str">
        <f>IF(OR(D144="",E144=""),"",IF(IFERROR(INDEX(Stats!$D:$D,MATCH($C144,Stats!$A:$A,0)),FALSE),ROUND(D144+(E144-D144)*(1+G144)*((2-1)/(MaxLevel-1))^(2^F144),0),D144+(E144-D144)*(1+G144)*((2-1)/(MaxLevel-1))^(2^F144)))</f>
        <v/>
      </c>
      <c r="J144" s="12" t="str">
        <f>IF(OR(D144="",E144=""),"",IF(IFERROR(INDEX(Stats!$D:$D,MATCH($C144,Stats!$A:$A,0)),FALSE),ROUND(D144+(E144-D144)*(1+G144)*((3-1)/(MaxLevel-1))^(2^F144),0),D144+(E144-D144)*(1+G144)*((3-1)/(MaxLevel-1))^(2^F144)))</f>
        <v/>
      </c>
      <c r="K144" s="12" t="str">
        <f>IF(OR(D144="",E144=""),"",IF(IFERROR(INDEX(Stats!$D:$D,MATCH($C144,Stats!$A:$A,0)),FALSE),ROUND(D144+(E144-D144)*(1+G144)*((4-1)/(MaxLevel-1))^(2^F144),0),D144+(E144-D144)*(1+G144)*((4-1)/(MaxLevel-1))^(2^F144)))</f>
        <v/>
      </c>
      <c r="L144" s="12" t="str">
        <f>IF(OR(D144="",E144=""),"",IF(IFERROR(INDEX(Stats!$D:$D,MATCH($C144,Stats!$A:$A,0)),FALSE),ROUND(D144+(E144-D144)*(1+G144)*((5-1)/(MaxLevel-1))^(2^F144),0),D144+(E144-D144)*(1+G144)*((5-1)/(MaxLevel-1))^(2^F144)))</f>
        <v/>
      </c>
      <c r="M144" s="12" t="str">
        <f>IF(OR(D144="",E144=""),"",IF(IFERROR(INDEX(Stats!$D:$D,MATCH($C144,Stats!$A:$A,0)),FALSE),ROUND(D144+(E144-D144)*(1+G144)*((6-1)/(MaxLevel-1))^(2^F144),0),D144+(E144-D144)*(1+G144)*((6-1)/(MaxLevel-1))^(2^F144)))</f>
        <v/>
      </c>
      <c r="N144" s="12" t="str">
        <f>IF(OR(D144="",E144=""),"",IF(IFERROR(INDEX(Stats!$D:$D,MATCH($C144,Stats!$A:$A,0)),FALSE),ROUND(D144+(E144-D144)*(1+G144)*((7-1)/(MaxLevel-1))^(2^F144),0),D144+(E144-D144)*(1+G144)*((7-1)/(MaxLevel-1))^(2^F144)))</f>
        <v/>
      </c>
      <c r="O144" s="12" t="str">
        <f>IF(OR(D144="",E144=""),"",IF(IFERROR(INDEX(Stats!$D:$D,MATCH($C144,Stats!$A:$A,0)),FALSE),ROUND(D144+(E144-D144)*(1+G144)*((8-1)/(MaxLevel-1))^(2^F144),0),D144+(E144-D144)*(1+G144)*((8-1)/(MaxLevel-1))^(2^F144)))</f>
        <v/>
      </c>
      <c r="P144" s="12" t="str">
        <f>IF(OR(D144="",E144=""),"",IF(IFERROR(INDEX(Stats!$D:$D,MATCH($C144,Stats!$A:$A,0)),FALSE),ROUND(D144+(E144-D144)*(1+G144)*((9-1)/(MaxLevel-1))^(2^F144),0),D144+(E144-D144)*(1+G144)*((9-1)/(MaxLevel-1))^(2^F144)))</f>
        <v/>
      </c>
      <c r="Q144" s="12" t="str">
        <f>IF(OR(D144="",E144=""),"",IF(IFERROR(INDEX(Stats!$D:$D,MATCH($C144,Stats!$A:$A,0)),FALSE),ROUND(D144+(E144-D144)*(1+G144)*((10-1)/(MaxLevel-1))^(2^F144),0),D144+(E144-D144)*(1+G144)*((10-1)/(MaxLevel-1))^(2^F144)))</f>
        <v/>
      </c>
    </row>
    <row r="145" spans="1:17" x14ac:dyDescent="0.25">
      <c r="A145" s="4" t="s">
        <v>185</v>
      </c>
      <c r="B145" s="19" t="s">
        <v>223</v>
      </c>
      <c r="C145" s="4" t="s">
        <v>44</v>
      </c>
      <c r="D145" s="5"/>
      <c r="E145" s="5"/>
      <c r="F145" s="5"/>
      <c r="G145" s="5"/>
      <c r="H145" s="12" t="str">
        <f>IF(OR(D145="",E145=""),"",IF(IFERROR(INDEX(Stats!$D:$D,MATCH($C145,Stats!$A:$A,0)),FALSE),ROUND(D145+(E145-D145)*(1+G145)*((1-1)/(MaxLevel-1))^(2^F145),0),D145+(E145-D145)*(1+G145)*((1-1)/(MaxLevel-1))^(2^F145)))</f>
        <v/>
      </c>
      <c r="I145" s="12" t="str">
        <f>IF(OR(D145="",E145=""),"",IF(IFERROR(INDEX(Stats!$D:$D,MATCH($C145,Stats!$A:$A,0)),FALSE),ROUND(D145+(E145-D145)*(1+G145)*((2-1)/(MaxLevel-1))^(2^F145),0),D145+(E145-D145)*(1+G145)*((2-1)/(MaxLevel-1))^(2^F145)))</f>
        <v/>
      </c>
      <c r="J145" s="12" t="str">
        <f>IF(OR(D145="",E145=""),"",IF(IFERROR(INDEX(Stats!$D:$D,MATCH($C145,Stats!$A:$A,0)),FALSE),ROUND(D145+(E145-D145)*(1+G145)*((3-1)/(MaxLevel-1))^(2^F145),0),D145+(E145-D145)*(1+G145)*((3-1)/(MaxLevel-1))^(2^F145)))</f>
        <v/>
      </c>
      <c r="K145" s="12" t="str">
        <f>IF(OR(D145="",E145=""),"",IF(IFERROR(INDEX(Stats!$D:$D,MATCH($C145,Stats!$A:$A,0)),FALSE),ROUND(D145+(E145-D145)*(1+G145)*((4-1)/(MaxLevel-1))^(2^F145),0),D145+(E145-D145)*(1+G145)*((4-1)/(MaxLevel-1))^(2^F145)))</f>
        <v/>
      </c>
      <c r="L145" s="12" t="str">
        <f>IF(OR(D145="",E145=""),"",IF(IFERROR(INDEX(Stats!$D:$D,MATCH($C145,Stats!$A:$A,0)),FALSE),ROUND(D145+(E145-D145)*(1+G145)*((5-1)/(MaxLevel-1))^(2^F145),0),D145+(E145-D145)*(1+G145)*((5-1)/(MaxLevel-1))^(2^F145)))</f>
        <v/>
      </c>
      <c r="M145" s="12" t="str">
        <f>IF(OR(D145="",E145=""),"",IF(IFERROR(INDEX(Stats!$D:$D,MATCH($C145,Stats!$A:$A,0)),FALSE),ROUND(D145+(E145-D145)*(1+G145)*((6-1)/(MaxLevel-1))^(2^F145),0),D145+(E145-D145)*(1+G145)*((6-1)/(MaxLevel-1))^(2^F145)))</f>
        <v/>
      </c>
      <c r="N145" s="12" t="str">
        <f>IF(OR(D145="",E145=""),"",IF(IFERROR(INDEX(Stats!$D:$D,MATCH($C145,Stats!$A:$A,0)),FALSE),ROUND(D145+(E145-D145)*(1+G145)*((7-1)/(MaxLevel-1))^(2^F145),0),D145+(E145-D145)*(1+G145)*((7-1)/(MaxLevel-1))^(2^F145)))</f>
        <v/>
      </c>
      <c r="O145" s="12" t="str">
        <f>IF(OR(D145="",E145=""),"",IF(IFERROR(INDEX(Stats!$D:$D,MATCH($C145,Stats!$A:$A,0)),FALSE),ROUND(D145+(E145-D145)*(1+G145)*((8-1)/(MaxLevel-1))^(2^F145),0),D145+(E145-D145)*(1+G145)*((8-1)/(MaxLevel-1))^(2^F145)))</f>
        <v/>
      </c>
      <c r="P145" s="12" t="str">
        <f>IF(OR(D145="",E145=""),"",IF(IFERROR(INDEX(Stats!$D:$D,MATCH($C145,Stats!$A:$A,0)),FALSE),ROUND(D145+(E145-D145)*(1+G145)*((9-1)/(MaxLevel-1))^(2^F145),0),D145+(E145-D145)*(1+G145)*((9-1)/(MaxLevel-1))^(2^F145)))</f>
        <v/>
      </c>
      <c r="Q145" s="12" t="str">
        <f>IF(OR(D145="",E145=""),"",IF(IFERROR(INDEX(Stats!$D:$D,MATCH($C145,Stats!$A:$A,0)),FALSE),ROUND(D145+(E145-D145)*(1+G145)*((10-1)/(MaxLevel-1))^(2^F145),0),D145+(E145-D145)*(1+G145)*((10-1)/(MaxLevel-1))^(2^F145)))</f>
        <v/>
      </c>
    </row>
    <row r="146" spans="1:17" x14ac:dyDescent="0.25">
      <c r="A146" s="4" t="s">
        <v>185</v>
      </c>
      <c r="B146" s="19" t="s">
        <v>223</v>
      </c>
      <c r="C146" s="4" t="s">
        <v>46</v>
      </c>
      <c r="D146" s="5">
        <v>300</v>
      </c>
      <c r="E146" s="5">
        <v>320</v>
      </c>
      <c r="F146" s="5">
        <v>0</v>
      </c>
      <c r="G146" s="5">
        <v>0</v>
      </c>
      <c r="H146" s="12">
        <f>IF(OR(D146="",E146=""),"",IF(IFERROR(INDEX(Stats!$D:$D,MATCH($C146,Stats!$A:$A,0)),FALSE),ROUND(D146+(E146-D146)*(1+G146)*((1-1)/(MaxLevel-1))^(2^F146),0),D146+(E146-D146)*(1+G146)*((1-1)/(MaxLevel-1))^(2^F146)))</f>
        <v>300</v>
      </c>
      <c r="I146" s="12">
        <f>IF(OR(D146="",E146=""),"",IF(IFERROR(INDEX(Stats!$D:$D,MATCH($C146,Stats!$A:$A,0)),FALSE),ROUND(D146+(E146-D146)*(1+G146)*((2-1)/(MaxLevel-1))^(2^F146),0),D146+(E146-D146)*(1+G146)*((2-1)/(MaxLevel-1))^(2^F146)))</f>
        <v>302.22222222222223</v>
      </c>
      <c r="J146" s="12">
        <f>IF(OR(D146="",E146=""),"",IF(IFERROR(INDEX(Stats!$D:$D,MATCH($C146,Stats!$A:$A,0)),FALSE),ROUND(D146+(E146-D146)*(1+G146)*((3-1)/(MaxLevel-1))^(2^F146),0),D146+(E146-D146)*(1+G146)*((3-1)/(MaxLevel-1))^(2^F146)))</f>
        <v>304.44444444444446</v>
      </c>
      <c r="K146" s="12">
        <f>IF(OR(D146="",E146=""),"",IF(IFERROR(INDEX(Stats!$D:$D,MATCH($C146,Stats!$A:$A,0)),FALSE),ROUND(D146+(E146-D146)*(1+G146)*((4-1)/(MaxLevel-1))^(2^F146),0),D146+(E146-D146)*(1+G146)*((4-1)/(MaxLevel-1))^(2^F146)))</f>
        <v>306.66666666666669</v>
      </c>
      <c r="L146" s="12">
        <f>IF(OR(D146="",E146=""),"",IF(IFERROR(INDEX(Stats!$D:$D,MATCH($C146,Stats!$A:$A,0)),FALSE),ROUND(D146+(E146-D146)*(1+G146)*((5-1)/(MaxLevel-1))^(2^F146),0),D146+(E146-D146)*(1+G146)*((5-1)/(MaxLevel-1))^(2^F146)))</f>
        <v>308.88888888888891</v>
      </c>
      <c r="M146" s="12">
        <f>IF(OR(D146="",E146=""),"",IF(IFERROR(INDEX(Stats!$D:$D,MATCH($C146,Stats!$A:$A,0)),FALSE),ROUND(D146+(E146-D146)*(1+G146)*((6-1)/(MaxLevel-1))^(2^F146),0),D146+(E146-D146)*(1+G146)*((6-1)/(MaxLevel-1))^(2^F146)))</f>
        <v>311.11111111111109</v>
      </c>
      <c r="N146" s="12">
        <f>IF(OR(D146="",E146=""),"",IF(IFERROR(INDEX(Stats!$D:$D,MATCH($C146,Stats!$A:$A,0)),FALSE),ROUND(D146+(E146-D146)*(1+G146)*((7-1)/(MaxLevel-1))^(2^F146),0),D146+(E146-D146)*(1+G146)*((7-1)/(MaxLevel-1))^(2^F146)))</f>
        <v>313.33333333333331</v>
      </c>
      <c r="O146" s="12">
        <f>IF(OR(D146="",E146=""),"",IF(IFERROR(INDEX(Stats!$D:$D,MATCH($C146,Stats!$A:$A,0)),FALSE),ROUND(D146+(E146-D146)*(1+G146)*((8-1)/(MaxLevel-1))^(2^F146),0),D146+(E146-D146)*(1+G146)*((8-1)/(MaxLevel-1))^(2^F146)))</f>
        <v>315.55555555555554</v>
      </c>
      <c r="P146" s="12">
        <f>IF(OR(D146="",E146=""),"",IF(IFERROR(INDEX(Stats!$D:$D,MATCH($C146,Stats!$A:$A,0)),FALSE),ROUND(D146+(E146-D146)*(1+G146)*((9-1)/(MaxLevel-1))^(2^F146),0),D146+(E146-D146)*(1+G146)*((9-1)/(MaxLevel-1))^(2^F146)))</f>
        <v>317.77777777777777</v>
      </c>
      <c r="Q146" s="12">
        <f>IF(OR(D146="",E146=""),"",IF(IFERROR(INDEX(Stats!$D:$D,MATCH($C146,Stats!$A:$A,0)),FALSE),ROUND(D146+(E146-D146)*(1+G146)*((10-1)/(MaxLevel-1))^(2^F146),0),D146+(E146-D146)*(1+G146)*((10-1)/(MaxLevel-1))^(2^F146)))</f>
        <v>320</v>
      </c>
    </row>
    <row r="147" spans="1:17" x14ac:dyDescent="0.25">
      <c r="A147" s="4" t="s">
        <v>185</v>
      </c>
      <c r="B147" s="19" t="s">
        <v>223</v>
      </c>
      <c r="C147" s="4" t="s">
        <v>48</v>
      </c>
      <c r="D147" s="5"/>
      <c r="E147" s="5"/>
      <c r="F147" s="5"/>
      <c r="G147" s="5"/>
      <c r="H147" s="12" t="str">
        <f>IF(OR(D147="",E147=""),"",IF(IFERROR(INDEX(Stats!$D:$D,MATCH($C147,Stats!$A:$A,0)),FALSE),ROUND(D147+(E147-D147)*(1+G147)*((1-1)/(MaxLevel-1))^(2^F147),0),D147+(E147-D147)*(1+G147)*((1-1)/(MaxLevel-1))^(2^F147)))</f>
        <v/>
      </c>
      <c r="I147" s="12" t="str">
        <f>IF(OR(D147="",E147=""),"",IF(IFERROR(INDEX(Stats!$D:$D,MATCH($C147,Stats!$A:$A,0)),FALSE),ROUND(D147+(E147-D147)*(1+G147)*((2-1)/(MaxLevel-1))^(2^F147),0),D147+(E147-D147)*(1+G147)*((2-1)/(MaxLevel-1))^(2^F147)))</f>
        <v/>
      </c>
      <c r="J147" s="12" t="str">
        <f>IF(OR(D147="",E147=""),"",IF(IFERROR(INDEX(Stats!$D:$D,MATCH($C147,Stats!$A:$A,0)),FALSE),ROUND(D147+(E147-D147)*(1+G147)*((3-1)/(MaxLevel-1))^(2^F147),0),D147+(E147-D147)*(1+G147)*((3-1)/(MaxLevel-1))^(2^F147)))</f>
        <v/>
      </c>
      <c r="K147" s="12" t="str">
        <f>IF(OR(D147="",E147=""),"",IF(IFERROR(INDEX(Stats!$D:$D,MATCH($C147,Stats!$A:$A,0)),FALSE),ROUND(D147+(E147-D147)*(1+G147)*((4-1)/(MaxLevel-1))^(2^F147),0),D147+(E147-D147)*(1+G147)*((4-1)/(MaxLevel-1))^(2^F147)))</f>
        <v/>
      </c>
      <c r="L147" s="12" t="str">
        <f>IF(OR(D147="",E147=""),"",IF(IFERROR(INDEX(Stats!$D:$D,MATCH($C147,Stats!$A:$A,0)),FALSE),ROUND(D147+(E147-D147)*(1+G147)*((5-1)/(MaxLevel-1))^(2^F147),0),D147+(E147-D147)*(1+G147)*((5-1)/(MaxLevel-1))^(2^F147)))</f>
        <v/>
      </c>
      <c r="M147" s="12" t="str">
        <f>IF(OR(D147="",E147=""),"",IF(IFERROR(INDEX(Stats!$D:$D,MATCH($C147,Stats!$A:$A,0)),FALSE),ROUND(D147+(E147-D147)*(1+G147)*((6-1)/(MaxLevel-1))^(2^F147),0),D147+(E147-D147)*(1+G147)*((6-1)/(MaxLevel-1))^(2^F147)))</f>
        <v/>
      </c>
      <c r="N147" s="12" t="str">
        <f>IF(OR(D147="",E147=""),"",IF(IFERROR(INDEX(Stats!$D:$D,MATCH($C147,Stats!$A:$A,0)),FALSE),ROUND(D147+(E147-D147)*(1+G147)*((7-1)/(MaxLevel-1))^(2^F147),0),D147+(E147-D147)*(1+G147)*((7-1)/(MaxLevel-1))^(2^F147)))</f>
        <v/>
      </c>
      <c r="O147" s="12" t="str">
        <f>IF(OR(D147="",E147=""),"",IF(IFERROR(INDEX(Stats!$D:$D,MATCH($C147,Stats!$A:$A,0)),FALSE),ROUND(D147+(E147-D147)*(1+G147)*((8-1)/(MaxLevel-1))^(2^F147),0),D147+(E147-D147)*(1+G147)*((8-1)/(MaxLevel-1))^(2^F147)))</f>
        <v/>
      </c>
      <c r="P147" s="12" t="str">
        <f>IF(OR(D147="",E147=""),"",IF(IFERROR(INDEX(Stats!$D:$D,MATCH($C147,Stats!$A:$A,0)),FALSE),ROUND(D147+(E147-D147)*(1+G147)*((9-1)/(MaxLevel-1))^(2^F147),0),D147+(E147-D147)*(1+G147)*((9-1)/(MaxLevel-1))^(2^F147)))</f>
        <v/>
      </c>
      <c r="Q147" s="12" t="str">
        <f>IF(OR(D147="",E147=""),"",IF(IFERROR(INDEX(Stats!$D:$D,MATCH($C147,Stats!$A:$A,0)),FALSE),ROUND(D147+(E147-D147)*(1+G147)*((10-1)/(MaxLevel-1))^(2^F147),0),D147+(E147-D147)*(1+G147)*((10-1)/(MaxLevel-1))^(2^F147)))</f>
        <v/>
      </c>
    </row>
    <row r="148" spans="1:17" x14ac:dyDescent="0.25">
      <c r="A148" s="4" t="s">
        <v>185</v>
      </c>
      <c r="B148" s="19" t="s">
        <v>223</v>
      </c>
      <c r="C148" s="4" t="s">
        <v>50</v>
      </c>
      <c r="D148" s="5"/>
      <c r="E148" s="5"/>
      <c r="F148" s="5"/>
      <c r="G148" s="5"/>
      <c r="H148" s="12" t="str">
        <f>IF(OR(D148="",E148=""),"",IF(IFERROR(INDEX(Stats!$D:$D,MATCH($C148,Stats!$A:$A,0)),FALSE),ROUND(D148+(E148-D148)*(1+G148)*((1-1)/(MaxLevel-1))^(2^F148),0),D148+(E148-D148)*(1+G148)*((1-1)/(MaxLevel-1))^(2^F148)))</f>
        <v/>
      </c>
      <c r="I148" s="12" t="str">
        <f>IF(OR(D148="",E148=""),"",IF(IFERROR(INDEX(Stats!$D:$D,MATCH($C148,Stats!$A:$A,0)),FALSE),ROUND(D148+(E148-D148)*(1+G148)*((2-1)/(MaxLevel-1))^(2^F148),0),D148+(E148-D148)*(1+G148)*((2-1)/(MaxLevel-1))^(2^F148)))</f>
        <v/>
      </c>
      <c r="J148" s="12" t="str">
        <f>IF(OR(D148="",E148=""),"",IF(IFERROR(INDEX(Stats!$D:$D,MATCH($C148,Stats!$A:$A,0)),FALSE),ROUND(D148+(E148-D148)*(1+G148)*((3-1)/(MaxLevel-1))^(2^F148),0),D148+(E148-D148)*(1+G148)*((3-1)/(MaxLevel-1))^(2^F148)))</f>
        <v/>
      </c>
      <c r="K148" s="12" t="str">
        <f>IF(OR(D148="",E148=""),"",IF(IFERROR(INDEX(Stats!$D:$D,MATCH($C148,Stats!$A:$A,0)),FALSE),ROUND(D148+(E148-D148)*(1+G148)*((4-1)/(MaxLevel-1))^(2^F148),0),D148+(E148-D148)*(1+G148)*((4-1)/(MaxLevel-1))^(2^F148)))</f>
        <v/>
      </c>
      <c r="L148" s="12" t="str">
        <f>IF(OR(D148="",E148=""),"",IF(IFERROR(INDEX(Stats!$D:$D,MATCH($C148,Stats!$A:$A,0)),FALSE),ROUND(D148+(E148-D148)*(1+G148)*((5-1)/(MaxLevel-1))^(2^F148),0),D148+(E148-D148)*(1+G148)*((5-1)/(MaxLevel-1))^(2^F148)))</f>
        <v/>
      </c>
      <c r="M148" s="12" t="str">
        <f>IF(OR(D148="",E148=""),"",IF(IFERROR(INDEX(Stats!$D:$D,MATCH($C148,Stats!$A:$A,0)),FALSE),ROUND(D148+(E148-D148)*(1+G148)*((6-1)/(MaxLevel-1))^(2^F148),0),D148+(E148-D148)*(1+G148)*((6-1)/(MaxLevel-1))^(2^F148)))</f>
        <v/>
      </c>
      <c r="N148" s="12" t="str">
        <f>IF(OR(D148="",E148=""),"",IF(IFERROR(INDEX(Stats!$D:$D,MATCH($C148,Stats!$A:$A,0)),FALSE),ROUND(D148+(E148-D148)*(1+G148)*((7-1)/(MaxLevel-1))^(2^F148),0),D148+(E148-D148)*(1+G148)*((7-1)/(MaxLevel-1))^(2^F148)))</f>
        <v/>
      </c>
      <c r="O148" s="12" t="str">
        <f>IF(OR(D148="",E148=""),"",IF(IFERROR(INDEX(Stats!$D:$D,MATCH($C148,Stats!$A:$A,0)),FALSE),ROUND(D148+(E148-D148)*(1+G148)*((8-1)/(MaxLevel-1))^(2^F148),0),D148+(E148-D148)*(1+G148)*((8-1)/(MaxLevel-1))^(2^F148)))</f>
        <v/>
      </c>
      <c r="P148" s="12" t="str">
        <f>IF(OR(D148="",E148=""),"",IF(IFERROR(INDEX(Stats!$D:$D,MATCH($C148,Stats!$A:$A,0)),FALSE),ROUND(D148+(E148-D148)*(1+G148)*((9-1)/(MaxLevel-1))^(2^F148),0),D148+(E148-D148)*(1+G148)*((9-1)/(MaxLevel-1))^(2^F148)))</f>
        <v/>
      </c>
      <c r="Q148" s="12" t="str">
        <f>IF(OR(D148="",E148=""),"",IF(IFERROR(INDEX(Stats!$D:$D,MATCH($C148,Stats!$A:$A,0)),FALSE),ROUND(D148+(E148-D148)*(1+G148)*((10-1)/(MaxLevel-1))^(2^F148),0),D148+(E148-D148)*(1+G148)*((10-1)/(MaxLevel-1))^(2^F148)))</f>
        <v/>
      </c>
    </row>
    <row r="149" spans="1:17" x14ac:dyDescent="0.25">
      <c r="A149" s="4" t="s">
        <v>185</v>
      </c>
      <c r="B149" s="19" t="s">
        <v>223</v>
      </c>
      <c r="C149" s="4" t="s">
        <v>52</v>
      </c>
      <c r="D149" s="5"/>
      <c r="E149" s="5"/>
      <c r="F149" s="5"/>
      <c r="G149" s="5"/>
      <c r="H149" s="12" t="str">
        <f>IF(OR(D149="",E149=""),"",IF(IFERROR(INDEX(Stats!$D:$D,MATCH($C149,Stats!$A:$A,0)),FALSE),ROUND(D149+(E149-D149)*(1+G149)*((1-1)/(MaxLevel-1))^(2^F149),0),D149+(E149-D149)*(1+G149)*((1-1)/(MaxLevel-1))^(2^F149)))</f>
        <v/>
      </c>
      <c r="I149" s="12" t="str">
        <f>IF(OR(D149="",E149=""),"",IF(IFERROR(INDEX(Stats!$D:$D,MATCH($C149,Stats!$A:$A,0)),FALSE),ROUND(D149+(E149-D149)*(1+G149)*((2-1)/(MaxLevel-1))^(2^F149),0),D149+(E149-D149)*(1+G149)*((2-1)/(MaxLevel-1))^(2^F149)))</f>
        <v/>
      </c>
      <c r="J149" s="12" t="str">
        <f>IF(OR(D149="",E149=""),"",IF(IFERROR(INDEX(Stats!$D:$D,MATCH($C149,Stats!$A:$A,0)),FALSE),ROUND(D149+(E149-D149)*(1+G149)*((3-1)/(MaxLevel-1))^(2^F149),0),D149+(E149-D149)*(1+G149)*((3-1)/(MaxLevel-1))^(2^F149)))</f>
        <v/>
      </c>
      <c r="K149" s="12" t="str">
        <f>IF(OR(D149="",E149=""),"",IF(IFERROR(INDEX(Stats!$D:$D,MATCH($C149,Stats!$A:$A,0)),FALSE),ROUND(D149+(E149-D149)*(1+G149)*((4-1)/(MaxLevel-1))^(2^F149),0),D149+(E149-D149)*(1+G149)*((4-1)/(MaxLevel-1))^(2^F149)))</f>
        <v/>
      </c>
      <c r="L149" s="12" t="str">
        <f>IF(OR(D149="",E149=""),"",IF(IFERROR(INDEX(Stats!$D:$D,MATCH($C149,Stats!$A:$A,0)),FALSE),ROUND(D149+(E149-D149)*(1+G149)*((5-1)/(MaxLevel-1))^(2^F149),0),D149+(E149-D149)*(1+G149)*((5-1)/(MaxLevel-1))^(2^F149)))</f>
        <v/>
      </c>
      <c r="M149" s="12" t="str">
        <f>IF(OR(D149="",E149=""),"",IF(IFERROR(INDEX(Stats!$D:$D,MATCH($C149,Stats!$A:$A,0)),FALSE),ROUND(D149+(E149-D149)*(1+G149)*((6-1)/(MaxLevel-1))^(2^F149),0),D149+(E149-D149)*(1+G149)*((6-1)/(MaxLevel-1))^(2^F149)))</f>
        <v/>
      </c>
      <c r="N149" s="12" t="str">
        <f>IF(OR(D149="",E149=""),"",IF(IFERROR(INDEX(Stats!$D:$D,MATCH($C149,Stats!$A:$A,0)),FALSE),ROUND(D149+(E149-D149)*(1+G149)*((7-1)/(MaxLevel-1))^(2^F149),0),D149+(E149-D149)*(1+G149)*((7-1)/(MaxLevel-1))^(2^F149)))</f>
        <v/>
      </c>
      <c r="O149" s="12" t="str">
        <f>IF(OR(D149="",E149=""),"",IF(IFERROR(INDEX(Stats!$D:$D,MATCH($C149,Stats!$A:$A,0)),FALSE),ROUND(D149+(E149-D149)*(1+G149)*((8-1)/(MaxLevel-1))^(2^F149),0),D149+(E149-D149)*(1+G149)*((8-1)/(MaxLevel-1))^(2^F149)))</f>
        <v/>
      </c>
      <c r="P149" s="12" t="str">
        <f>IF(OR(D149="",E149=""),"",IF(IFERROR(INDEX(Stats!$D:$D,MATCH($C149,Stats!$A:$A,0)),FALSE),ROUND(D149+(E149-D149)*(1+G149)*((9-1)/(MaxLevel-1))^(2^F149),0),D149+(E149-D149)*(1+G149)*((9-1)/(MaxLevel-1))^(2^F149)))</f>
        <v/>
      </c>
      <c r="Q149" s="12" t="str">
        <f>IF(OR(D149="",E149=""),"",IF(IFERROR(INDEX(Stats!$D:$D,MATCH($C149,Stats!$A:$A,0)),FALSE),ROUND(D149+(E149-D149)*(1+G149)*((10-1)/(MaxLevel-1))^(2^F149),0),D149+(E149-D149)*(1+G149)*((10-1)/(MaxLevel-1))^(2^F149)))</f>
        <v/>
      </c>
    </row>
    <row r="150" spans="1:17" x14ac:dyDescent="0.25">
      <c r="A150" s="4" t="s">
        <v>185</v>
      </c>
      <c r="B150" s="19" t="s">
        <v>223</v>
      </c>
      <c r="C150" s="4" t="s">
        <v>54</v>
      </c>
      <c r="D150" s="5"/>
      <c r="E150" s="5"/>
      <c r="F150" s="5"/>
      <c r="G150" s="5"/>
      <c r="H150" s="12" t="str">
        <f>IF(OR(D150="",E150=""),"",IF(IFERROR(INDEX(Stats!$D:$D,MATCH($C150,Stats!$A:$A,0)),FALSE),ROUND(D150+(E150-D150)*(1+G150)*((1-1)/(MaxLevel-1))^(2^F150),0),D150+(E150-D150)*(1+G150)*((1-1)/(MaxLevel-1))^(2^F150)))</f>
        <v/>
      </c>
      <c r="I150" s="12" t="str">
        <f>IF(OR(D150="",E150=""),"",IF(IFERROR(INDEX(Stats!$D:$D,MATCH($C150,Stats!$A:$A,0)),FALSE),ROUND(D150+(E150-D150)*(1+G150)*((2-1)/(MaxLevel-1))^(2^F150),0),D150+(E150-D150)*(1+G150)*((2-1)/(MaxLevel-1))^(2^F150)))</f>
        <v/>
      </c>
      <c r="J150" s="12" t="str">
        <f>IF(OR(D150="",E150=""),"",IF(IFERROR(INDEX(Stats!$D:$D,MATCH($C150,Stats!$A:$A,0)),FALSE),ROUND(D150+(E150-D150)*(1+G150)*((3-1)/(MaxLevel-1))^(2^F150),0),D150+(E150-D150)*(1+G150)*((3-1)/(MaxLevel-1))^(2^F150)))</f>
        <v/>
      </c>
      <c r="K150" s="12" t="str">
        <f>IF(OR(D150="",E150=""),"",IF(IFERROR(INDEX(Stats!$D:$D,MATCH($C150,Stats!$A:$A,0)),FALSE),ROUND(D150+(E150-D150)*(1+G150)*((4-1)/(MaxLevel-1))^(2^F150),0),D150+(E150-D150)*(1+G150)*((4-1)/(MaxLevel-1))^(2^F150)))</f>
        <v/>
      </c>
      <c r="L150" s="12" t="str">
        <f>IF(OR(D150="",E150=""),"",IF(IFERROR(INDEX(Stats!$D:$D,MATCH($C150,Stats!$A:$A,0)),FALSE),ROUND(D150+(E150-D150)*(1+G150)*((5-1)/(MaxLevel-1))^(2^F150),0),D150+(E150-D150)*(1+G150)*((5-1)/(MaxLevel-1))^(2^F150)))</f>
        <v/>
      </c>
      <c r="M150" s="12" t="str">
        <f>IF(OR(D150="",E150=""),"",IF(IFERROR(INDEX(Stats!$D:$D,MATCH($C150,Stats!$A:$A,0)),FALSE),ROUND(D150+(E150-D150)*(1+G150)*((6-1)/(MaxLevel-1))^(2^F150),0),D150+(E150-D150)*(1+G150)*((6-1)/(MaxLevel-1))^(2^F150)))</f>
        <v/>
      </c>
      <c r="N150" s="12" t="str">
        <f>IF(OR(D150="",E150=""),"",IF(IFERROR(INDEX(Stats!$D:$D,MATCH($C150,Stats!$A:$A,0)),FALSE),ROUND(D150+(E150-D150)*(1+G150)*((7-1)/(MaxLevel-1))^(2^F150),0),D150+(E150-D150)*(1+G150)*((7-1)/(MaxLevel-1))^(2^F150)))</f>
        <v/>
      </c>
      <c r="O150" s="12" t="str">
        <f>IF(OR(D150="",E150=""),"",IF(IFERROR(INDEX(Stats!$D:$D,MATCH($C150,Stats!$A:$A,0)),FALSE),ROUND(D150+(E150-D150)*(1+G150)*((8-1)/(MaxLevel-1))^(2^F150),0),D150+(E150-D150)*(1+G150)*((8-1)/(MaxLevel-1))^(2^F150)))</f>
        <v/>
      </c>
      <c r="P150" s="12" t="str">
        <f>IF(OR(D150="",E150=""),"",IF(IFERROR(INDEX(Stats!$D:$D,MATCH($C150,Stats!$A:$A,0)),FALSE),ROUND(D150+(E150-D150)*(1+G150)*((9-1)/(MaxLevel-1))^(2^F150),0),D150+(E150-D150)*(1+G150)*((9-1)/(MaxLevel-1))^(2^F150)))</f>
        <v/>
      </c>
      <c r="Q150" s="12" t="str">
        <f>IF(OR(D150="",E150=""),"",IF(IFERROR(INDEX(Stats!$D:$D,MATCH($C150,Stats!$A:$A,0)),FALSE),ROUND(D150+(E150-D150)*(1+G150)*((10-1)/(MaxLevel-1))^(2^F150),0),D150+(E150-D150)*(1+G150)*((10-1)/(MaxLevel-1))^(2^F150)))</f>
        <v/>
      </c>
    </row>
    <row r="151" spans="1:17" x14ac:dyDescent="0.25">
      <c r="A151" s="4" t="s">
        <v>185</v>
      </c>
      <c r="B151" s="19" t="s">
        <v>223</v>
      </c>
      <c r="C151" s="4" t="s">
        <v>56</v>
      </c>
      <c r="D151" s="5"/>
      <c r="E151" s="5"/>
      <c r="F151" s="5"/>
      <c r="G151" s="5"/>
      <c r="H151" s="12" t="str">
        <f>IF(OR(D151="",E151=""),"",IF(IFERROR(INDEX(Stats!$D:$D,MATCH($C151,Stats!$A:$A,0)),FALSE),ROUND(D151+(E151-D151)*(1+G151)*((1-1)/(MaxLevel-1))^(2^F151),0),D151+(E151-D151)*(1+G151)*((1-1)/(MaxLevel-1))^(2^F151)))</f>
        <v/>
      </c>
      <c r="I151" s="12" t="str">
        <f>IF(OR(D151="",E151=""),"",IF(IFERROR(INDEX(Stats!$D:$D,MATCH($C151,Stats!$A:$A,0)),FALSE),ROUND(D151+(E151-D151)*(1+G151)*((2-1)/(MaxLevel-1))^(2^F151),0),D151+(E151-D151)*(1+G151)*((2-1)/(MaxLevel-1))^(2^F151)))</f>
        <v/>
      </c>
      <c r="J151" s="12" t="str">
        <f>IF(OR(D151="",E151=""),"",IF(IFERROR(INDEX(Stats!$D:$D,MATCH($C151,Stats!$A:$A,0)),FALSE),ROUND(D151+(E151-D151)*(1+G151)*((3-1)/(MaxLevel-1))^(2^F151),0),D151+(E151-D151)*(1+G151)*((3-1)/(MaxLevel-1))^(2^F151)))</f>
        <v/>
      </c>
      <c r="K151" s="12" t="str">
        <f>IF(OR(D151="",E151=""),"",IF(IFERROR(INDEX(Stats!$D:$D,MATCH($C151,Stats!$A:$A,0)),FALSE),ROUND(D151+(E151-D151)*(1+G151)*((4-1)/(MaxLevel-1))^(2^F151),0),D151+(E151-D151)*(1+G151)*((4-1)/(MaxLevel-1))^(2^F151)))</f>
        <v/>
      </c>
      <c r="L151" s="12" t="str">
        <f>IF(OR(D151="",E151=""),"",IF(IFERROR(INDEX(Stats!$D:$D,MATCH($C151,Stats!$A:$A,0)),FALSE),ROUND(D151+(E151-D151)*(1+G151)*((5-1)/(MaxLevel-1))^(2^F151),0),D151+(E151-D151)*(1+G151)*((5-1)/(MaxLevel-1))^(2^F151)))</f>
        <v/>
      </c>
      <c r="M151" s="12" t="str">
        <f>IF(OR(D151="",E151=""),"",IF(IFERROR(INDEX(Stats!$D:$D,MATCH($C151,Stats!$A:$A,0)),FALSE),ROUND(D151+(E151-D151)*(1+G151)*((6-1)/(MaxLevel-1))^(2^F151),0),D151+(E151-D151)*(1+G151)*((6-1)/(MaxLevel-1))^(2^F151)))</f>
        <v/>
      </c>
      <c r="N151" s="12" t="str">
        <f>IF(OR(D151="",E151=""),"",IF(IFERROR(INDEX(Stats!$D:$D,MATCH($C151,Stats!$A:$A,0)),FALSE),ROUND(D151+(E151-D151)*(1+G151)*((7-1)/(MaxLevel-1))^(2^F151),0),D151+(E151-D151)*(1+G151)*((7-1)/(MaxLevel-1))^(2^F151)))</f>
        <v/>
      </c>
      <c r="O151" s="12" t="str">
        <f>IF(OR(D151="",E151=""),"",IF(IFERROR(INDEX(Stats!$D:$D,MATCH($C151,Stats!$A:$A,0)),FALSE),ROUND(D151+(E151-D151)*(1+G151)*((8-1)/(MaxLevel-1))^(2^F151),0),D151+(E151-D151)*(1+G151)*((8-1)/(MaxLevel-1))^(2^F151)))</f>
        <v/>
      </c>
      <c r="P151" s="12" t="str">
        <f>IF(OR(D151="",E151=""),"",IF(IFERROR(INDEX(Stats!$D:$D,MATCH($C151,Stats!$A:$A,0)),FALSE),ROUND(D151+(E151-D151)*(1+G151)*((9-1)/(MaxLevel-1))^(2^F151),0),D151+(E151-D151)*(1+G151)*((9-1)/(MaxLevel-1))^(2^F151)))</f>
        <v/>
      </c>
      <c r="Q151" s="12" t="str">
        <f>IF(OR(D151="",E151=""),"",IF(IFERROR(INDEX(Stats!$D:$D,MATCH($C151,Stats!$A:$A,0)),FALSE),ROUND(D151+(E151-D151)*(1+G151)*((10-1)/(MaxLevel-1))^(2^F151),0),D151+(E151-D151)*(1+G151)*((10-1)/(MaxLevel-1))^(2^F151)))</f>
        <v/>
      </c>
    </row>
    <row r="152" spans="1:17" x14ac:dyDescent="0.25">
      <c r="A152" s="4" t="s">
        <v>185</v>
      </c>
      <c r="B152" s="19" t="s">
        <v>223</v>
      </c>
      <c r="C152" s="4" t="s">
        <v>58</v>
      </c>
      <c r="D152" s="5"/>
      <c r="E152" s="5"/>
      <c r="F152" s="5"/>
      <c r="G152" s="5"/>
      <c r="H152" s="12" t="str">
        <f>IF(OR(D152="",E152=""),"",IF(IFERROR(INDEX(Stats!$D:$D,MATCH($C152,Stats!$A:$A,0)),FALSE),ROUND(D152+(E152-D152)*(1+G152)*((1-1)/(MaxLevel-1))^(2^F152),0),D152+(E152-D152)*(1+G152)*((1-1)/(MaxLevel-1))^(2^F152)))</f>
        <v/>
      </c>
      <c r="I152" s="12" t="str">
        <f>IF(OR(D152="",E152=""),"",IF(IFERROR(INDEX(Stats!$D:$D,MATCH($C152,Stats!$A:$A,0)),FALSE),ROUND(D152+(E152-D152)*(1+G152)*((2-1)/(MaxLevel-1))^(2^F152),0),D152+(E152-D152)*(1+G152)*((2-1)/(MaxLevel-1))^(2^F152)))</f>
        <v/>
      </c>
      <c r="J152" s="12" t="str">
        <f>IF(OR(D152="",E152=""),"",IF(IFERROR(INDEX(Stats!$D:$D,MATCH($C152,Stats!$A:$A,0)),FALSE),ROUND(D152+(E152-D152)*(1+G152)*((3-1)/(MaxLevel-1))^(2^F152),0),D152+(E152-D152)*(1+G152)*((3-1)/(MaxLevel-1))^(2^F152)))</f>
        <v/>
      </c>
      <c r="K152" s="12" t="str">
        <f>IF(OR(D152="",E152=""),"",IF(IFERROR(INDEX(Stats!$D:$D,MATCH($C152,Stats!$A:$A,0)),FALSE),ROUND(D152+(E152-D152)*(1+G152)*((4-1)/(MaxLevel-1))^(2^F152),0),D152+(E152-D152)*(1+G152)*((4-1)/(MaxLevel-1))^(2^F152)))</f>
        <v/>
      </c>
      <c r="L152" s="12" t="str">
        <f>IF(OR(D152="",E152=""),"",IF(IFERROR(INDEX(Stats!$D:$D,MATCH($C152,Stats!$A:$A,0)),FALSE),ROUND(D152+(E152-D152)*(1+G152)*((5-1)/(MaxLevel-1))^(2^F152),0),D152+(E152-D152)*(1+G152)*((5-1)/(MaxLevel-1))^(2^F152)))</f>
        <v/>
      </c>
      <c r="M152" s="12" t="str">
        <f>IF(OR(D152="",E152=""),"",IF(IFERROR(INDEX(Stats!$D:$D,MATCH($C152,Stats!$A:$A,0)),FALSE),ROUND(D152+(E152-D152)*(1+G152)*((6-1)/(MaxLevel-1))^(2^F152),0),D152+(E152-D152)*(1+G152)*((6-1)/(MaxLevel-1))^(2^F152)))</f>
        <v/>
      </c>
      <c r="N152" s="12" t="str">
        <f>IF(OR(D152="",E152=""),"",IF(IFERROR(INDEX(Stats!$D:$D,MATCH($C152,Stats!$A:$A,0)),FALSE),ROUND(D152+(E152-D152)*(1+G152)*((7-1)/(MaxLevel-1))^(2^F152),0),D152+(E152-D152)*(1+G152)*((7-1)/(MaxLevel-1))^(2^F152)))</f>
        <v/>
      </c>
      <c r="O152" s="12" t="str">
        <f>IF(OR(D152="",E152=""),"",IF(IFERROR(INDEX(Stats!$D:$D,MATCH($C152,Stats!$A:$A,0)),FALSE),ROUND(D152+(E152-D152)*(1+G152)*((8-1)/(MaxLevel-1))^(2^F152),0),D152+(E152-D152)*(1+G152)*((8-1)/(MaxLevel-1))^(2^F152)))</f>
        <v/>
      </c>
      <c r="P152" s="12" t="str">
        <f>IF(OR(D152="",E152=""),"",IF(IFERROR(INDEX(Stats!$D:$D,MATCH($C152,Stats!$A:$A,0)),FALSE),ROUND(D152+(E152-D152)*(1+G152)*((9-1)/(MaxLevel-1))^(2^F152),0),D152+(E152-D152)*(1+G152)*((9-1)/(MaxLevel-1))^(2^F152)))</f>
        <v/>
      </c>
      <c r="Q152" s="12" t="str">
        <f>IF(OR(D152="",E152=""),"",IF(IFERROR(INDEX(Stats!$D:$D,MATCH($C152,Stats!$A:$A,0)),FALSE),ROUND(D152+(E152-D152)*(1+G152)*((10-1)/(MaxLevel-1))^(2^F152),0),D152+(E152-D152)*(1+G152)*((10-1)/(MaxLevel-1))^(2^F152)))</f>
        <v/>
      </c>
    </row>
    <row r="153" spans="1:17" x14ac:dyDescent="0.25">
      <c r="A153" s="4" t="s">
        <v>185</v>
      </c>
      <c r="B153" s="19" t="s">
        <v>223</v>
      </c>
      <c r="C153" s="4" t="s">
        <v>60</v>
      </c>
      <c r="D153" s="5"/>
      <c r="E153" s="5"/>
      <c r="F153" s="5"/>
      <c r="G153" s="5"/>
      <c r="H153" s="12" t="str">
        <f>IF(OR(D153="",E153=""),"",IF(IFERROR(INDEX(Stats!$D:$D,MATCH($C153,Stats!$A:$A,0)),FALSE),ROUND(D153+(E153-D153)*(1+G153)*((1-1)/(MaxLevel-1))^(2^F153),0),D153+(E153-D153)*(1+G153)*((1-1)/(MaxLevel-1))^(2^F153)))</f>
        <v/>
      </c>
      <c r="I153" s="12" t="str">
        <f>IF(OR(D153="",E153=""),"",IF(IFERROR(INDEX(Stats!$D:$D,MATCH($C153,Stats!$A:$A,0)),FALSE),ROUND(D153+(E153-D153)*(1+G153)*((2-1)/(MaxLevel-1))^(2^F153),0),D153+(E153-D153)*(1+G153)*((2-1)/(MaxLevel-1))^(2^F153)))</f>
        <v/>
      </c>
      <c r="J153" s="12" t="str">
        <f>IF(OR(D153="",E153=""),"",IF(IFERROR(INDEX(Stats!$D:$D,MATCH($C153,Stats!$A:$A,0)),FALSE),ROUND(D153+(E153-D153)*(1+G153)*((3-1)/(MaxLevel-1))^(2^F153),0),D153+(E153-D153)*(1+G153)*((3-1)/(MaxLevel-1))^(2^F153)))</f>
        <v/>
      </c>
      <c r="K153" s="12" t="str">
        <f>IF(OR(D153="",E153=""),"",IF(IFERROR(INDEX(Stats!$D:$D,MATCH($C153,Stats!$A:$A,0)),FALSE),ROUND(D153+(E153-D153)*(1+G153)*((4-1)/(MaxLevel-1))^(2^F153),0),D153+(E153-D153)*(1+G153)*((4-1)/(MaxLevel-1))^(2^F153)))</f>
        <v/>
      </c>
      <c r="L153" s="12" t="str">
        <f>IF(OR(D153="",E153=""),"",IF(IFERROR(INDEX(Stats!$D:$D,MATCH($C153,Stats!$A:$A,0)),FALSE),ROUND(D153+(E153-D153)*(1+G153)*((5-1)/(MaxLevel-1))^(2^F153),0),D153+(E153-D153)*(1+G153)*((5-1)/(MaxLevel-1))^(2^F153)))</f>
        <v/>
      </c>
      <c r="M153" s="12" t="str">
        <f>IF(OR(D153="",E153=""),"",IF(IFERROR(INDEX(Stats!$D:$D,MATCH($C153,Stats!$A:$A,0)),FALSE),ROUND(D153+(E153-D153)*(1+G153)*((6-1)/(MaxLevel-1))^(2^F153),0),D153+(E153-D153)*(1+G153)*((6-1)/(MaxLevel-1))^(2^F153)))</f>
        <v/>
      </c>
      <c r="N153" s="12" t="str">
        <f>IF(OR(D153="",E153=""),"",IF(IFERROR(INDEX(Stats!$D:$D,MATCH($C153,Stats!$A:$A,0)),FALSE),ROUND(D153+(E153-D153)*(1+G153)*((7-1)/(MaxLevel-1))^(2^F153),0),D153+(E153-D153)*(1+G153)*((7-1)/(MaxLevel-1))^(2^F153)))</f>
        <v/>
      </c>
      <c r="O153" s="12" t="str">
        <f>IF(OR(D153="",E153=""),"",IF(IFERROR(INDEX(Stats!$D:$D,MATCH($C153,Stats!$A:$A,0)),FALSE),ROUND(D153+(E153-D153)*(1+G153)*((8-1)/(MaxLevel-1))^(2^F153),0),D153+(E153-D153)*(1+G153)*((8-1)/(MaxLevel-1))^(2^F153)))</f>
        <v/>
      </c>
      <c r="P153" s="12" t="str">
        <f>IF(OR(D153="",E153=""),"",IF(IFERROR(INDEX(Stats!$D:$D,MATCH($C153,Stats!$A:$A,0)),FALSE),ROUND(D153+(E153-D153)*(1+G153)*((9-1)/(MaxLevel-1))^(2^F153),0),D153+(E153-D153)*(1+G153)*((9-1)/(MaxLevel-1))^(2^F153)))</f>
        <v/>
      </c>
      <c r="Q153" s="12" t="str">
        <f>IF(OR(D153="",E153=""),"",IF(IFERROR(INDEX(Stats!$D:$D,MATCH($C153,Stats!$A:$A,0)),FALSE),ROUND(D153+(E153-D153)*(1+G153)*((10-1)/(MaxLevel-1))^(2^F153),0),D153+(E153-D153)*(1+G153)*((10-1)/(MaxLevel-1))^(2^F153)))</f>
        <v/>
      </c>
    </row>
    <row r="154" spans="1:17" x14ac:dyDescent="0.25">
      <c r="A154" s="4" t="s">
        <v>185</v>
      </c>
      <c r="B154" s="19" t="s">
        <v>224</v>
      </c>
      <c r="C154" s="4" t="s">
        <v>24</v>
      </c>
      <c r="D154" s="5">
        <v>0</v>
      </c>
      <c r="E154" s="5">
        <v>10000</v>
      </c>
      <c r="F154" s="5">
        <v>1</v>
      </c>
      <c r="G154" s="5">
        <v>0</v>
      </c>
      <c r="H154" s="12">
        <f>IF(OR(D154="",E154=""),"",IF(IFERROR(INDEX(Stats!$D:$D,MATCH($C154,Stats!$A:$A,0)),FALSE),ROUND(D154+(E154-D154)*(1+G154)*((1-1)/(MaxLevel-1))^(2^F154),0),D154+(E154-D154)*(1+G154)*((1-1)/(MaxLevel-1))^(2^F154)))</f>
        <v>0</v>
      </c>
      <c r="I154" s="12">
        <f>IF(OR(D154="",E154=""),"",IF(IFERROR(INDEX(Stats!$D:$D,MATCH($C154,Stats!$A:$A,0)),FALSE),ROUND(D154+(E154-D154)*(1+G154)*((2-1)/(MaxLevel-1))^(2^F154),0),D154+(E154-D154)*(1+G154)*((2-1)/(MaxLevel-1))^(2^F154)))</f>
        <v>123</v>
      </c>
      <c r="J154" s="12">
        <f>IF(OR(D154="",E154=""),"",IF(IFERROR(INDEX(Stats!$D:$D,MATCH($C154,Stats!$A:$A,0)),FALSE),ROUND(D154+(E154-D154)*(1+G154)*((3-1)/(MaxLevel-1))^(2^F154),0),D154+(E154-D154)*(1+G154)*((3-1)/(MaxLevel-1))^(2^F154)))</f>
        <v>494</v>
      </c>
      <c r="K154" s="12">
        <f>IF(OR(D154="",E154=""),"",IF(IFERROR(INDEX(Stats!$D:$D,MATCH($C154,Stats!$A:$A,0)),FALSE),ROUND(D154+(E154-D154)*(1+G154)*((4-1)/(MaxLevel-1))^(2^F154),0),D154+(E154-D154)*(1+G154)*((4-1)/(MaxLevel-1))^(2^F154)))</f>
        <v>1111</v>
      </c>
      <c r="L154" s="12">
        <f>IF(OR(D154="",E154=""),"",IF(IFERROR(INDEX(Stats!$D:$D,MATCH($C154,Stats!$A:$A,0)),FALSE),ROUND(D154+(E154-D154)*(1+G154)*((5-1)/(MaxLevel-1))^(2^F154),0),D154+(E154-D154)*(1+G154)*((5-1)/(MaxLevel-1))^(2^F154)))</f>
        <v>1975</v>
      </c>
      <c r="M154" s="12">
        <f>IF(OR(D154="",E154=""),"",IF(IFERROR(INDEX(Stats!$D:$D,MATCH($C154,Stats!$A:$A,0)),FALSE),ROUND(D154+(E154-D154)*(1+G154)*((6-1)/(MaxLevel-1))^(2^F154),0),D154+(E154-D154)*(1+G154)*((6-1)/(MaxLevel-1))^(2^F154)))</f>
        <v>3086</v>
      </c>
      <c r="N154" s="12">
        <f>IF(OR(D154="",E154=""),"",IF(IFERROR(INDEX(Stats!$D:$D,MATCH($C154,Stats!$A:$A,0)),FALSE),ROUND(D154+(E154-D154)*(1+G154)*((7-1)/(MaxLevel-1))^(2^F154),0),D154+(E154-D154)*(1+G154)*((7-1)/(MaxLevel-1))^(2^F154)))</f>
        <v>4444</v>
      </c>
      <c r="O154" s="12">
        <f>IF(OR(D154="",E154=""),"",IF(IFERROR(INDEX(Stats!$D:$D,MATCH($C154,Stats!$A:$A,0)),FALSE),ROUND(D154+(E154-D154)*(1+G154)*((8-1)/(MaxLevel-1))^(2^F154),0),D154+(E154-D154)*(1+G154)*((8-1)/(MaxLevel-1))^(2^F154)))</f>
        <v>6049</v>
      </c>
      <c r="P154" s="12">
        <f>IF(OR(D154="",E154=""),"",IF(IFERROR(INDEX(Stats!$D:$D,MATCH($C154,Stats!$A:$A,0)),FALSE),ROUND(D154+(E154-D154)*(1+G154)*((9-1)/(MaxLevel-1))^(2^F154),0),D154+(E154-D154)*(1+G154)*((9-1)/(MaxLevel-1))^(2^F154)))</f>
        <v>7901</v>
      </c>
      <c r="Q154" s="12">
        <f>IF(OR(D154="",E154=""),"",IF(IFERROR(INDEX(Stats!$D:$D,MATCH($C154,Stats!$A:$A,0)),FALSE),ROUND(D154+(E154-D154)*(1+G154)*((10-1)/(MaxLevel-1))^(2^F154),0),D154+(E154-D154)*(1+G154)*((10-1)/(MaxLevel-1))^(2^F154)))</f>
        <v>10000</v>
      </c>
    </row>
    <row r="155" spans="1:17" x14ac:dyDescent="0.25">
      <c r="A155" s="4" t="s">
        <v>185</v>
      </c>
      <c r="B155" s="19" t="s">
        <v>224</v>
      </c>
      <c r="C155" s="4" t="s">
        <v>26</v>
      </c>
      <c r="D155" s="5">
        <v>25</v>
      </c>
      <c r="E155" s="5">
        <v>150</v>
      </c>
      <c r="F155" s="5">
        <v>0</v>
      </c>
      <c r="G155" s="5">
        <v>0</v>
      </c>
      <c r="H155" s="12">
        <f>IF(OR(D155="",E155=""),"",IF(IFERROR(INDEX(Stats!$D:$D,MATCH($C155,Stats!$A:$A,0)),FALSE),ROUND(D155+(E155-D155)*(1+G155)*((1-1)/(MaxLevel-1))^(2^F155),0),D155+(E155-D155)*(1+G155)*((1-1)/(MaxLevel-1))^(2^F155)))</f>
        <v>25</v>
      </c>
      <c r="I155" s="12">
        <f>IF(OR(D155="",E155=""),"",IF(IFERROR(INDEX(Stats!$D:$D,MATCH($C155,Stats!$A:$A,0)),FALSE),ROUND(D155+(E155-D155)*(1+G155)*((2-1)/(MaxLevel-1))^(2^F155),0),D155+(E155-D155)*(1+G155)*((2-1)/(MaxLevel-1))^(2^F155)))</f>
        <v>39</v>
      </c>
      <c r="J155" s="12">
        <f>IF(OR(D155="",E155=""),"",IF(IFERROR(INDEX(Stats!$D:$D,MATCH($C155,Stats!$A:$A,0)),FALSE),ROUND(D155+(E155-D155)*(1+G155)*((3-1)/(MaxLevel-1))^(2^F155),0),D155+(E155-D155)*(1+G155)*((3-1)/(MaxLevel-1))^(2^F155)))</f>
        <v>53</v>
      </c>
      <c r="K155" s="12">
        <f>IF(OR(D155="",E155=""),"",IF(IFERROR(INDEX(Stats!$D:$D,MATCH($C155,Stats!$A:$A,0)),FALSE),ROUND(D155+(E155-D155)*(1+G155)*((4-1)/(MaxLevel-1))^(2^F155),0),D155+(E155-D155)*(1+G155)*((4-1)/(MaxLevel-1))^(2^F155)))</f>
        <v>67</v>
      </c>
      <c r="L155" s="12">
        <f>IF(OR(D155="",E155=""),"",IF(IFERROR(INDEX(Stats!$D:$D,MATCH($C155,Stats!$A:$A,0)),FALSE),ROUND(D155+(E155-D155)*(1+G155)*((5-1)/(MaxLevel-1))^(2^F155),0),D155+(E155-D155)*(1+G155)*((5-1)/(MaxLevel-1))^(2^F155)))</f>
        <v>81</v>
      </c>
      <c r="M155" s="12">
        <f>IF(OR(D155="",E155=""),"",IF(IFERROR(INDEX(Stats!$D:$D,MATCH($C155,Stats!$A:$A,0)),FALSE),ROUND(D155+(E155-D155)*(1+G155)*((6-1)/(MaxLevel-1))^(2^F155),0),D155+(E155-D155)*(1+G155)*((6-1)/(MaxLevel-1))^(2^F155)))</f>
        <v>94</v>
      </c>
      <c r="N155" s="12">
        <f>IF(OR(D155="",E155=""),"",IF(IFERROR(INDEX(Stats!$D:$D,MATCH($C155,Stats!$A:$A,0)),FALSE),ROUND(D155+(E155-D155)*(1+G155)*((7-1)/(MaxLevel-1))^(2^F155),0),D155+(E155-D155)*(1+G155)*((7-1)/(MaxLevel-1))^(2^F155)))</f>
        <v>108</v>
      </c>
      <c r="O155" s="12">
        <f>IF(OR(D155="",E155=""),"",IF(IFERROR(INDEX(Stats!$D:$D,MATCH($C155,Stats!$A:$A,0)),FALSE),ROUND(D155+(E155-D155)*(1+G155)*((8-1)/(MaxLevel-1))^(2^F155),0),D155+(E155-D155)*(1+G155)*((8-1)/(MaxLevel-1))^(2^F155)))</f>
        <v>122</v>
      </c>
      <c r="P155" s="12">
        <f>IF(OR(D155="",E155=""),"",IF(IFERROR(INDEX(Stats!$D:$D,MATCH($C155,Stats!$A:$A,0)),FALSE),ROUND(D155+(E155-D155)*(1+G155)*((9-1)/(MaxLevel-1))^(2^F155),0),D155+(E155-D155)*(1+G155)*((9-1)/(MaxLevel-1))^(2^F155)))</f>
        <v>136</v>
      </c>
      <c r="Q155" s="12">
        <f>IF(OR(D155="",E155=""),"",IF(IFERROR(INDEX(Stats!$D:$D,MATCH($C155,Stats!$A:$A,0)),FALSE),ROUND(D155+(E155-D155)*(1+G155)*((10-1)/(MaxLevel-1))^(2^F155),0),D155+(E155-D155)*(1+G155)*((10-1)/(MaxLevel-1))^(2^F155)))</f>
        <v>150</v>
      </c>
    </row>
    <row r="156" spans="1:17" x14ac:dyDescent="0.25">
      <c r="A156" s="4" t="s">
        <v>185</v>
      </c>
      <c r="B156" s="19" t="s">
        <v>224</v>
      </c>
      <c r="C156" s="4" t="s">
        <v>28</v>
      </c>
      <c r="D156" s="5">
        <v>300</v>
      </c>
      <c r="E156" s="5">
        <v>1200</v>
      </c>
      <c r="F156" s="5">
        <v>0</v>
      </c>
      <c r="G156" s="5">
        <v>-0.1</v>
      </c>
      <c r="H156" s="12">
        <f>IF(OR(D156="",E156=""),"",IF(IFERROR(INDEX(Stats!$D:$D,MATCH($C156,Stats!$A:$A,0)),FALSE),ROUND(D156+(E156-D156)*(1+G156)*((1-1)/(MaxLevel-1))^(2^F156),0),D156+(E156-D156)*(1+G156)*((1-1)/(MaxLevel-1))^(2^F156)))</f>
        <v>300</v>
      </c>
      <c r="I156" s="12">
        <f>IF(OR(D156="",E156=""),"",IF(IFERROR(INDEX(Stats!$D:$D,MATCH($C156,Stats!$A:$A,0)),FALSE),ROUND(D156+(E156-D156)*(1+G156)*((2-1)/(MaxLevel-1))^(2^F156),0),D156+(E156-D156)*(1+G156)*((2-1)/(MaxLevel-1))^(2^F156)))</f>
        <v>390</v>
      </c>
      <c r="J156" s="12">
        <f>IF(OR(D156="",E156=""),"",IF(IFERROR(INDEX(Stats!$D:$D,MATCH($C156,Stats!$A:$A,0)),FALSE),ROUND(D156+(E156-D156)*(1+G156)*((3-1)/(MaxLevel-1))^(2^F156),0),D156+(E156-D156)*(1+G156)*((3-1)/(MaxLevel-1))^(2^F156)))</f>
        <v>480</v>
      </c>
      <c r="K156" s="12">
        <f>IF(OR(D156="",E156=""),"",IF(IFERROR(INDEX(Stats!$D:$D,MATCH($C156,Stats!$A:$A,0)),FALSE),ROUND(D156+(E156-D156)*(1+G156)*((4-1)/(MaxLevel-1))^(2^F156),0),D156+(E156-D156)*(1+G156)*((4-1)/(MaxLevel-1))^(2^F156)))</f>
        <v>570</v>
      </c>
      <c r="L156" s="12">
        <f>IF(OR(D156="",E156=""),"",IF(IFERROR(INDEX(Stats!$D:$D,MATCH($C156,Stats!$A:$A,0)),FALSE),ROUND(D156+(E156-D156)*(1+G156)*((5-1)/(MaxLevel-1))^(2^F156),0),D156+(E156-D156)*(1+G156)*((5-1)/(MaxLevel-1))^(2^F156)))</f>
        <v>660</v>
      </c>
      <c r="M156" s="12">
        <f>IF(OR(D156="",E156=""),"",IF(IFERROR(INDEX(Stats!$D:$D,MATCH($C156,Stats!$A:$A,0)),FALSE),ROUND(D156+(E156-D156)*(1+G156)*((6-1)/(MaxLevel-1))^(2^F156),0),D156+(E156-D156)*(1+G156)*((6-1)/(MaxLevel-1))^(2^F156)))</f>
        <v>750</v>
      </c>
      <c r="N156" s="12">
        <f>IF(OR(D156="",E156=""),"",IF(IFERROR(INDEX(Stats!$D:$D,MATCH($C156,Stats!$A:$A,0)),FALSE),ROUND(D156+(E156-D156)*(1+G156)*((7-1)/(MaxLevel-1))^(2^F156),0),D156+(E156-D156)*(1+G156)*((7-1)/(MaxLevel-1))^(2^F156)))</f>
        <v>840</v>
      </c>
      <c r="O156" s="12">
        <f>IF(OR(D156="",E156=""),"",IF(IFERROR(INDEX(Stats!$D:$D,MATCH($C156,Stats!$A:$A,0)),FALSE),ROUND(D156+(E156-D156)*(1+G156)*((8-1)/(MaxLevel-1))^(2^F156),0),D156+(E156-D156)*(1+G156)*((8-1)/(MaxLevel-1))^(2^F156)))</f>
        <v>930</v>
      </c>
      <c r="P156" s="12">
        <f>IF(OR(D156="",E156=""),"",IF(IFERROR(INDEX(Stats!$D:$D,MATCH($C156,Stats!$A:$A,0)),FALSE),ROUND(D156+(E156-D156)*(1+G156)*((9-1)/(MaxLevel-1))^(2^F156),0),D156+(E156-D156)*(1+G156)*((9-1)/(MaxLevel-1))^(2^F156)))</f>
        <v>1020</v>
      </c>
      <c r="Q156" s="12">
        <f>IF(OR(D156="",E156=""),"",IF(IFERROR(INDEX(Stats!$D:$D,MATCH($C156,Stats!$A:$A,0)),FALSE),ROUND(D156+(E156-D156)*(1+G156)*((10-1)/(MaxLevel-1))^(2^F156),0),D156+(E156-D156)*(1+G156)*((10-1)/(MaxLevel-1))^(2^F156)))</f>
        <v>1110</v>
      </c>
    </row>
    <row r="157" spans="1:17" x14ac:dyDescent="0.25">
      <c r="A157" s="4" t="s">
        <v>185</v>
      </c>
      <c r="B157" s="19" t="s">
        <v>224</v>
      </c>
      <c r="C157" s="4" t="s">
        <v>30</v>
      </c>
      <c r="D157" s="5">
        <v>25</v>
      </c>
      <c r="E157" s="5">
        <v>110</v>
      </c>
      <c r="F157" s="5">
        <v>0.5</v>
      </c>
      <c r="G157" s="5">
        <v>0</v>
      </c>
      <c r="H157" s="12">
        <f>IF(OR(D157="",E157=""),"",IF(IFERROR(INDEX(Stats!$D:$D,MATCH($C157,Stats!$A:$A,0)),FALSE),ROUND(D157+(E157-D157)*(1+G157)*((1-1)/(MaxLevel-1))^(2^F157),0),D157+(E157-D157)*(1+G157)*((1-1)/(MaxLevel-1))^(2^F157)))</f>
        <v>25</v>
      </c>
      <c r="I157" s="12">
        <f>IF(OR(D157="",E157=""),"",IF(IFERROR(INDEX(Stats!$D:$D,MATCH($C157,Stats!$A:$A,0)),FALSE),ROUND(D157+(E157-D157)*(1+G157)*((2-1)/(MaxLevel-1))^(2^F157),0),D157+(E157-D157)*(1+G157)*((2-1)/(MaxLevel-1))^(2^F157)))</f>
        <v>29</v>
      </c>
      <c r="J157" s="12">
        <f>IF(OR(D157="",E157=""),"",IF(IFERROR(INDEX(Stats!$D:$D,MATCH($C157,Stats!$A:$A,0)),FALSE),ROUND(D157+(E157-D157)*(1+G157)*((3-1)/(MaxLevel-1))^(2^F157),0),D157+(E157-D157)*(1+G157)*((3-1)/(MaxLevel-1))^(2^F157)))</f>
        <v>35</v>
      </c>
      <c r="K157" s="12">
        <f>IF(OR(D157="",E157=""),"",IF(IFERROR(INDEX(Stats!$D:$D,MATCH($C157,Stats!$A:$A,0)),FALSE),ROUND(D157+(E157-D157)*(1+G157)*((4-1)/(MaxLevel-1))^(2^F157),0),D157+(E157-D157)*(1+G157)*((4-1)/(MaxLevel-1))^(2^F157)))</f>
        <v>43</v>
      </c>
      <c r="L157" s="12">
        <f>IF(OR(D157="",E157=""),"",IF(IFERROR(INDEX(Stats!$D:$D,MATCH($C157,Stats!$A:$A,0)),FALSE),ROUND(D157+(E157-D157)*(1+G157)*((5-1)/(MaxLevel-1))^(2^F157),0),D157+(E157-D157)*(1+G157)*((5-1)/(MaxLevel-1))^(2^F157)))</f>
        <v>52</v>
      </c>
      <c r="M157" s="12">
        <f>IF(OR(D157="",E157=""),"",IF(IFERROR(INDEX(Stats!$D:$D,MATCH($C157,Stats!$A:$A,0)),FALSE),ROUND(D157+(E157-D157)*(1+G157)*((6-1)/(MaxLevel-1))^(2^F157),0),D157+(E157-D157)*(1+G157)*((6-1)/(MaxLevel-1))^(2^F157)))</f>
        <v>62</v>
      </c>
      <c r="N157" s="12">
        <f>IF(OR(D157="",E157=""),"",IF(IFERROR(INDEX(Stats!$D:$D,MATCH($C157,Stats!$A:$A,0)),FALSE),ROUND(D157+(E157-D157)*(1+G157)*((7-1)/(MaxLevel-1))^(2^F157),0),D157+(E157-D157)*(1+G157)*((7-1)/(MaxLevel-1))^(2^F157)))</f>
        <v>73</v>
      </c>
      <c r="O157" s="12">
        <f>IF(OR(D157="",E157=""),"",IF(IFERROR(INDEX(Stats!$D:$D,MATCH($C157,Stats!$A:$A,0)),FALSE),ROUND(D157+(E157-D157)*(1+G157)*((8-1)/(MaxLevel-1))^(2^F157),0),D157+(E157-D157)*(1+G157)*((8-1)/(MaxLevel-1))^(2^F157)))</f>
        <v>85</v>
      </c>
      <c r="P157" s="12">
        <f>IF(OR(D157="",E157=""),"",IF(IFERROR(INDEX(Stats!$D:$D,MATCH($C157,Stats!$A:$A,0)),FALSE),ROUND(D157+(E157-D157)*(1+G157)*((9-1)/(MaxLevel-1))^(2^F157),0),D157+(E157-D157)*(1+G157)*((9-1)/(MaxLevel-1))^(2^F157)))</f>
        <v>97</v>
      </c>
      <c r="Q157" s="12">
        <f>IF(OR(D157="",E157=""),"",IF(IFERROR(INDEX(Stats!$D:$D,MATCH($C157,Stats!$A:$A,0)),FALSE),ROUND(D157+(E157-D157)*(1+G157)*((10-1)/(MaxLevel-1))^(2^F157),0),D157+(E157-D157)*(1+G157)*((10-1)/(MaxLevel-1))^(2^F157)))</f>
        <v>110</v>
      </c>
    </row>
    <row r="158" spans="1:17" x14ac:dyDescent="0.25">
      <c r="A158" s="4" t="s">
        <v>185</v>
      </c>
      <c r="B158" s="19" t="s">
        <v>224</v>
      </c>
      <c r="C158" s="4" t="s">
        <v>32</v>
      </c>
      <c r="D158" s="5"/>
      <c r="E158" s="5"/>
      <c r="F158" s="5"/>
      <c r="G158" s="5"/>
      <c r="H158" s="12" t="str">
        <f>IF(OR(D158="",E158=""),"",IF(IFERROR(INDEX(Stats!$D:$D,MATCH($C158,Stats!$A:$A,0)),FALSE),ROUND(D158+(E158-D158)*(1+G158)*((1-1)/(MaxLevel-1))^(2^F158),0),D158+(E158-D158)*(1+G158)*((1-1)/(MaxLevel-1))^(2^F158)))</f>
        <v/>
      </c>
      <c r="I158" s="12" t="str">
        <f>IF(OR(D158="",E158=""),"",IF(IFERROR(INDEX(Stats!$D:$D,MATCH($C158,Stats!$A:$A,0)),FALSE),ROUND(D158+(E158-D158)*(1+G158)*((2-1)/(MaxLevel-1))^(2^F158),0),D158+(E158-D158)*(1+G158)*((2-1)/(MaxLevel-1))^(2^F158)))</f>
        <v/>
      </c>
      <c r="J158" s="12" t="str">
        <f>IF(OR(D158="",E158=""),"",IF(IFERROR(INDEX(Stats!$D:$D,MATCH($C158,Stats!$A:$A,0)),FALSE),ROUND(D158+(E158-D158)*(1+G158)*((3-1)/(MaxLevel-1))^(2^F158),0),D158+(E158-D158)*(1+G158)*((3-1)/(MaxLevel-1))^(2^F158)))</f>
        <v/>
      </c>
      <c r="K158" s="12" t="str">
        <f>IF(OR(D158="",E158=""),"",IF(IFERROR(INDEX(Stats!$D:$D,MATCH($C158,Stats!$A:$A,0)),FALSE),ROUND(D158+(E158-D158)*(1+G158)*((4-1)/(MaxLevel-1))^(2^F158),0),D158+(E158-D158)*(1+G158)*((4-1)/(MaxLevel-1))^(2^F158)))</f>
        <v/>
      </c>
      <c r="L158" s="12" t="str">
        <f>IF(OR(D158="",E158=""),"",IF(IFERROR(INDEX(Stats!$D:$D,MATCH($C158,Stats!$A:$A,0)),FALSE),ROUND(D158+(E158-D158)*(1+G158)*((5-1)/(MaxLevel-1))^(2^F158),0),D158+(E158-D158)*(1+G158)*((5-1)/(MaxLevel-1))^(2^F158)))</f>
        <v/>
      </c>
      <c r="M158" s="12" t="str">
        <f>IF(OR(D158="",E158=""),"",IF(IFERROR(INDEX(Stats!$D:$D,MATCH($C158,Stats!$A:$A,0)),FALSE),ROUND(D158+(E158-D158)*(1+G158)*((6-1)/(MaxLevel-1))^(2^F158),0),D158+(E158-D158)*(1+G158)*((6-1)/(MaxLevel-1))^(2^F158)))</f>
        <v/>
      </c>
      <c r="N158" s="12" t="str">
        <f>IF(OR(D158="",E158=""),"",IF(IFERROR(INDEX(Stats!$D:$D,MATCH($C158,Stats!$A:$A,0)),FALSE),ROUND(D158+(E158-D158)*(1+G158)*((7-1)/(MaxLevel-1))^(2^F158),0),D158+(E158-D158)*(1+G158)*((7-1)/(MaxLevel-1))^(2^F158)))</f>
        <v/>
      </c>
      <c r="O158" s="12" t="str">
        <f>IF(OR(D158="",E158=""),"",IF(IFERROR(INDEX(Stats!$D:$D,MATCH($C158,Stats!$A:$A,0)),FALSE),ROUND(D158+(E158-D158)*(1+G158)*((8-1)/(MaxLevel-1))^(2^F158),0),D158+(E158-D158)*(1+G158)*((8-1)/(MaxLevel-1))^(2^F158)))</f>
        <v/>
      </c>
      <c r="P158" s="12" t="str">
        <f>IF(OR(D158="",E158=""),"",IF(IFERROR(INDEX(Stats!$D:$D,MATCH($C158,Stats!$A:$A,0)),FALSE),ROUND(D158+(E158-D158)*(1+G158)*((9-1)/(MaxLevel-1))^(2^F158),0),D158+(E158-D158)*(1+G158)*((9-1)/(MaxLevel-1))^(2^F158)))</f>
        <v/>
      </c>
      <c r="Q158" s="12" t="str">
        <f>IF(OR(D158="",E158=""),"",IF(IFERROR(INDEX(Stats!$D:$D,MATCH($C158,Stats!$A:$A,0)),FALSE),ROUND(D158+(E158-D158)*(1+G158)*((10-1)/(MaxLevel-1))^(2^F158),0),D158+(E158-D158)*(1+G158)*((10-1)/(MaxLevel-1))^(2^F158)))</f>
        <v/>
      </c>
    </row>
    <row r="159" spans="1:17" x14ac:dyDescent="0.25">
      <c r="A159" s="4" t="s">
        <v>185</v>
      </c>
      <c r="B159" s="19" t="s">
        <v>224</v>
      </c>
      <c r="C159" s="4" t="s">
        <v>34</v>
      </c>
      <c r="D159" s="5"/>
      <c r="E159" s="5"/>
      <c r="F159" s="5"/>
      <c r="G159" s="5"/>
      <c r="H159" s="12" t="str">
        <f>IF(OR(D159="",E159=""),"",IF(IFERROR(INDEX(Stats!$D:$D,MATCH($C159,Stats!$A:$A,0)),FALSE),ROUND(D159+(E159-D159)*(1+G159)*((1-1)/(MaxLevel-1))^(2^F159),0),D159+(E159-D159)*(1+G159)*((1-1)/(MaxLevel-1))^(2^F159)))</f>
        <v/>
      </c>
      <c r="I159" s="12" t="str">
        <f>IF(OR(D159="",E159=""),"",IF(IFERROR(INDEX(Stats!$D:$D,MATCH($C159,Stats!$A:$A,0)),FALSE),ROUND(D159+(E159-D159)*(1+G159)*((2-1)/(MaxLevel-1))^(2^F159),0),D159+(E159-D159)*(1+G159)*((2-1)/(MaxLevel-1))^(2^F159)))</f>
        <v/>
      </c>
      <c r="J159" s="12" t="str">
        <f>IF(OR(D159="",E159=""),"",IF(IFERROR(INDEX(Stats!$D:$D,MATCH($C159,Stats!$A:$A,0)),FALSE),ROUND(D159+(E159-D159)*(1+G159)*((3-1)/(MaxLevel-1))^(2^F159),0),D159+(E159-D159)*(1+G159)*((3-1)/(MaxLevel-1))^(2^F159)))</f>
        <v/>
      </c>
      <c r="K159" s="12" t="str">
        <f>IF(OR(D159="",E159=""),"",IF(IFERROR(INDEX(Stats!$D:$D,MATCH($C159,Stats!$A:$A,0)),FALSE),ROUND(D159+(E159-D159)*(1+G159)*((4-1)/(MaxLevel-1))^(2^F159),0),D159+(E159-D159)*(1+G159)*((4-1)/(MaxLevel-1))^(2^F159)))</f>
        <v/>
      </c>
      <c r="L159" s="12" t="str">
        <f>IF(OR(D159="",E159=""),"",IF(IFERROR(INDEX(Stats!$D:$D,MATCH($C159,Stats!$A:$A,0)),FALSE),ROUND(D159+(E159-D159)*(1+G159)*((5-1)/(MaxLevel-1))^(2^F159),0),D159+(E159-D159)*(1+G159)*((5-1)/(MaxLevel-1))^(2^F159)))</f>
        <v/>
      </c>
      <c r="M159" s="12" t="str">
        <f>IF(OR(D159="",E159=""),"",IF(IFERROR(INDEX(Stats!$D:$D,MATCH($C159,Stats!$A:$A,0)),FALSE),ROUND(D159+(E159-D159)*(1+G159)*((6-1)/(MaxLevel-1))^(2^F159),0),D159+(E159-D159)*(1+G159)*((6-1)/(MaxLevel-1))^(2^F159)))</f>
        <v/>
      </c>
      <c r="N159" s="12" t="str">
        <f>IF(OR(D159="",E159=""),"",IF(IFERROR(INDEX(Stats!$D:$D,MATCH($C159,Stats!$A:$A,0)),FALSE),ROUND(D159+(E159-D159)*(1+G159)*((7-1)/(MaxLevel-1))^(2^F159),0),D159+(E159-D159)*(1+G159)*((7-1)/(MaxLevel-1))^(2^F159)))</f>
        <v/>
      </c>
      <c r="O159" s="12" t="str">
        <f>IF(OR(D159="",E159=""),"",IF(IFERROR(INDEX(Stats!$D:$D,MATCH($C159,Stats!$A:$A,0)),FALSE),ROUND(D159+(E159-D159)*(1+G159)*((8-1)/(MaxLevel-1))^(2^F159),0),D159+(E159-D159)*(1+G159)*((8-1)/(MaxLevel-1))^(2^F159)))</f>
        <v/>
      </c>
      <c r="P159" s="12" t="str">
        <f>IF(OR(D159="",E159=""),"",IF(IFERROR(INDEX(Stats!$D:$D,MATCH($C159,Stats!$A:$A,0)),FALSE),ROUND(D159+(E159-D159)*(1+G159)*((9-1)/(MaxLevel-1))^(2^F159),0),D159+(E159-D159)*(1+G159)*((9-1)/(MaxLevel-1))^(2^F159)))</f>
        <v/>
      </c>
      <c r="Q159" s="12" t="str">
        <f>IF(OR(D159="",E159=""),"",IF(IFERROR(INDEX(Stats!$D:$D,MATCH($C159,Stats!$A:$A,0)),FALSE),ROUND(D159+(E159-D159)*(1+G159)*((10-1)/(MaxLevel-1))^(2^F159),0),D159+(E159-D159)*(1+G159)*((10-1)/(MaxLevel-1))^(2^F159)))</f>
        <v/>
      </c>
    </row>
    <row r="160" spans="1:17" x14ac:dyDescent="0.25">
      <c r="A160" s="4" t="s">
        <v>185</v>
      </c>
      <c r="B160" s="19" t="s">
        <v>224</v>
      </c>
      <c r="C160" s="4" t="s">
        <v>36</v>
      </c>
      <c r="D160" s="5"/>
      <c r="E160" s="5"/>
      <c r="F160" s="5"/>
      <c r="G160" s="5"/>
      <c r="H160" s="12" t="str">
        <f>IF(OR(D160="",E160=""),"",IF(IFERROR(INDEX(Stats!$D:$D,MATCH($C160,Stats!$A:$A,0)),FALSE),ROUND(D160+(E160-D160)*(1+G160)*((1-1)/(MaxLevel-1))^(2^F160),0),D160+(E160-D160)*(1+G160)*((1-1)/(MaxLevel-1))^(2^F160)))</f>
        <v/>
      </c>
      <c r="I160" s="12" t="str">
        <f>IF(OR(D160="",E160=""),"",IF(IFERROR(INDEX(Stats!$D:$D,MATCH($C160,Stats!$A:$A,0)),FALSE),ROUND(D160+(E160-D160)*(1+G160)*((2-1)/(MaxLevel-1))^(2^F160),0),D160+(E160-D160)*(1+G160)*((2-1)/(MaxLevel-1))^(2^F160)))</f>
        <v/>
      </c>
      <c r="J160" s="12" t="str">
        <f>IF(OR(D160="",E160=""),"",IF(IFERROR(INDEX(Stats!$D:$D,MATCH($C160,Stats!$A:$A,0)),FALSE),ROUND(D160+(E160-D160)*(1+G160)*((3-1)/(MaxLevel-1))^(2^F160),0),D160+(E160-D160)*(1+G160)*((3-1)/(MaxLevel-1))^(2^F160)))</f>
        <v/>
      </c>
      <c r="K160" s="12" t="str">
        <f>IF(OR(D160="",E160=""),"",IF(IFERROR(INDEX(Stats!$D:$D,MATCH($C160,Stats!$A:$A,0)),FALSE),ROUND(D160+(E160-D160)*(1+G160)*((4-1)/(MaxLevel-1))^(2^F160),0),D160+(E160-D160)*(1+G160)*((4-1)/(MaxLevel-1))^(2^F160)))</f>
        <v/>
      </c>
      <c r="L160" s="12" t="str">
        <f>IF(OR(D160="",E160=""),"",IF(IFERROR(INDEX(Stats!$D:$D,MATCH($C160,Stats!$A:$A,0)),FALSE),ROUND(D160+(E160-D160)*(1+G160)*((5-1)/(MaxLevel-1))^(2^F160),0),D160+(E160-D160)*(1+G160)*((5-1)/(MaxLevel-1))^(2^F160)))</f>
        <v/>
      </c>
      <c r="M160" s="12" t="str">
        <f>IF(OR(D160="",E160=""),"",IF(IFERROR(INDEX(Stats!$D:$D,MATCH($C160,Stats!$A:$A,0)),FALSE),ROUND(D160+(E160-D160)*(1+G160)*((6-1)/(MaxLevel-1))^(2^F160),0),D160+(E160-D160)*(1+G160)*((6-1)/(MaxLevel-1))^(2^F160)))</f>
        <v/>
      </c>
      <c r="N160" s="12" t="str">
        <f>IF(OR(D160="",E160=""),"",IF(IFERROR(INDEX(Stats!$D:$D,MATCH($C160,Stats!$A:$A,0)),FALSE),ROUND(D160+(E160-D160)*(1+G160)*((7-1)/(MaxLevel-1))^(2^F160),0),D160+(E160-D160)*(1+G160)*((7-1)/(MaxLevel-1))^(2^F160)))</f>
        <v/>
      </c>
      <c r="O160" s="12" t="str">
        <f>IF(OR(D160="",E160=""),"",IF(IFERROR(INDEX(Stats!$D:$D,MATCH($C160,Stats!$A:$A,0)),FALSE),ROUND(D160+(E160-D160)*(1+G160)*((8-1)/(MaxLevel-1))^(2^F160),0),D160+(E160-D160)*(1+G160)*((8-1)/(MaxLevel-1))^(2^F160)))</f>
        <v/>
      </c>
      <c r="P160" s="12" t="str">
        <f>IF(OR(D160="",E160=""),"",IF(IFERROR(INDEX(Stats!$D:$D,MATCH($C160,Stats!$A:$A,0)),FALSE),ROUND(D160+(E160-D160)*(1+G160)*((9-1)/(MaxLevel-1))^(2^F160),0),D160+(E160-D160)*(1+G160)*((9-1)/(MaxLevel-1))^(2^F160)))</f>
        <v/>
      </c>
      <c r="Q160" s="12" t="str">
        <f>IF(OR(D160="",E160=""),"",IF(IFERROR(INDEX(Stats!$D:$D,MATCH($C160,Stats!$A:$A,0)),FALSE),ROUND(D160+(E160-D160)*(1+G160)*((10-1)/(MaxLevel-1))^(2^F160),0),D160+(E160-D160)*(1+G160)*((10-1)/(MaxLevel-1))^(2^F160)))</f>
        <v/>
      </c>
    </row>
    <row r="161" spans="1:17" x14ac:dyDescent="0.25">
      <c r="A161" s="4" t="s">
        <v>185</v>
      </c>
      <c r="B161" s="19" t="s">
        <v>224</v>
      </c>
      <c r="C161" s="4" t="s">
        <v>38</v>
      </c>
      <c r="D161" s="5"/>
      <c r="E161" s="5"/>
      <c r="F161" s="5"/>
      <c r="G161" s="5"/>
      <c r="H161" s="12" t="str">
        <f>IF(OR(D161="",E161=""),"",IF(IFERROR(INDEX(Stats!$D:$D,MATCH($C161,Stats!$A:$A,0)),FALSE),ROUND(D161+(E161-D161)*(1+G161)*((1-1)/(MaxLevel-1))^(2^F161),0),D161+(E161-D161)*(1+G161)*((1-1)/(MaxLevel-1))^(2^F161)))</f>
        <v/>
      </c>
      <c r="I161" s="12" t="str">
        <f>IF(OR(D161="",E161=""),"",IF(IFERROR(INDEX(Stats!$D:$D,MATCH($C161,Stats!$A:$A,0)),FALSE),ROUND(D161+(E161-D161)*(1+G161)*((2-1)/(MaxLevel-1))^(2^F161),0),D161+(E161-D161)*(1+G161)*((2-1)/(MaxLevel-1))^(2^F161)))</f>
        <v/>
      </c>
      <c r="J161" s="12" t="str">
        <f>IF(OR(D161="",E161=""),"",IF(IFERROR(INDEX(Stats!$D:$D,MATCH($C161,Stats!$A:$A,0)),FALSE),ROUND(D161+(E161-D161)*(1+G161)*((3-1)/(MaxLevel-1))^(2^F161),0),D161+(E161-D161)*(1+G161)*((3-1)/(MaxLevel-1))^(2^F161)))</f>
        <v/>
      </c>
      <c r="K161" s="12" t="str">
        <f>IF(OR(D161="",E161=""),"",IF(IFERROR(INDEX(Stats!$D:$D,MATCH($C161,Stats!$A:$A,0)),FALSE),ROUND(D161+(E161-D161)*(1+G161)*((4-1)/(MaxLevel-1))^(2^F161),0),D161+(E161-D161)*(1+G161)*((4-1)/(MaxLevel-1))^(2^F161)))</f>
        <v/>
      </c>
      <c r="L161" s="12" t="str">
        <f>IF(OR(D161="",E161=""),"",IF(IFERROR(INDEX(Stats!$D:$D,MATCH($C161,Stats!$A:$A,0)),FALSE),ROUND(D161+(E161-D161)*(1+G161)*((5-1)/(MaxLevel-1))^(2^F161),0),D161+(E161-D161)*(1+G161)*((5-1)/(MaxLevel-1))^(2^F161)))</f>
        <v/>
      </c>
      <c r="M161" s="12" t="str">
        <f>IF(OR(D161="",E161=""),"",IF(IFERROR(INDEX(Stats!$D:$D,MATCH($C161,Stats!$A:$A,0)),FALSE),ROUND(D161+(E161-D161)*(1+G161)*((6-1)/(MaxLevel-1))^(2^F161),0),D161+(E161-D161)*(1+G161)*((6-1)/(MaxLevel-1))^(2^F161)))</f>
        <v/>
      </c>
      <c r="N161" s="12" t="str">
        <f>IF(OR(D161="",E161=""),"",IF(IFERROR(INDEX(Stats!$D:$D,MATCH($C161,Stats!$A:$A,0)),FALSE),ROUND(D161+(E161-D161)*(1+G161)*((7-1)/(MaxLevel-1))^(2^F161),0),D161+(E161-D161)*(1+G161)*((7-1)/(MaxLevel-1))^(2^F161)))</f>
        <v/>
      </c>
      <c r="O161" s="12" t="str">
        <f>IF(OR(D161="",E161=""),"",IF(IFERROR(INDEX(Stats!$D:$D,MATCH($C161,Stats!$A:$A,0)),FALSE),ROUND(D161+(E161-D161)*(1+G161)*((8-1)/(MaxLevel-1))^(2^F161),0),D161+(E161-D161)*(1+G161)*((8-1)/(MaxLevel-1))^(2^F161)))</f>
        <v/>
      </c>
      <c r="P161" s="12" t="str">
        <f>IF(OR(D161="",E161=""),"",IF(IFERROR(INDEX(Stats!$D:$D,MATCH($C161,Stats!$A:$A,0)),FALSE),ROUND(D161+(E161-D161)*(1+G161)*((9-1)/(MaxLevel-1))^(2^F161),0),D161+(E161-D161)*(1+G161)*((9-1)/(MaxLevel-1))^(2^F161)))</f>
        <v/>
      </c>
      <c r="Q161" s="12" t="str">
        <f>IF(OR(D161="",E161=""),"",IF(IFERROR(INDEX(Stats!$D:$D,MATCH($C161,Stats!$A:$A,0)),FALSE),ROUND(D161+(E161-D161)*(1+G161)*((10-1)/(MaxLevel-1))^(2^F161),0),D161+(E161-D161)*(1+G161)*((10-1)/(MaxLevel-1))^(2^F161)))</f>
        <v/>
      </c>
    </row>
    <row r="162" spans="1:17" x14ac:dyDescent="0.25">
      <c r="A162" s="4" t="s">
        <v>185</v>
      </c>
      <c r="B162" s="19" t="s">
        <v>224</v>
      </c>
      <c r="C162" s="4" t="s">
        <v>40</v>
      </c>
      <c r="D162" s="5"/>
      <c r="E162" s="5"/>
      <c r="F162" s="5"/>
      <c r="G162" s="5"/>
      <c r="H162" s="12" t="str">
        <f>IF(OR(D162="",E162=""),"",IF(IFERROR(INDEX(Stats!$D:$D,MATCH($C162,Stats!$A:$A,0)),FALSE),ROUND(D162+(E162-D162)*(1+G162)*((1-1)/(MaxLevel-1))^(2^F162),0),D162+(E162-D162)*(1+G162)*((1-1)/(MaxLevel-1))^(2^F162)))</f>
        <v/>
      </c>
      <c r="I162" s="12" t="str">
        <f>IF(OR(D162="",E162=""),"",IF(IFERROR(INDEX(Stats!$D:$D,MATCH($C162,Stats!$A:$A,0)),FALSE),ROUND(D162+(E162-D162)*(1+G162)*((2-1)/(MaxLevel-1))^(2^F162),0),D162+(E162-D162)*(1+G162)*((2-1)/(MaxLevel-1))^(2^F162)))</f>
        <v/>
      </c>
      <c r="J162" s="12" t="str">
        <f>IF(OR(D162="",E162=""),"",IF(IFERROR(INDEX(Stats!$D:$D,MATCH($C162,Stats!$A:$A,0)),FALSE),ROUND(D162+(E162-D162)*(1+G162)*((3-1)/(MaxLevel-1))^(2^F162),0),D162+(E162-D162)*(1+G162)*((3-1)/(MaxLevel-1))^(2^F162)))</f>
        <v/>
      </c>
      <c r="K162" s="12" t="str">
        <f>IF(OR(D162="",E162=""),"",IF(IFERROR(INDEX(Stats!$D:$D,MATCH($C162,Stats!$A:$A,0)),FALSE),ROUND(D162+(E162-D162)*(1+G162)*((4-1)/(MaxLevel-1))^(2^F162),0),D162+(E162-D162)*(1+G162)*((4-1)/(MaxLevel-1))^(2^F162)))</f>
        <v/>
      </c>
      <c r="L162" s="12" t="str">
        <f>IF(OR(D162="",E162=""),"",IF(IFERROR(INDEX(Stats!$D:$D,MATCH($C162,Stats!$A:$A,0)),FALSE),ROUND(D162+(E162-D162)*(1+G162)*((5-1)/(MaxLevel-1))^(2^F162),0),D162+(E162-D162)*(1+G162)*((5-1)/(MaxLevel-1))^(2^F162)))</f>
        <v/>
      </c>
      <c r="M162" s="12" t="str">
        <f>IF(OR(D162="",E162=""),"",IF(IFERROR(INDEX(Stats!$D:$D,MATCH($C162,Stats!$A:$A,0)),FALSE),ROUND(D162+(E162-D162)*(1+G162)*((6-1)/(MaxLevel-1))^(2^F162),0),D162+(E162-D162)*(1+G162)*((6-1)/(MaxLevel-1))^(2^F162)))</f>
        <v/>
      </c>
      <c r="N162" s="12" t="str">
        <f>IF(OR(D162="",E162=""),"",IF(IFERROR(INDEX(Stats!$D:$D,MATCH($C162,Stats!$A:$A,0)),FALSE),ROUND(D162+(E162-D162)*(1+G162)*((7-1)/(MaxLevel-1))^(2^F162),0),D162+(E162-D162)*(1+G162)*((7-1)/(MaxLevel-1))^(2^F162)))</f>
        <v/>
      </c>
      <c r="O162" s="12" t="str">
        <f>IF(OR(D162="",E162=""),"",IF(IFERROR(INDEX(Stats!$D:$D,MATCH($C162,Stats!$A:$A,0)),FALSE),ROUND(D162+(E162-D162)*(1+G162)*((8-1)/(MaxLevel-1))^(2^F162),0),D162+(E162-D162)*(1+G162)*((8-1)/(MaxLevel-1))^(2^F162)))</f>
        <v/>
      </c>
      <c r="P162" s="12" t="str">
        <f>IF(OR(D162="",E162=""),"",IF(IFERROR(INDEX(Stats!$D:$D,MATCH($C162,Stats!$A:$A,0)),FALSE),ROUND(D162+(E162-D162)*(1+G162)*((9-1)/(MaxLevel-1))^(2^F162),0),D162+(E162-D162)*(1+G162)*((9-1)/(MaxLevel-1))^(2^F162)))</f>
        <v/>
      </c>
      <c r="Q162" s="12" t="str">
        <f>IF(OR(D162="",E162=""),"",IF(IFERROR(INDEX(Stats!$D:$D,MATCH($C162,Stats!$A:$A,0)),FALSE),ROUND(D162+(E162-D162)*(1+G162)*((10-1)/(MaxLevel-1))^(2^F162),0),D162+(E162-D162)*(1+G162)*((10-1)/(MaxLevel-1))^(2^F162)))</f>
        <v/>
      </c>
    </row>
    <row r="163" spans="1:17" x14ac:dyDescent="0.25">
      <c r="A163" s="4" t="s">
        <v>185</v>
      </c>
      <c r="B163" s="19" t="s">
        <v>224</v>
      </c>
      <c r="C163" s="4" t="s">
        <v>42</v>
      </c>
      <c r="D163" s="5"/>
      <c r="E163" s="5"/>
      <c r="F163" s="5"/>
      <c r="G163" s="5"/>
      <c r="H163" s="12" t="str">
        <f>IF(OR(D163="",E163=""),"",IF(IFERROR(INDEX(Stats!$D:$D,MATCH($C163,Stats!$A:$A,0)),FALSE),ROUND(D163+(E163-D163)*(1+G163)*((1-1)/(MaxLevel-1))^(2^F163),0),D163+(E163-D163)*(1+G163)*((1-1)/(MaxLevel-1))^(2^F163)))</f>
        <v/>
      </c>
      <c r="I163" s="12" t="str">
        <f>IF(OR(D163="",E163=""),"",IF(IFERROR(INDEX(Stats!$D:$D,MATCH($C163,Stats!$A:$A,0)),FALSE),ROUND(D163+(E163-D163)*(1+G163)*((2-1)/(MaxLevel-1))^(2^F163),0),D163+(E163-D163)*(1+G163)*((2-1)/(MaxLevel-1))^(2^F163)))</f>
        <v/>
      </c>
      <c r="J163" s="12" t="str">
        <f>IF(OR(D163="",E163=""),"",IF(IFERROR(INDEX(Stats!$D:$D,MATCH($C163,Stats!$A:$A,0)),FALSE),ROUND(D163+(E163-D163)*(1+G163)*((3-1)/(MaxLevel-1))^(2^F163),0),D163+(E163-D163)*(1+G163)*((3-1)/(MaxLevel-1))^(2^F163)))</f>
        <v/>
      </c>
      <c r="K163" s="12" t="str">
        <f>IF(OR(D163="",E163=""),"",IF(IFERROR(INDEX(Stats!$D:$D,MATCH($C163,Stats!$A:$A,0)),FALSE),ROUND(D163+(E163-D163)*(1+G163)*((4-1)/(MaxLevel-1))^(2^F163),0),D163+(E163-D163)*(1+G163)*((4-1)/(MaxLevel-1))^(2^F163)))</f>
        <v/>
      </c>
      <c r="L163" s="12" t="str">
        <f>IF(OR(D163="",E163=""),"",IF(IFERROR(INDEX(Stats!$D:$D,MATCH($C163,Stats!$A:$A,0)),FALSE),ROUND(D163+(E163-D163)*(1+G163)*((5-1)/(MaxLevel-1))^(2^F163),0),D163+(E163-D163)*(1+G163)*((5-1)/(MaxLevel-1))^(2^F163)))</f>
        <v/>
      </c>
      <c r="M163" s="12" t="str">
        <f>IF(OR(D163="",E163=""),"",IF(IFERROR(INDEX(Stats!$D:$D,MATCH($C163,Stats!$A:$A,0)),FALSE),ROUND(D163+(E163-D163)*(1+G163)*((6-1)/(MaxLevel-1))^(2^F163),0),D163+(E163-D163)*(1+G163)*((6-1)/(MaxLevel-1))^(2^F163)))</f>
        <v/>
      </c>
      <c r="N163" s="12" t="str">
        <f>IF(OR(D163="",E163=""),"",IF(IFERROR(INDEX(Stats!$D:$D,MATCH($C163,Stats!$A:$A,0)),FALSE),ROUND(D163+(E163-D163)*(1+G163)*((7-1)/(MaxLevel-1))^(2^F163),0),D163+(E163-D163)*(1+G163)*((7-1)/(MaxLevel-1))^(2^F163)))</f>
        <v/>
      </c>
      <c r="O163" s="12" t="str">
        <f>IF(OR(D163="",E163=""),"",IF(IFERROR(INDEX(Stats!$D:$D,MATCH($C163,Stats!$A:$A,0)),FALSE),ROUND(D163+(E163-D163)*(1+G163)*((8-1)/(MaxLevel-1))^(2^F163),0),D163+(E163-D163)*(1+G163)*((8-1)/(MaxLevel-1))^(2^F163)))</f>
        <v/>
      </c>
      <c r="P163" s="12" t="str">
        <f>IF(OR(D163="",E163=""),"",IF(IFERROR(INDEX(Stats!$D:$D,MATCH($C163,Stats!$A:$A,0)),FALSE),ROUND(D163+(E163-D163)*(1+G163)*((9-1)/(MaxLevel-1))^(2^F163),0),D163+(E163-D163)*(1+G163)*((9-1)/(MaxLevel-1))^(2^F163)))</f>
        <v/>
      </c>
      <c r="Q163" s="12" t="str">
        <f>IF(OR(D163="",E163=""),"",IF(IFERROR(INDEX(Stats!$D:$D,MATCH($C163,Stats!$A:$A,0)),FALSE),ROUND(D163+(E163-D163)*(1+G163)*((10-1)/(MaxLevel-1))^(2^F163),0),D163+(E163-D163)*(1+G163)*((10-1)/(MaxLevel-1))^(2^F163)))</f>
        <v/>
      </c>
    </row>
    <row r="164" spans="1:17" x14ac:dyDescent="0.25">
      <c r="A164" s="4" t="s">
        <v>185</v>
      </c>
      <c r="B164" s="19" t="s">
        <v>224</v>
      </c>
      <c r="C164" s="4" t="s">
        <v>44</v>
      </c>
      <c r="D164" s="5"/>
      <c r="E164" s="5"/>
      <c r="F164" s="5"/>
      <c r="G164" s="5"/>
      <c r="H164" s="12" t="str">
        <f>IF(OR(D164="",E164=""),"",IF(IFERROR(INDEX(Stats!$D:$D,MATCH($C164,Stats!$A:$A,0)),FALSE),ROUND(D164+(E164-D164)*(1+G164)*((1-1)/(MaxLevel-1))^(2^F164),0),D164+(E164-D164)*(1+G164)*((1-1)/(MaxLevel-1))^(2^F164)))</f>
        <v/>
      </c>
      <c r="I164" s="12" t="str">
        <f>IF(OR(D164="",E164=""),"",IF(IFERROR(INDEX(Stats!$D:$D,MATCH($C164,Stats!$A:$A,0)),FALSE),ROUND(D164+(E164-D164)*(1+G164)*((2-1)/(MaxLevel-1))^(2^F164),0),D164+(E164-D164)*(1+G164)*((2-1)/(MaxLevel-1))^(2^F164)))</f>
        <v/>
      </c>
      <c r="J164" s="12" t="str">
        <f>IF(OR(D164="",E164=""),"",IF(IFERROR(INDEX(Stats!$D:$D,MATCH($C164,Stats!$A:$A,0)),FALSE),ROUND(D164+(E164-D164)*(1+G164)*((3-1)/(MaxLevel-1))^(2^F164),0),D164+(E164-D164)*(1+G164)*((3-1)/(MaxLevel-1))^(2^F164)))</f>
        <v/>
      </c>
      <c r="K164" s="12" t="str">
        <f>IF(OR(D164="",E164=""),"",IF(IFERROR(INDEX(Stats!$D:$D,MATCH($C164,Stats!$A:$A,0)),FALSE),ROUND(D164+(E164-D164)*(1+G164)*((4-1)/(MaxLevel-1))^(2^F164),0),D164+(E164-D164)*(1+G164)*((4-1)/(MaxLevel-1))^(2^F164)))</f>
        <v/>
      </c>
      <c r="L164" s="12" t="str">
        <f>IF(OR(D164="",E164=""),"",IF(IFERROR(INDEX(Stats!$D:$D,MATCH($C164,Stats!$A:$A,0)),FALSE),ROUND(D164+(E164-D164)*(1+G164)*((5-1)/(MaxLevel-1))^(2^F164),0),D164+(E164-D164)*(1+G164)*((5-1)/(MaxLevel-1))^(2^F164)))</f>
        <v/>
      </c>
      <c r="M164" s="12" t="str">
        <f>IF(OR(D164="",E164=""),"",IF(IFERROR(INDEX(Stats!$D:$D,MATCH($C164,Stats!$A:$A,0)),FALSE),ROUND(D164+(E164-D164)*(1+G164)*((6-1)/(MaxLevel-1))^(2^F164),0),D164+(E164-D164)*(1+G164)*((6-1)/(MaxLevel-1))^(2^F164)))</f>
        <v/>
      </c>
      <c r="N164" s="12" t="str">
        <f>IF(OR(D164="",E164=""),"",IF(IFERROR(INDEX(Stats!$D:$D,MATCH($C164,Stats!$A:$A,0)),FALSE),ROUND(D164+(E164-D164)*(1+G164)*((7-1)/(MaxLevel-1))^(2^F164),0),D164+(E164-D164)*(1+G164)*((7-1)/(MaxLevel-1))^(2^F164)))</f>
        <v/>
      </c>
      <c r="O164" s="12" t="str">
        <f>IF(OR(D164="",E164=""),"",IF(IFERROR(INDEX(Stats!$D:$D,MATCH($C164,Stats!$A:$A,0)),FALSE),ROUND(D164+(E164-D164)*(1+G164)*((8-1)/(MaxLevel-1))^(2^F164),0),D164+(E164-D164)*(1+G164)*((8-1)/(MaxLevel-1))^(2^F164)))</f>
        <v/>
      </c>
      <c r="P164" s="12" t="str">
        <f>IF(OR(D164="",E164=""),"",IF(IFERROR(INDEX(Stats!$D:$D,MATCH($C164,Stats!$A:$A,0)),FALSE),ROUND(D164+(E164-D164)*(1+G164)*((9-1)/(MaxLevel-1))^(2^F164),0),D164+(E164-D164)*(1+G164)*((9-1)/(MaxLevel-1))^(2^F164)))</f>
        <v/>
      </c>
      <c r="Q164" s="12" t="str">
        <f>IF(OR(D164="",E164=""),"",IF(IFERROR(INDEX(Stats!$D:$D,MATCH($C164,Stats!$A:$A,0)),FALSE),ROUND(D164+(E164-D164)*(1+G164)*((10-1)/(MaxLevel-1))^(2^F164),0),D164+(E164-D164)*(1+G164)*((10-1)/(MaxLevel-1))^(2^F164)))</f>
        <v/>
      </c>
    </row>
    <row r="165" spans="1:17" x14ac:dyDescent="0.25">
      <c r="A165" s="4" t="s">
        <v>185</v>
      </c>
      <c r="B165" s="19" t="s">
        <v>224</v>
      </c>
      <c r="C165" s="4" t="s">
        <v>46</v>
      </c>
      <c r="D165" s="5">
        <v>300</v>
      </c>
      <c r="E165" s="5">
        <v>320</v>
      </c>
      <c r="F165" s="5">
        <v>0</v>
      </c>
      <c r="G165" s="5">
        <v>0</v>
      </c>
      <c r="H165" s="12">
        <f>IF(OR(D165="",E165=""),"",IF(IFERROR(INDEX(Stats!$D:$D,MATCH($C165,Stats!$A:$A,0)),FALSE),ROUND(D165+(E165-D165)*(1+G165)*((1-1)/(MaxLevel-1))^(2^F165),0),D165+(E165-D165)*(1+G165)*((1-1)/(MaxLevel-1))^(2^F165)))</f>
        <v>300</v>
      </c>
      <c r="I165" s="12">
        <f>IF(OR(D165="",E165=""),"",IF(IFERROR(INDEX(Stats!$D:$D,MATCH($C165,Stats!$A:$A,0)),FALSE),ROUND(D165+(E165-D165)*(1+G165)*((2-1)/(MaxLevel-1))^(2^F165),0),D165+(E165-D165)*(1+G165)*((2-1)/(MaxLevel-1))^(2^F165)))</f>
        <v>302.22222222222223</v>
      </c>
      <c r="J165" s="12">
        <f>IF(OR(D165="",E165=""),"",IF(IFERROR(INDEX(Stats!$D:$D,MATCH($C165,Stats!$A:$A,0)),FALSE),ROUND(D165+(E165-D165)*(1+G165)*((3-1)/(MaxLevel-1))^(2^F165),0),D165+(E165-D165)*(1+G165)*((3-1)/(MaxLevel-1))^(2^F165)))</f>
        <v>304.44444444444446</v>
      </c>
      <c r="K165" s="12">
        <f>IF(OR(D165="",E165=""),"",IF(IFERROR(INDEX(Stats!$D:$D,MATCH($C165,Stats!$A:$A,0)),FALSE),ROUND(D165+(E165-D165)*(1+G165)*((4-1)/(MaxLevel-1))^(2^F165),0),D165+(E165-D165)*(1+G165)*((4-1)/(MaxLevel-1))^(2^F165)))</f>
        <v>306.66666666666669</v>
      </c>
      <c r="L165" s="12">
        <f>IF(OR(D165="",E165=""),"",IF(IFERROR(INDEX(Stats!$D:$D,MATCH($C165,Stats!$A:$A,0)),FALSE),ROUND(D165+(E165-D165)*(1+G165)*((5-1)/(MaxLevel-1))^(2^F165),0),D165+(E165-D165)*(1+G165)*((5-1)/(MaxLevel-1))^(2^F165)))</f>
        <v>308.88888888888891</v>
      </c>
      <c r="M165" s="12">
        <f>IF(OR(D165="",E165=""),"",IF(IFERROR(INDEX(Stats!$D:$D,MATCH($C165,Stats!$A:$A,0)),FALSE),ROUND(D165+(E165-D165)*(1+G165)*((6-1)/(MaxLevel-1))^(2^F165),0),D165+(E165-D165)*(1+G165)*((6-1)/(MaxLevel-1))^(2^F165)))</f>
        <v>311.11111111111109</v>
      </c>
      <c r="N165" s="12">
        <f>IF(OR(D165="",E165=""),"",IF(IFERROR(INDEX(Stats!$D:$D,MATCH($C165,Stats!$A:$A,0)),FALSE),ROUND(D165+(E165-D165)*(1+G165)*((7-1)/(MaxLevel-1))^(2^F165),0),D165+(E165-D165)*(1+G165)*((7-1)/(MaxLevel-1))^(2^F165)))</f>
        <v>313.33333333333331</v>
      </c>
      <c r="O165" s="12">
        <f>IF(OR(D165="",E165=""),"",IF(IFERROR(INDEX(Stats!$D:$D,MATCH($C165,Stats!$A:$A,0)),FALSE),ROUND(D165+(E165-D165)*(1+G165)*((8-1)/(MaxLevel-1))^(2^F165),0),D165+(E165-D165)*(1+G165)*((8-1)/(MaxLevel-1))^(2^F165)))</f>
        <v>315.55555555555554</v>
      </c>
      <c r="P165" s="12">
        <f>IF(OR(D165="",E165=""),"",IF(IFERROR(INDEX(Stats!$D:$D,MATCH($C165,Stats!$A:$A,0)),FALSE),ROUND(D165+(E165-D165)*(1+G165)*((9-1)/(MaxLevel-1))^(2^F165),0),D165+(E165-D165)*(1+G165)*((9-1)/(MaxLevel-1))^(2^F165)))</f>
        <v>317.77777777777777</v>
      </c>
      <c r="Q165" s="12">
        <f>IF(OR(D165="",E165=""),"",IF(IFERROR(INDEX(Stats!$D:$D,MATCH($C165,Stats!$A:$A,0)),FALSE),ROUND(D165+(E165-D165)*(1+G165)*((10-1)/(MaxLevel-1))^(2^F165),0),D165+(E165-D165)*(1+G165)*((10-1)/(MaxLevel-1))^(2^F165)))</f>
        <v>320</v>
      </c>
    </row>
    <row r="166" spans="1:17" x14ac:dyDescent="0.25">
      <c r="A166" s="4" t="s">
        <v>185</v>
      </c>
      <c r="B166" s="19" t="s">
        <v>224</v>
      </c>
      <c r="C166" s="4" t="s">
        <v>48</v>
      </c>
      <c r="D166" s="5"/>
      <c r="E166" s="5"/>
      <c r="F166" s="5"/>
      <c r="G166" s="5"/>
      <c r="H166" s="12" t="str">
        <f>IF(OR(D166="",E166=""),"",IF(IFERROR(INDEX(Stats!$D:$D,MATCH($C166,Stats!$A:$A,0)),FALSE),ROUND(D166+(E166-D166)*(1+G166)*((1-1)/(MaxLevel-1))^(2^F166),0),D166+(E166-D166)*(1+G166)*((1-1)/(MaxLevel-1))^(2^F166)))</f>
        <v/>
      </c>
      <c r="I166" s="12" t="str">
        <f>IF(OR(D166="",E166=""),"",IF(IFERROR(INDEX(Stats!$D:$D,MATCH($C166,Stats!$A:$A,0)),FALSE),ROUND(D166+(E166-D166)*(1+G166)*((2-1)/(MaxLevel-1))^(2^F166),0),D166+(E166-D166)*(1+G166)*((2-1)/(MaxLevel-1))^(2^F166)))</f>
        <v/>
      </c>
      <c r="J166" s="12" t="str">
        <f>IF(OR(D166="",E166=""),"",IF(IFERROR(INDEX(Stats!$D:$D,MATCH($C166,Stats!$A:$A,0)),FALSE),ROUND(D166+(E166-D166)*(1+G166)*((3-1)/(MaxLevel-1))^(2^F166),0),D166+(E166-D166)*(1+G166)*((3-1)/(MaxLevel-1))^(2^F166)))</f>
        <v/>
      </c>
      <c r="K166" s="12" t="str">
        <f>IF(OR(D166="",E166=""),"",IF(IFERROR(INDEX(Stats!$D:$D,MATCH($C166,Stats!$A:$A,0)),FALSE),ROUND(D166+(E166-D166)*(1+G166)*((4-1)/(MaxLevel-1))^(2^F166),0),D166+(E166-D166)*(1+G166)*((4-1)/(MaxLevel-1))^(2^F166)))</f>
        <v/>
      </c>
      <c r="L166" s="12" t="str">
        <f>IF(OR(D166="",E166=""),"",IF(IFERROR(INDEX(Stats!$D:$D,MATCH($C166,Stats!$A:$A,0)),FALSE),ROUND(D166+(E166-D166)*(1+G166)*((5-1)/(MaxLevel-1))^(2^F166),0),D166+(E166-D166)*(1+G166)*((5-1)/(MaxLevel-1))^(2^F166)))</f>
        <v/>
      </c>
      <c r="M166" s="12" t="str">
        <f>IF(OR(D166="",E166=""),"",IF(IFERROR(INDEX(Stats!$D:$D,MATCH($C166,Stats!$A:$A,0)),FALSE),ROUND(D166+(E166-D166)*(1+G166)*((6-1)/(MaxLevel-1))^(2^F166),0),D166+(E166-D166)*(1+G166)*((6-1)/(MaxLevel-1))^(2^F166)))</f>
        <v/>
      </c>
      <c r="N166" s="12" t="str">
        <f>IF(OR(D166="",E166=""),"",IF(IFERROR(INDEX(Stats!$D:$D,MATCH($C166,Stats!$A:$A,0)),FALSE),ROUND(D166+(E166-D166)*(1+G166)*((7-1)/(MaxLevel-1))^(2^F166),0),D166+(E166-D166)*(1+G166)*((7-1)/(MaxLevel-1))^(2^F166)))</f>
        <v/>
      </c>
      <c r="O166" s="12" t="str">
        <f>IF(OR(D166="",E166=""),"",IF(IFERROR(INDEX(Stats!$D:$D,MATCH($C166,Stats!$A:$A,0)),FALSE),ROUND(D166+(E166-D166)*(1+G166)*((8-1)/(MaxLevel-1))^(2^F166),0),D166+(E166-D166)*(1+G166)*((8-1)/(MaxLevel-1))^(2^F166)))</f>
        <v/>
      </c>
      <c r="P166" s="12" t="str">
        <f>IF(OR(D166="",E166=""),"",IF(IFERROR(INDEX(Stats!$D:$D,MATCH($C166,Stats!$A:$A,0)),FALSE),ROUND(D166+(E166-D166)*(1+G166)*((9-1)/(MaxLevel-1))^(2^F166),0),D166+(E166-D166)*(1+G166)*((9-1)/(MaxLevel-1))^(2^F166)))</f>
        <v/>
      </c>
      <c r="Q166" s="12" t="str">
        <f>IF(OR(D166="",E166=""),"",IF(IFERROR(INDEX(Stats!$D:$D,MATCH($C166,Stats!$A:$A,0)),FALSE),ROUND(D166+(E166-D166)*(1+G166)*((10-1)/(MaxLevel-1))^(2^F166),0),D166+(E166-D166)*(1+G166)*((10-1)/(MaxLevel-1))^(2^F166)))</f>
        <v/>
      </c>
    </row>
    <row r="167" spans="1:17" x14ac:dyDescent="0.25">
      <c r="A167" s="4" t="s">
        <v>185</v>
      </c>
      <c r="B167" s="19" t="s">
        <v>224</v>
      </c>
      <c r="C167" s="4" t="s">
        <v>50</v>
      </c>
      <c r="D167" s="5"/>
      <c r="E167" s="5"/>
      <c r="F167" s="5"/>
      <c r="G167" s="5"/>
      <c r="H167" s="12" t="str">
        <f>IF(OR(D167="",E167=""),"",IF(IFERROR(INDEX(Stats!$D:$D,MATCH($C167,Stats!$A:$A,0)),FALSE),ROUND(D167+(E167-D167)*(1+G167)*((1-1)/(MaxLevel-1))^(2^F167),0),D167+(E167-D167)*(1+G167)*((1-1)/(MaxLevel-1))^(2^F167)))</f>
        <v/>
      </c>
      <c r="I167" s="12" t="str">
        <f>IF(OR(D167="",E167=""),"",IF(IFERROR(INDEX(Stats!$D:$D,MATCH($C167,Stats!$A:$A,0)),FALSE),ROUND(D167+(E167-D167)*(1+G167)*((2-1)/(MaxLevel-1))^(2^F167),0),D167+(E167-D167)*(1+G167)*((2-1)/(MaxLevel-1))^(2^F167)))</f>
        <v/>
      </c>
      <c r="J167" s="12" t="str">
        <f>IF(OR(D167="",E167=""),"",IF(IFERROR(INDEX(Stats!$D:$D,MATCH($C167,Stats!$A:$A,0)),FALSE),ROUND(D167+(E167-D167)*(1+G167)*((3-1)/(MaxLevel-1))^(2^F167),0),D167+(E167-D167)*(1+G167)*((3-1)/(MaxLevel-1))^(2^F167)))</f>
        <v/>
      </c>
      <c r="K167" s="12" t="str">
        <f>IF(OR(D167="",E167=""),"",IF(IFERROR(INDEX(Stats!$D:$D,MATCH($C167,Stats!$A:$A,0)),FALSE),ROUND(D167+(E167-D167)*(1+G167)*((4-1)/(MaxLevel-1))^(2^F167),0),D167+(E167-D167)*(1+G167)*((4-1)/(MaxLevel-1))^(2^F167)))</f>
        <v/>
      </c>
      <c r="L167" s="12" t="str">
        <f>IF(OR(D167="",E167=""),"",IF(IFERROR(INDEX(Stats!$D:$D,MATCH($C167,Stats!$A:$A,0)),FALSE),ROUND(D167+(E167-D167)*(1+G167)*((5-1)/(MaxLevel-1))^(2^F167),0),D167+(E167-D167)*(1+G167)*((5-1)/(MaxLevel-1))^(2^F167)))</f>
        <v/>
      </c>
      <c r="M167" s="12" t="str">
        <f>IF(OR(D167="",E167=""),"",IF(IFERROR(INDEX(Stats!$D:$D,MATCH($C167,Stats!$A:$A,0)),FALSE),ROUND(D167+(E167-D167)*(1+G167)*((6-1)/(MaxLevel-1))^(2^F167),0),D167+(E167-D167)*(1+G167)*((6-1)/(MaxLevel-1))^(2^F167)))</f>
        <v/>
      </c>
      <c r="N167" s="12" t="str">
        <f>IF(OR(D167="",E167=""),"",IF(IFERROR(INDEX(Stats!$D:$D,MATCH($C167,Stats!$A:$A,0)),FALSE),ROUND(D167+(E167-D167)*(1+G167)*((7-1)/(MaxLevel-1))^(2^F167),0),D167+(E167-D167)*(1+G167)*((7-1)/(MaxLevel-1))^(2^F167)))</f>
        <v/>
      </c>
      <c r="O167" s="12" t="str">
        <f>IF(OR(D167="",E167=""),"",IF(IFERROR(INDEX(Stats!$D:$D,MATCH($C167,Stats!$A:$A,0)),FALSE),ROUND(D167+(E167-D167)*(1+G167)*((8-1)/(MaxLevel-1))^(2^F167),0),D167+(E167-D167)*(1+G167)*((8-1)/(MaxLevel-1))^(2^F167)))</f>
        <v/>
      </c>
      <c r="P167" s="12" t="str">
        <f>IF(OR(D167="",E167=""),"",IF(IFERROR(INDEX(Stats!$D:$D,MATCH($C167,Stats!$A:$A,0)),FALSE),ROUND(D167+(E167-D167)*(1+G167)*((9-1)/(MaxLevel-1))^(2^F167),0),D167+(E167-D167)*(1+G167)*((9-1)/(MaxLevel-1))^(2^F167)))</f>
        <v/>
      </c>
      <c r="Q167" s="12" t="str">
        <f>IF(OR(D167="",E167=""),"",IF(IFERROR(INDEX(Stats!$D:$D,MATCH($C167,Stats!$A:$A,0)),FALSE),ROUND(D167+(E167-D167)*(1+G167)*((10-1)/(MaxLevel-1))^(2^F167),0),D167+(E167-D167)*(1+G167)*((10-1)/(MaxLevel-1))^(2^F167)))</f>
        <v/>
      </c>
    </row>
    <row r="168" spans="1:17" x14ac:dyDescent="0.25">
      <c r="A168" s="4" t="s">
        <v>185</v>
      </c>
      <c r="B168" s="19" t="s">
        <v>224</v>
      </c>
      <c r="C168" s="4" t="s">
        <v>52</v>
      </c>
      <c r="D168" s="5"/>
      <c r="E168" s="5"/>
      <c r="F168" s="5"/>
      <c r="G168" s="5"/>
      <c r="H168" s="12" t="str">
        <f>IF(OR(D168="",E168=""),"",IF(IFERROR(INDEX(Stats!$D:$D,MATCH($C168,Stats!$A:$A,0)),FALSE),ROUND(D168+(E168-D168)*(1+G168)*((1-1)/(MaxLevel-1))^(2^F168),0),D168+(E168-D168)*(1+G168)*((1-1)/(MaxLevel-1))^(2^F168)))</f>
        <v/>
      </c>
      <c r="I168" s="12" t="str">
        <f>IF(OR(D168="",E168=""),"",IF(IFERROR(INDEX(Stats!$D:$D,MATCH($C168,Stats!$A:$A,0)),FALSE),ROUND(D168+(E168-D168)*(1+G168)*((2-1)/(MaxLevel-1))^(2^F168),0),D168+(E168-D168)*(1+G168)*((2-1)/(MaxLevel-1))^(2^F168)))</f>
        <v/>
      </c>
      <c r="J168" s="12" t="str">
        <f>IF(OR(D168="",E168=""),"",IF(IFERROR(INDEX(Stats!$D:$D,MATCH($C168,Stats!$A:$A,0)),FALSE),ROUND(D168+(E168-D168)*(1+G168)*((3-1)/(MaxLevel-1))^(2^F168),0),D168+(E168-D168)*(1+G168)*((3-1)/(MaxLevel-1))^(2^F168)))</f>
        <v/>
      </c>
      <c r="K168" s="12" t="str">
        <f>IF(OR(D168="",E168=""),"",IF(IFERROR(INDEX(Stats!$D:$D,MATCH($C168,Stats!$A:$A,0)),FALSE),ROUND(D168+(E168-D168)*(1+G168)*((4-1)/(MaxLevel-1))^(2^F168),0),D168+(E168-D168)*(1+G168)*((4-1)/(MaxLevel-1))^(2^F168)))</f>
        <v/>
      </c>
      <c r="L168" s="12" t="str">
        <f>IF(OR(D168="",E168=""),"",IF(IFERROR(INDEX(Stats!$D:$D,MATCH($C168,Stats!$A:$A,0)),FALSE),ROUND(D168+(E168-D168)*(1+G168)*((5-1)/(MaxLevel-1))^(2^F168),0),D168+(E168-D168)*(1+G168)*((5-1)/(MaxLevel-1))^(2^F168)))</f>
        <v/>
      </c>
      <c r="M168" s="12" t="str">
        <f>IF(OR(D168="",E168=""),"",IF(IFERROR(INDEX(Stats!$D:$D,MATCH($C168,Stats!$A:$A,0)),FALSE),ROUND(D168+(E168-D168)*(1+G168)*((6-1)/(MaxLevel-1))^(2^F168),0),D168+(E168-D168)*(1+G168)*((6-1)/(MaxLevel-1))^(2^F168)))</f>
        <v/>
      </c>
      <c r="N168" s="12" t="str">
        <f>IF(OR(D168="",E168=""),"",IF(IFERROR(INDEX(Stats!$D:$D,MATCH($C168,Stats!$A:$A,0)),FALSE),ROUND(D168+(E168-D168)*(1+G168)*((7-1)/(MaxLevel-1))^(2^F168),0),D168+(E168-D168)*(1+G168)*((7-1)/(MaxLevel-1))^(2^F168)))</f>
        <v/>
      </c>
      <c r="O168" s="12" t="str">
        <f>IF(OR(D168="",E168=""),"",IF(IFERROR(INDEX(Stats!$D:$D,MATCH($C168,Stats!$A:$A,0)),FALSE),ROUND(D168+(E168-D168)*(1+G168)*((8-1)/(MaxLevel-1))^(2^F168),0),D168+(E168-D168)*(1+G168)*((8-1)/(MaxLevel-1))^(2^F168)))</f>
        <v/>
      </c>
      <c r="P168" s="12" t="str">
        <f>IF(OR(D168="",E168=""),"",IF(IFERROR(INDEX(Stats!$D:$D,MATCH($C168,Stats!$A:$A,0)),FALSE),ROUND(D168+(E168-D168)*(1+G168)*((9-1)/(MaxLevel-1))^(2^F168),0),D168+(E168-D168)*(1+G168)*((9-1)/(MaxLevel-1))^(2^F168)))</f>
        <v/>
      </c>
      <c r="Q168" s="12" t="str">
        <f>IF(OR(D168="",E168=""),"",IF(IFERROR(INDEX(Stats!$D:$D,MATCH($C168,Stats!$A:$A,0)),FALSE),ROUND(D168+(E168-D168)*(1+G168)*((10-1)/(MaxLevel-1))^(2^F168),0),D168+(E168-D168)*(1+G168)*((10-1)/(MaxLevel-1))^(2^F168)))</f>
        <v/>
      </c>
    </row>
    <row r="169" spans="1:17" x14ac:dyDescent="0.25">
      <c r="A169" s="4" t="s">
        <v>185</v>
      </c>
      <c r="B169" s="19" t="s">
        <v>224</v>
      </c>
      <c r="C169" s="4" t="s">
        <v>54</v>
      </c>
      <c r="D169" s="5"/>
      <c r="E169" s="5"/>
      <c r="F169" s="5"/>
      <c r="G169" s="5"/>
      <c r="H169" s="12" t="str">
        <f>IF(OR(D169="",E169=""),"",IF(IFERROR(INDEX(Stats!$D:$D,MATCH($C169,Stats!$A:$A,0)),FALSE),ROUND(D169+(E169-D169)*(1+G169)*((1-1)/(MaxLevel-1))^(2^F169),0),D169+(E169-D169)*(1+G169)*((1-1)/(MaxLevel-1))^(2^F169)))</f>
        <v/>
      </c>
      <c r="I169" s="12" t="str">
        <f>IF(OR(D169="",E169=""),"",IF(IFERROR(INDEX(Stats!$D:$D,MATCH($C169,Stats!$A:$A,0)),FALSE),ROUND(D169+(E169-D169)*(1+G169)*((2-1)/(MaxLevel-1))^(2^F169),0),D169+(E169-D169)*(1+G169)*((2-1)/(MaxLevel-1))^(2^F169)))</f>
        <v/>
      </c>
      <c r="J169" s="12" t="str">
        <f>IF(OR(D169="",E169=""),"",IF(IFERROR(INDEX(Stats!$D:$D,MATCH($C169,Stats!$A:$A,0)),FALSE),ROUND(D169+(E169-D169)*(1+G169)*((3-1)/(MaxLevel-1))^(2^F169),0),D169+(E169-D169)*(1+G169)*((3-1)/(MaxLevel-1))^(2^F169)))</f>
        <v/>
      </c>
      <c r="K169" s="12" t="str">
        <f>IF(OR(D169="",E169=""),"",IF(IFERROR(INDEX(Stats!$D:$D,MATCH($C169,Stats!$A:$A,0)),FALSE),ROUND(D169+(E169-D169)*(1+G169)*((4-1)/(MaxLevel-1))^(2^F169),0),D169+(E169-D169)*(1+G169)*((4-1)/(MaxLevel-1))^(2^F169)))</f>
        <v/>
      </c>
      <c r="L169" s="12" t="str">
        <f>IF(OR(D169="",E169=""),"",IF(IFERROR(INDEX(Stats!$D:$D,MATCH($C169,Stats!$A:$A,0)),FALSE),ROUND(D169+(E169-D169)*(1+G169)*((5-1)/(MaxLevel-1))^(2^F169),0),D169+(E169-D169)*(1+G169)*((5-1)/(MaxLevel-1))^(2^F169)))</f>
        <v/>
      </c>
      <c r="M169" s="12" t="str">
        <f>IF(OR(D169="",E169=""),"",IF(IFERROR(INDEX(Stats!$D:$D,MATCH($C169,Stats!$A:$A,0)),FALSE),ROUND(D169+(E169-D169)*(1+G169)*((6-1)/(MaxLevel-1))^(2^F169),0),D169+(E169-D169)*(1+G169)*((6-1)/(MaxLevel-1))^(2^F169)))</f>
        <v/>
      </c>
      <c r="N169" s="12" t="str">
        <f>IF(OR(D169="",E169=""),"",IF(IFERROR(INDEX(Stats!$D:$D,MATCH($C169,Stats!$A:$A,0)),FALSE),ROUND(D169+(E169-D169)*(1+G169)*((7-1)/(MaxLevel-1))^(2^F169),0),D169+(E169-D169)*(1+G169)*((7-1)/(MaxLevel-1))^(2^F169)))</f>
        <v/>
      </c>
      <c r="O169" s="12" t="str">
        <f>IF(OR(D169="",E169=""),"",IF(IFERROR(INDEX(Stats!$D:$D,MATCH($C169,Stats!$A:$A,0)),FALSE),ROUND(D169+(E169-D169)*(1+G169)*((8-1)/(MaxLevel-1))^(2^F169),0),D169+(E169-D169)*(1+G169)*((8-1)/(MaxLevel-1))^(2^F169)))</f>
        <v/>
      </c>
      <c r="P169" s="12" t="str">
        <f>IF(OR(D169="",E169=""),"",IF(IFERROR(INDEX(Stats!$D:$D,MATCH($C169,Stats!$A:$A,0)),FALSE),ROUND(D169+(E169-D169)*(1+G169)*((9-1)/(MaxLevel-1))^(2^F169),0),D169+(E169-D169)*(1+G169)*((9-1)/(MaxLevel-1))^(2^F169)))</f>
        <v/>
      </c>
      <c r="Q169" s="12" t="str">
        <f>IF(OR(D169="",E169=""),"",IF(IFERROR(INDEX(Stats!$D:$D,MATCH($C169,Stats!$A:$A,0)),FALSE),ROUND(D169+(E169-D169)*(1+G169)*((10-1)/(MaxLevel-1))^(2^F169),0),D169+(E169-D169)*(1+G169)*((10-1)/(MaxLevel-1))^(2^F169)))</f>
        <v/>
      </c>
    </row>
    <row r="170" spans="1:17" x14ac:dyDescent="0.25">
      <c r="A170" s="4" t="s">
        <v>185</v>
      </c>
      <c r="B170" s="19" t="s">
        <v>224</v>
      </c>
      <c r="C170" s="4" t="s">
        <v>56</v>
      </c>
      <c r="D170" s="5"/>
      <c r="E170" s="5"/>
      <c r="F170" s="5"/>
      <c r="G170" s="5"/>
      <c r="H170" s="12" t="str">
        <f>IF(OR(D170="",E170=""),"",IF(IFERROR(INDEX(Stats!$D:$D,MATCH($C170,Stats!$A:$A,0)),FALSE),ROUND(D170+(E170-D170)*(1+G170)*((1-1)/(MaxLevel-1))^(2^F170),0),D170+(E170-D170)*(1+G170)*((1-1)/(MaxLevel-1))^(2^F170)))</f>
        <v/>
      </c>
      <c r="I170" s="12" t="str">
        <f>IF(OR(D170="",E170=""),"",IF(IFERROR(INDEX(Stats!$D:$D,MATCH($C170,Stats!$A:$A,0)),FALSE),ROUND(D170+(E170-D170)*(1+G170)*((2-1)/(MaxLevel-1))^(2^F170),0),D170+(E170-D170)*(1+G170)*((2-1)/(MaxLevel-1))^(2^F170)))</f>
        <v/>
      </c>
      <c r="J170" s="12" t="str">
        <f>IF(OR(D170="",E170=""),"",IF(IFERROR(INDEX(Stats!$D:$D,MATCH($C170,Stats!$A:$A,0)),FALSE),ROUND(D170+(E170-D170)*(1+G170)*((3-1)/(MaxLevel-1))^(2^F170),0),D170+(E170-D170)*(1+G170)*((3-1)/(MaxLevel-1))^(2^F170)))</f>
        <v/>
      </c>
      <c r="K170" s="12" t="str">
        <f>IF(OR(D170="",E170=""),"",IF(IFERROR(INDEX(Stats!$D:$D,MATCH($C170,Stats!$A:$A,0)),FALSE),ROUND(D170+(E170-D170)*(1+G170)*((4-1)/(MaxLevel-1))^(2^F170),0),D170+(E170-D170)*(1+G170)*((4-1)/(MaxLevel-1))^(2^F170)))</f>
        <v/>
      </c>
      <c r="L170" s="12" t="str">
        <f>IF(OR(D170="",E170=""),"",IF(IFERROR(INDEX(Stats!$D:$D,MATCH($C170,Stats!$A:$A,0)),FALSE),ROUND(D170+(E170-D170)*(1+G170)*((5-1)/(MaxLevel-1))^(2^F170),0),D170+(E170-D170)*(1+G170)*((5-1)/(MaxLevel-1))^(2^F170)))</f>
        <v/>
      </c>
      <c r="M170" s="12" t="str">
        <f>IF(OR(D170="",E170=""),"",IF(IFERROR(INDEX(Stats!$D:$D,MATCH($C170,Stats!$A:$A,0)),FALSE),ROUND(D170+(E170-D170)*(1+G170)*((6-1)/(MaxLevel-1))^(2^F170),0),D170+(E170-D170)*(1+G170)*((6-1)/(MaxLevel-1))^(2^F170)))</f>
        <v/>
      </c>
      <c r="N170" s="12" t="str">
        <f>IF(OR(D170="",E170=""),"",IF(IFERROR(INDEX(Stats!$D:$D,MATCH($C170,Stats!$A:$A,0)),FALSE),ROUND(D170+(E170-D170)*(1+G170)*((7-1)/(MaxLevel-1))^(2^F170),0),D170+(E170-D170)*(1+G170)*((7-1)/(MaxLevel-1))^(2^F170)))</f>
        <v/>
      </c>
      <c r="O170" s="12" t="str">
        <f>IF(OR(D170="",E170=""),"",IF(IFERROR(INDEX(Stats!$D:$D,MATCH($C170,Stats!$A:$A,0)),FALSE),ROUND(D170+(E170-D170)*(1+G170)*((8-1)/(MaxLevel-1))^(2^F170),0),D170+(E170-D170)*(1+G170)*((8-1)/(MaxLevel-1))^(2^F170)))</f>
        <v/>
      </c>
      <c r="P170" s="12" t="str">
        <f>IF(OR(D170="",E170=""),"",IF(IFERROR(INDEX(Stats!$D:$D,MATCH($C170,Stats!$A:$A,0)),FALSE),ROUND(D170+(E170-D170)*(1+G170)*((9-1)/(MaxLevel-1))^(2^F170),0),D170+(E170-D170)*(1+G170)*((9-1)/(MaxLevel-1))^(2^F170)))</f>
        <v/>
      </c>
      <c r="Q170" s="12" t="str">
        <f>IF(OR(D170="",E170=""),"",IF(IFERROR(INDEX(Stats!$D:$D,MATCH($C170,Stats!$A:$A,0)),FALSE),ROUND(D170+(E170-D170)*(1+G170)*((10-1)/(MaxLevel-1))^(2^F170),0),D170+(E170-D170)*(1+G170)*((10-1)/(MaxLevel-1))^(2^F170)))</f>
        <v/>
      </c>
    </row>
    <row r="171" spans="1:17" x14ac:dyDescent="0.25">
      <c r="A171" s="4" t="s">
        <v>185</v>
      </c>
      <c r="B171" s="19" t="s">
        <v>224</v>
      </c>
      <c r="C171" s="4" t="s">
        <v>58</v>
      </c>
      <c r="D171" s="5"/>
      <c r="E171" s="5"/>
      <c r="F171" s="5"/>
      <c r="G171" s="5"/>
      <c r="H171" s="12" t="str">
        <f>IF(OR(D171="",E171=""),"",IF(IFERROR(INDEX(Stats!$D:$D,MATCH($C171,Stats!$A:$A,0)),FALSE),ROUND(D171+(E171-D171)*(1+G171)*((1-1)/(MaxLevel-1))^(2^F171),0),D171+(E171-D171)*(1+G171)*((1-1)/(MaxLevel-1))^(2^F171)))</f>
        <v/>
      </c>
      <c r="I171" s="12" t="str">
        <f>IF(OR(D171="",E171=""),"",IF(IFERROR(INDEX(Stats!$D:$D,MATCH($C171,Stats!$A:$A,0)),FALSE),ROUND(D171+(E171-D171)*(1+G171)*((2-1)/(MaxLevel-1))^(2^F171),0),D171+(E171-D171)*(1+G171)*((2-1)/(MaxLevel-1))^(2^F171)))</f>
        <v/>
      </c>
      <c r="J171" s="12" t="str">
        <f>IF(OR(D171="",E171=""),"",IF(IFERROR(INDEX(Stats!$D:$D,MATCH($C171,Stats!$A:$A,0)),FALSE),ROUND(D171+(E171-D171)*(1+G171)*((3-1)/(MaxLevel-1))^(2^F171),0),D171+(E171-D171)*(1+G171)*((3-1)/(MaxLevel-1))^(2^F171)))</f>
        <v/>
      </c>
      <c r="K171" s="12" t="str">
        <f>IF(OR(D171="",E171=""),"",IF(IFERROR(INDEX(Stats!$D:$D,MATCH($C171,Stats!$A:$A,0)),FALSE),ROUND(D171+(E171-D171)*(1+G171)*((4-1)/(MaxLevel-1))^(2^F171),0),D171+(E171-D171)*(1+G171)*((4-1)/(MaxLevel-1))^(2^F171)))</f>
        <v/>
      </c>
      <c r="L171" s="12" t="str">
        <f>IF(OR(D171="",E171=""),"",IF(IFERROR(INDEX(Stats!$D:$D,MATCH($C171,Stats!$A:$A,0)),FALSE),ROUND(D171+(E171-D171)*(1+G171)*((5-1)/(MaxLevel-1))^(2^F171),0),D171+(E171-D171)*(1+G171)*((5-1)/(MaxLevel-1))^(2^F171)))</f>
        <v/>
      </c>
      <c r="M171" s="12" t="str">
        <f>IF(OR(D171="",E171=""),"",IF(IFERROR(INDEX(Stats!$D:$D,MATCH($C171,Stats!$A:$A,0)),FALSE),ROUND(D171+(E171-D171)*(1+G171)*((6-1)/(MaxLevel-1))^(2^F171),0),D171+(E171-D171)*(1+G171)*((6-1)/(MaxLevel-1))^(2^F171)))</f>
        <v/>
      </c>
      <c r="N171" s="12" t="str">
        <f>IF(OR(D171="",E171=""),"",IF(IFERROR(INDEX(Stats!$D:$D,MATCH($C171,Stats!$A:$A,0)),FALSE),ROUND(D171+(E171-D171)*(1+G171)*((7-1)/(MaxLevel-1))^(2^F171),0),D171+(E171-D171)*(1+G171)*((7-1)/(MaxLevel-1))^(2^F171)))</f>
        <v/>
      </c>
      <c r="O171" s="12" t="str">
        <f>IF(OR(D171="",E171=""),"",IF(IFERROR(INDEX(Stats!$D:$D,MATCH($C171,Stats!$A:$A,0)),FALSE),ROUND(D171+(E171-D171)*(1+G171)*((8-1)/(MaxLevel-1))^(2^F171),0),D171+(E171-D171)*(1+G171)*((8-1)/(MaxLevel-1))^(2^F171)))</f>
        <v/>
      </c>
      <c r="P171" s="12" t="str">
        <f>IF(OR(D171="",E171=""),"",IF(IFERROR(INDEX(Stats!$D:$D,MATCH($C171,Stats!$A:$A,0)),FALSE),ROUND(D171+(E171-D171)*(1+G171)*((9-1)/(MaxLevel-1))^(2^F171),0),D171+(E171-D171)*(1+G171)*((9-1)/(MaxLevel-1))^(2^F171)))</f>
        <v/>
      </c>
      <c r="Q171" s="12" t="str">
        <f>IF(OR(D171="",E171=""),"",IF(IFERROR(INDEX(Stats!$D:$D,MATCH($C171,Stats!$A:$A,0)),FALSE),ROUND(D171+(E171-D171)*(1+G171)*((10-1)/(MaxLevel-1))^(2^F171),0),D171+(E171-D171)*(1+G171)*((10-1)/(MaxLevel-1))^(2^F171)))</f>
        <v/>
      </c>
    </row>
    <row r="172" spans="1:17" x14ac:dyDescent="0.25">
      <c r="A172" s="4" t="s">
        <v>185</v>
      </c>
      <c r="B172" s="19" t="s">
        <v>224</v>
      </c>
      <c r="C172" s="4" t="s">
        <v>60</v>
      </c>
      <c r="D172" s="5"/>
      <c r="E172" s="5"/>
      <c r="F172" s="5"/>
      <c r="G172" s="5"/>
      <c r="H172" s="12" t="str">
        <f>IF(OR(D172="",E172=""),"",IF(IFERROR(INDEX(Stats!$D:$D,MATCH($C172,Stats!$A:$A,0)),FALSE),ROUND(D172+(E172-D172)*(1+G172)*((1-1)/(MaxLevel-1))^(2^F172),0),D172+(E172-D172)*(1+G172)*((1-1)/(MaxLevel-1))^(2^F172)))</f>
        <v/>
      </c>
      <c r="I172" s="12" t="str">
        <f>IF(OR(D172="",E172=""),"",IF(IFERROR(INDEX(Stats!$D:$D,MATCH($C172,Stats!$A:$A,0)),FALSE),ROUND(D172+(E172-D172)*(1+G172)*((2-1)/(MaxLevel-1))^(2^F172),0),D172+(E172-D172)*(1+G172)*((2-1)/(MaxLevel-1))^(2^F172)))</f>
        <v/>
      </c>
      <c r="J172" s="12" t="str">
        <f>IF(OR(D172="",E172=""),"",IF(IFERROR(INDEX(Stats!$D:$D,MATCH($C172,Stats!$A:$A,0)),FALSE),ROUND(D172+(E172-D172)*(1+G172)*((3-1)/(MaxLevel-1))^(2^F172),0),D172+(E172-D172)*(1+G172)*((3-1)/(MaxLevel-1))^(2^F172)))</f>
        <v/>
      </c>
      <c r="K172" s="12" t="str">
        <f>IF(OR(D172="",E172=""),"",IF(IFERROR(INDEX(Stats!$D:$D,MATCH($C172,Stats!$A:$A,0)),FALSE),ROUND(D172+(E172-D172)*(1+G172)*((4-1)/(MaxLevel-1))^(2^F172),0),D172+(E172-D172)*(1+G172)*((4-1)/(MaxLevel-1))^(2^F172)))</f>
        <v/>
      </c>
      <c r="L172" s="12" t="str">
        <f>IF(OR(D172="",E172=""),"",IF(IFERROR(INDEX(Stats!$D:$D,MATCH($C172,Stats!$A:$A,0)),FALSE),ROUND(D172+(E172-D172)*(1+G172)*((5-1)/(MaxLevel-1))^(2^F172),0),D172+(E172-D172)*(1+G172)*((5-1)/(MaxLevel-1))^(2^F172)))</f>
        <v/>
      </c>
      <c r="M172" s="12" t="str">
        <f>IF(OR(D172="",E172=""),"",IF(IFERROR(INDEX(Stats!$D:$D,MATCH($C172,Stats!$A:$A,0)),FALSE),ROUND(D172+(E172-D172)*(1+G172)*((6-1)/(MaxLevel-1))^(2^F172),0),D172+(E172-D172)*(1+G172)*((6-1)/(MaxLevel-1))^(2^F172)))</f>
        <v/>
      </c>
      <c r="N172" s="12" t="str">
        <f>IF(OR(D172="",E172=""),"",IF(IFERROR(INDEX(Stats!$D:$D,MATCH($C172,Stats!$A:$A,0)),FALSE),ROUND(D172+(E172-D172)*(1+G172)*((7-1)/(MaxLevel-1))^(2^F172),0),D172+(E172-D172)*(1+G172)*((7-1)/(MaxLevel-1))^(2^F172)))</f>
        <v/>
      </c>
      <c r="O172" s="12" t="str">
        <f>IF(OR(D172="",E172=""),"",IF(IFERROR(INDEX(Stats!$D:$D,MATCH($C172,Stats!$A:$A,0)),FALSE),ROUND(D172+(E172-D172)*(1+G172)*((8-1)/(MaxLevel-1))^(2^F172),0),D172+(E172-D172)*(1+G172)*((8-1)/(MaxLevel-1))^(2^F172)))</f>
        <v/>
      </c>
      <c r="P172" s="12" t="str">
        <f>IF(OR(D172="",E172=""),"",IF(IFERROR(INDEX(Stats!$D:$D,MATCH($C172,Stats!$A:$A,0)),FALSE),ROUND(D172+(E172-D172)*(1+G172)*((9-1)/(MaxLevel-1))^(2^F172),0),D172+(E172-D172)*(1+G172)*((9-1)/(MaxLevel-1))^(2^F172)))</f>
        <v/>
      </c>
      <c r="Q172" s="12" t="str">
        <f>IF(OR(D172="",E172=""),"",IF(IFERROR(INDEX(Stats!$D:$D,MATCH($C172,Stats!$A:$A,0)),FALSE),ROUND(D172+(E172-D172)*(1+G172)*((10-1)/(MaxLevel-1))^(2^F172),0),D172+(E172-D172)*(1+G172)*((10-1)/(MaxLevel-1))^(2^F172)))</f>
        <v/>
      </c>
    </row>
    <row r="173" spans="1:17" x14ac:dyDescent="0.25">
      <c r="A173" s="4" t="s">
        <v>185</v>
      </c>
      <c r="B173" s="4" t="s">
        <v>195</v>
      </c>
      <c r="C173" s="4" t="s">
        <v>24</v>
      </c>
      <c r="D173" s="5">
        <v>0</v>
      </c>
      <c r="E173" s="5">
        <v>10000</v>
      </c>
      <c r="F173" s="5">
        <v>1</v>
      </c>
      <c r="G173" s="5">
        <v>0</v>
      </c>
      <c r="H173" s="12">
        <f>IF(OR(D173="",E173=""),"",IF(IFERROR(INDEX(Stats!$D:$D,MATCH($C173,Stats!$A:$A,0)),FALSE),ROUND(D173+(E173-D173)*(1+G173)*((1-1)/(MaxLevel-1))^(2^F173),0),D173+(E173-D173)*(1+G173)*((1-1)/(MaxLevel-1))^(2^F173)))</f>
        <v>0</v>
      </c>
      <c r="I173" s="12">
        <f>IF(OR(D173="",E173=""),"",IF(IFERROR(INDEX(Stats!$D:$D,MATCH($C173,Stats!$A:$A,0)),FALSE),ROUND(D173+(E173-D173)*(1+G173)*((2-1)/(MaxLevel-1))^(2^F173),0),D173+(E173-D173)*(1+G173)*((2-1)/(MaxLevel-1))^(2^F173)))</f>
        <v>123</v>
      </c>
      <c r="J173" s="12">
        <f>IF(OR(D173="",E173=""),"",IF(IFERROR(INDEX(Stats!$D:$D,MATCH($C173,Stats!$A:$A,0)),FALSE),ROUND(D173+(E173-D173)*(1+G173)*((3-1)/(MaxLevel-1))^(2^F173),0),D173+(E173-D173)*(1+G173)*((3-1)/(MaxLevel-1))^(2^F173)))</f>
        <v>494</v>
      </c>
      <c r="K173" s="12">
        <f>IF(OR(D173="",E173=""),"",IF(IFERROR(INDEX(Stats!$D:$D,MATCH($C173,Stats!$A:$A,0)),FALSE),ROUND(D173+(E173-D173)*(1+G173)*((4-1)/(MaxLevel-1))^(2^F173),0),D173+(E173-D173)*(1+G173)*((4-1)/(MaxLevel-1))^(2^F173)))</f>
        <v>1111</v>
      </c>
      <c r="L173" s="12">
        <f>IF(OR(D173="",E173=""),"",IF(IFERROR(INDEX(Stats!$D:$D,MATCH($C173,Stats!$A:$A,0)),FALSE),ROUND(D173+(E173-D173)*(1+G173)*((5-1)/(MaxLevel-1))^(2^F173),0),D173+(E173-D173)*(1+G173)*((5-1)/(MaxLevel-1))^(2^F173)))</f>
        <v>1975</v>
      </c>
      <c r="M173" s="12">
        <f>IF(OR(D173="",E173=""),"",IF(IFERROR(INDEX(Stats!$D:$D,MATCH($C173,Stats!$A:$A,0)),FALSE),ROUND(D173+(E173-D173)*(1+G173)*((6-1)/(MaxLevel-1))^(2^F173),0),D173+(E173-D173)*(1+G173)*((6-1)/(MaxLevel-1))^(2^F173)))</f>
        <v>3086</v>
      </c>
      <c r="N173" s="12">
        <f>IF(OR(D173="",E173=""),"",IF(IFERROR(INDEX(Stats!$D:$D,MATCH($C173,Stats!$A:$A,0)),FALSE),ROUND(D173+(E173-D173)*(1+G173)*((7-1)/(MaxLevel-1))^(2^F173),0),D173+(E173-D173)*(1+G173)*((7-1)/(MaxLevel-1))^(2^F173)))</f>
        <v>4444</v>
      </c>
      <c r="O173" s="12">
        <f>IF(OR(D173="",E173=""),"",IF(IFERROR(INDEX(Stats!$D:$D,MATCH($C173,Stats!$A:$A,0)),FALSE),ROUND(D173+(E173-D173)*(1+G173)*((8-1)/(MaxLevel-1))^(2^F173),0),D173+(E173-D173)*(1+G173)*((8-1)/(MaxLevel-1))^(2^F173)))</f>
        <v>6049</v>
      </c>
      <c r="P173" s="12">
        <f>IF(OR(D173="",E173=""),"",IF(IFERROR(INDEX(Stats!$D:$D,MATCH($C173,Stats!$A:$A,0)),FALSE),ROUND(D173+(E173-D173)*(1+G173)*((9-1)/(MaxLevel-1))^(2^F173),0),D173+(E173-D173)*(1+G173)*((9-1)/(MaxLevel-1))^(2^F173)))</f>
        <v>7901</v>
      </c>
      <c r="Q173" s="12">
        <f>IF(OR(D173="",E173=""),"",IF(IFERROR(INDEX(Stats!$D:$D,MATCH($C173,Stats!$A:$A,0)),FALSE),ROUND(D173+(E173-D173)*(1+G173)*((10-1)/(MaxLevel-1))^(2^F173),0),D173+(E173-D173)*(1+G173)*((10-1)/(MaxLevel-1))^(2^F173)))</f>
        <v>10000</v>
      </c>
    </row>
    <row r="174" spans="1:17" x14ac:dyDescent="0.25">
      <c r="A174" s="4" t="s">
        <v>185</v>
      </c>
      <c r="B174" s="4" t="s">
        <v>195</v>
      </c>
      <c r="C174" s="4" t="s">
        <v>26</v>
      </c>
      <c r="D174" s="5">
        <v>25</v>
      </c>
      <c r="E174" s="5">
        <v>150</v>
      </c>
      <c r="F174" s="5">
        <v>0</v>
      </c>
      <c r="G174" s="5">
        <v>0</v>
      </c>
      <c r="H174" s="12">
        <f>IF(OR(D174="",E174=""),"",IF(IFERROR(INDEX(Stats!$D:$D,MATCH($C174,Stats!$A:$A,0)),FALSE),ROUND(D174+(E174-D174)*(1+G174)*((1-1)/(MaxLevel-1))^(2^F174),0),D174+(E174-D174)*(1+G174)*((1-1)/(MaxLevel-1))^(2^F174)))</f>
        <v>25</v>
      </c>
      <c r="I174" s="12">
        <f>IF(OR(D174="",E174=""),"",IF(IFERROR(INDEX(Stats!$D:$D,MATCH($C174,Stats!$A:$A,0)),FALSE),ROUND(D174+(E174-D174)*(1+G174)*((2-1)/(MaxLevel-1))^(2^F174),0),D174+(E174-D174)*(1+G174)*((2-1)/(MaxLevel-1))^(2^F174)))</f>
        <v>39</v>
      </c>
      <c r="J174" s="12">
        <f>IF(OR(D174="",E174=""),"",IF(IFERROR(INDEX(Stats!$D:$D,MATCH($C174,Stats!$A:$A,0)),FALSE),ROUND(D174+(E174-D174)*(1+G174)*((3-1)/(MaxLevel-1))^(2^F174),0),D174+(E174-D174)*(1+G174)*((3-1)/(MaxLevel-1))^(2^F174)))</f>
        <v>53</v>
      </c>
      <c r="K174" s="12">
        <f>IF(OR(D174="",E174=""),"",IF(IFERROR(INDEX(Stats!$D:$D,MATCH($C174,Stats!$A:$A,0)),FALSE),ROUND(D174+(E174-D174)*(1+G174)*((4-1)/(MaxLevel-1))^(2^F174),0),D174+(E174-D174)*(1+G174)*((4-1)/(MaxLevel-1))^(2^F174)))</f>
        <v>67</v>
      </c>
      <c r="L174" s="12">
        <f>IF(OR(D174="",E174=""),"",IF(IFERROR(INDEX(Stats!$D:$D,MATCH($C174,Stats!$A:$A,0)),FALSE),ROUND(D174+(E174-D174)*(1+G174)*((5-1)/(MaxLevel-1))^(2^F174),0),D174+(E174-D174)*(1+G174)*((5-1)/(MaxLevel-1))^(2^F174)))</f>
        <v>81</v>
      </c>
      <c r="M174" s="12">
        <f>IF(OR(D174="",E174=""),"",IF(IFERROR(INDEX(Stats!$D:$D,MATCH($C174,Stats!$A:$A,0)),FALSE),ROUND(D174+(E174-D174)*(1+G174)*((6-1)/(MaxLevel-1))^(2^F174),0),D174+(E174-D174)*(1+G174)*((6-1)/(MaxLevel-1))^(2^F174)))</f>
        <v>94</v>
      </c>
      <c r="N174" s="12">
        <f>IF(OR(D174="",E174=""),"",IF(IFERROR(INDEX(Stats!$D:$D,MATCH($C174,Stats!$A:$A,0)),FALSE),ROUND(D174+(E174-D174)*(1+G174)*((7-1)/(MaxLevel-1))^(2^F174),0),D174+(E174-D174)*(1+G174)*((7-1)/(MaxLevel-1))^(2^F174)))</f>
        <v>108</v>
      </c>
      <c r="O174" s="12">
        <f>IF(OR(D174="",E174=""),"",IF(IFERROR(INDEX(Stats!$D:$D,MATCH($C174,Stats!$A:$A,0)),FALSE),ROUND(D174+(E174-D174)*(1+G174)*((8-1)/(MaxLevel-1))^(2^F174),0),D174+(E174-D174)*(1+G174)*((8-1)/(MaxLevel-1))^(2^F174)))</f>
        <v>122</v>
      </c>
      <c r="P174" s="12">
        <f>IF(OR(D174="",E174=""),"",IF(IFERROR(INDEX(Stats!$D:$D,MATCH($C174,Stats!$A:$A,0)),FALSE),ROUND(D174+(E174-D174)*(1+G174)*((9-1)/(MaxLevel-1))^(2^F174),0),D174+(E174-D174)*(1+G174)*((9-1)/(MaxLevel-1))^(2^F174)))</f>
        <v>136</v>
      </c>
      <c r="Q174" s="12">
        <f>IF(OR(D174="",E174=""),"",IF(IFERROR(INDEX(Stats!$D:$D,MATCH($C174,Stats!$A:$A,0)),FALSE),ROUND(D174+(E174-D174)*(1+G174)*((10-1)/(MaxLevel-1))^(2^F174),0),D174+(E174-D174)*(1+G174)*((10-1)/(MaxLevel-1))^(2^F174)))</f>
        <v>150</v>
      </c>
    </row>
    <row r="175" spans="1:17" x14ac:dyDescent="0.25">
      <c r="A175" s="4" t="s">
        <v>185</v>
      </c>
      <c r="B175" s="4" t="s">
        <v>195</v>
      </c>
      <c r="C175" s="4" t="s">
        <v>28</v>
      </c>
      <c r="D175" s="5">
        <v>300</v>
      </c>
      <c r="E175" s="5">
        <v>1200</v>
      </c>
      <c r="F175" s="5">
        <v>0</v>
      </c>
      <c r="G175" s="5">
        <v>-0.1</v>
      </c>
      <c r="H175" s="12">
        <f>IF(OR(D175="",E175=""),"",IF(IFERROR(INDEX(Stats!$D:$D,MATCH($C175,Stats!$A:$A,0)),FALSE),ROUND(D175+(E175-D175)*(1+G175)*((1-1)/(MaxLevel-1))^(2^F175),0),D175+(E175-D175)*(1+G175)*((1-1)/(MaxLevel-1))^(2^F175)))</f>
        <v>300</v>
      </c>
      <c r="I175" s="12">
        <f>IF(OR(D175="",E175=""),"",IF(IFERROR(INDEX(Stats!$D:$D,MATCH($C175,Stats!$A:$A,0)),FALSE),ROUND(D175+(E175-D175)*(1+G175)*((2-1)/(MaxLevel-1))^(2^F175),0),D175+(E175-D175)*(1+G175)*((2-1)/(MaxLevel-1))^(2^F175)))</f>
        <v>390</v>
      </c>
      <c r="J175" s="12">
        <f>IF(OR(D175="",E175=""),"",IF(IFERROR(INDEX(Stats!$D:$D,MATCH($C175,Stats!$A:$A,0)),FALSE),ROUND(D175+(E175-D175)*(1+G175)*((3-1)/(MaxLevel-1))^(2^F175),0),D175+(E175-D175)*(1+G175)*((3-1)/(MaxLevel-1))^(2^F175)))</f>
        <v>480</v>
      </c>
      <c r="K175" s="12">
        <f>IF(OR(D175="",E175=""),"",IF(IFERROR(INDEX(Stats!$D:$D,MATCH($C175,Stats!$A:$A,0)),FALSE),ROUND(D175+(E175-D175)*(1+G175)*((4-1)/(MaxLevel-1))^(2^F175),0),D175+(E175-D175)*(1+G175)*((4-1)/(MaxLevel-1))^(2^F175)))</f>
        <v>570</v>
      </c>
      <c r="L175" s="12">
        <f>IF(OR(D175="",E175=""),"",IF(IFERROR(INDEX(Stats!$D:$D,MATCH($C175,Stats!$A:$A,0)),FALSE),ROUND(D175+(E175-D175)*(1+G175)*((5-1)/(MaxLevel-1))^(2^F175),0),D175+(E175-D175)*(1+G175)*((5-1)/(MaxLevel-1))^(2^F175)))</f>
        <v>660</v>
      </c>
      <c r="M175" s="12">
        <f>IF(OR(D175="",E175=""),"",IF(IFERROR(INDEX(Stats!$D:$D,MATCH($C175,Stats!$A:$A,0)),FALSE),ROUND(D175+(E175-D175)*(1+G175)*((6-1)/(MaxLevel-1))^(2^F175),0),D175+(E175-D175)*(1+G175)*((6-1)/(MaxLevel-1))^(2^F175)))</f>
        <v>750</v>
      </c>
      <c r="N175" s="12">
        <f>IF(OR(D175="",E175=""),"",IF(IFERROR(INDEX(Stats!$D:$D,MATCH($C175,Stats!$A:$A,0)),FALSE),ROUND(D175+(E175-D175)*(1+G175)*((7-1)/(MaxLevel-1))^(2^F175),0),D175+(E175-D175)*(1+G175)*((7-1)/(MaxLevel-1))^(2^F175)))</f>
        <v>840</v>
      </c>
      <c r="O175" s="12">
        <f>IF(OR(D175="",E175=""),"",IF(IFERROR(INDEX(Stats!$D:$D,MATCH($C175,Stats!$A:$A,0)),FALSE),ROUND(D175+(E175-D175)*(1+G175)*((8-1)/(MaxLevel-1))^(2^F175),0),D175+(E175-D175)*(1+G175)*((8-1)/(MaxLevel-1))^(2^F175)))</f>
        <v>930</v>
      </c>
      <c r="P175" s="12">
        <f>IF(OR(D175="",E175=""),"",IF(IFERROR(INDEX(Stats!$D:$D,MATCH($C175,Stats!$A:$A,0)),FALSE),ROUND(D175+(E175-D175)*(1+G175)*((9-1)/(MaxLevel-1))^(2^F175),0),D175+(E175-D175)*(1+G175)*((9-1)/(MaxLevel-1))^(2^F175)))</f>
        <v>1020</v>
      </c>
      <c r="Q175" s="12">
        <f>IF(OR(D175="",E175=""),"",IF(IFERROR(INDEX(Stats!$D:$D,MATCH($C175,Stats!$A:$A,0)),FALSE),ROUND(D175+(E175-D175)*(1+G175)*((10-1)/(MaxLevel-1))^(2^F175),0),D175+(E175-D175)*(1+G175)*((10-1)/(MaxLevel-1))^(2^F175)))</f>
        <v>1110</v>
      </c>
    </row>
    <row r="176" spans="1:17" x14ac:dyDescent="0.25">
      <c r="A176" s="4" t="s">
        <v>185</v>
      </c>
      <c r="B176" s="4" t="s">
        <v>195</v>
      </c>
      <c r="C176" s="4" t="s">
        <v>30</v>
      </c>
      <c r="D176" s="5">
        <v>25</v>
      </c>
      <c r="E176" s="5">
        <v>110</v>
      </c>
      <c r="F176" s="5">
        <v>0.5</v>
      </c>
      <c r="G176" s="5">
        <v>0</v>
      </c>
      <c r="H176" s="12">
        <f>IF(OR(D176="",E176=""),"",IF(IFERROR(INDEX(Stats!$D:$D,MATCH($C176,Stats!$A:$A,0)),FALSE),ROUND(D176+(E176-D176)*(1+G176)*((1-1)/(MaxLevel-1))^(2^F176),0),D176+(E176-D176)*(1+G176)*((1-1)/(MaxLevel-1))^(2^F176)))</f>
        <v>25</v>
      </c>
      <c r="I176" s="12">
        <f>IF(OR(D176="",E176=""),"",IF(IFERROR(INDEX(Stats!$D:$D,MATCH($C176,Stats!$A:$A,0)),FALSE),ROUND(D176+(E176-D176)*(1+G176)*((2-1)/(MaxLevel-1))^(2^F176),0),D176+(E176-D176)*(1+G176)*((2-1)/(MaxLevel-1))^(2^F176)))</f>
        <v>29</v>
      </c>
      <c r="J176" s="12">
        <f>IF(OR(D176="",E176=""),"",IF(IFERROR(INDEX(Stats!$D:$D,MATCH($C176,Stats!$A:$A,0)),FALSE),ROUND(D176+(E176-D176)*(1+G176)*((3-1)/(MaxLevel-1))^(2^F176),0),D176+(E176-D176)*(1+G176)*((3-1)/(MaxLevel-1))^(2^F176)))</f>
        <v>35</v>
      </c>
      <c r="K176" s="12">
        <f>IF(OR(D176="",E176=""),"",IF(IFERROR(INDEX(Stats!$D:$D,MATCH($C176,Stats!$A:$A,0)),FALSE),ROUND(D176+(E176-D176)*(1+G176)*((4-1)/(MaxLevel-1))^(2^F176),0),D176+(E176-D176)*(1+G176)*((4-1)/(MaxLevel-1))^(2^F176)))</f>
        <v>43</v>
      </c>
      <c r="L176" s="12">
        <f>IF(OR(D176="",E176=""),"",IF(IFERROR(INDEX(Stats!$D:$D,MATCH($C176,Stats!$A:$A,0)),FALSE),ROUND(D176+(E176-D176)*(1+G176)*((5-1)/(MaxLevel-1))^(2^F176),0),D176+(E176-D176)*(1+G176)*((5-1)/(MaxLevel-1))^(2^F176)))</f>
        <v>52</v>
      </c>
      <c r="M176" s="12">
        <f>IF(OR(D176="",E176=""),"",IF(IFERROR(INDEX(Stats!$D:$D,MATCH($C176,Stats!$A:$A,0)),FALSE),ROUND(D176+(E176-D176)*(1+G176)*((6-1)/(MaxLevel-1))^(2^F176),0),D176+(E176-D176)*(1+G176)*((6-1)/(MaxLevel-1))^(2^F176)))</f>
        <v>62</v>
      </c>
      <c r="N176" s="12">
        <f>IF(OR(D176="",E176=""),"",IF(IFERROR(INDEX(Stats!$D:$D,MATCH($C176,Stats!$A:$A,0)),FALSE),ROUND(D176+(E176-D176)*(1+G176)*((7-1)/(MaxLevel-1))^(2^F176),0),D176+(E176-D176)*(1+G176)*((7-1)/(MaxLevel-1))^(2^F176)))</f>
        <v>73</v>
      </c>
      <c r="O176" s="12">
        <f>IF(OR(D176="",E176=""),"",IF(IFERROR(INDEX(Stats!$D:$D,MATCH($C176,Stats!$A:$A,0)),FALSE),ROUND(D176+(E176-D176)*(1+G176)*((8-1)/(MaxLevel-1))^(2^F176),0),D176+(E176-D176)*(1+G176)*((8-1)/(MaxLevel-1))^(2^F176)))</f>
        <v>85</v>
      </c>
      <c r="P176" s="12">
        <f>IF(OR(D176="",E176=""),"",IF(IFERROR(INDEX(Stats!$D:$D,MATCH($C176,Stats!$A:$A,0)),FALSE),ROUND(D176+(E176-D176)*(1+G176)*((9-1)/(MaxLevel-1))^(2^F176),0),D176+(E176-D176)*(1+G176)*((9-1)/(MaxLevel-1))^(2^F176)))</f>
        <v>97</v>
      </c>
      <c r="Q176" s="12">
        <f>IF(OR(D176="",E176=""),"",IF(IFERROR(INDEX(Stats!$D:$D,MATCH($C176,Stats!$A:$A,0)),FALSE),ROUND(D176+(E176-D176)*(1+G176)*((10-1)/(MaxLevel-1))^(2^F176),0),D176+(E176-D176)*(1+G176)*((10-1)/(MaxLevel-1))^(2^F176)))</f>
        <v>110</v>
      </c>
    </row>
    <row r="177" spans="1:17" x14ac:dyDescent="0.25">
      <c r="A177" s="4" t="s">
        <v>185</v>
      </c>
      <c r="B177" s="4" t="s">
        <v>195</v>
      </c>
      <c r="C177" s="4" t="s">
        <v>32</v>
      </c>
      <c r="D177" s="5"/>
      <c r="E177" s="5"/>
      <c r="F177" s="5"/>
      <c r="G177" s="5"/>
      <c r="H177" s="12" t="str">
        <f>IF(OR(D177="",E177=""),"",IF(IFERROR(INDEX(Stats!$D:$D,MATCH($C177,Stats!$A:$A,0)),FALSE),ROUND(D177+(E177-D177)*(1+G177)*((1-1)/(MaxLevel-1))^(2^F177),0),D177+(E177-D177)*(1+G177)*((1-1)/(MaxLevel-1))^(2^F177)))</f>
        <v/>
      </c>
      <c r="I177" s="12" t="str">
        <f>IF(OR(D177="",E177=""),"",IF(IFERROR(INDEX(Stats!$D:$D,MATCH($C177,Stats!$A:$A,0)),FALSE),ROUND(D177+(E177-D177)*(1+G177)*((2-1)/(MaxLevel-1))^(2^F177),0),D177+(E177-D177)*(1+G177)*((2-1)/(MaxLevel-1))^(2^F177)))</f>
        <v/>
      </c>
      <c r="J177" s="12" t="str">
        <f>IF(OR(D177="",E177=""),"",IF(IFERROR(INDEX(Stats!$D:$D,MATCH($C177,Stats!$A:$A,0)),FALSE),ROUND(D177+(E177-D177)*(1+G177)*((3-1)/(MaxLevel-1))^(2^F177),0),D177+(E177-D177)*(1+G177)*((3-1)/(MaxLevel-1))^(2^F177)))</f>
        <v/>
      </c>
      <c r="K177" s="12" t="str">
        <f>IF(OR(D177="",E177=""),"",IF(IFERROR(INDEX(Stats!$D:$D,MATCH($C177,Stats!$A:$A,0)),FALSE),ROUND(D177+(E177-D177)*(1+G177)*((4-1)/(MaxLevel-1))^(2^F177),0),D177+(E177-D177)*(1+G177)*((4-1)/(MaxLevel-1))^(2^F177)))</f>
        <v/>
      </c>
      <c r="L177" s="12" t="str">
        <f>IF(OR(D177="",E177=""),"",IF(IFERROR(INDEX(Stats!$D:$D,MATCH($C177,Stats!$A:$A,0)),FALSE),ROUND(D177+(E177-D177)*(1+G177)*((5-1)/(MaxLevel-1))^(2^F177),0),D177+(E177-D177)*(1+G177)*((5-1)/(MaxLevel-1))^(2^F177)))</f>
        <v/>
      </c>
      <c r="M177" s="12" t="str">
        <f>IF(OR(D177="",E177=""),"",IF(IFERROR(INDEX(Stats!$D:$D,MATCH($C177,Stats!$A:$A,0)),FALSE),ROUND(D177+(E177-D177)*(1+G177)*((6-1)/(MaxLevel-1))^(2^F177),0),D177+(E177-D177)*(1+G177)*((6-1)/(MaxLevel-1))^(2^F177)))</f>
        <v/>
      </c>
      <c r="N177" s="12" t="str">
        <f>IF(OR(D177="",E177=""),"",IF(IFERROR(INDEX(Stats!$D:$D,MATCH($C177,Stats!$A:$A,0)),FALSE),ROUND(D177+(E177-D177)*(1+G177)*((7-1)/(MaxLevel-1))^(2^F177),0),D177+(E177-D177)*(1+G177)*((7-1)/(MaxLevel-1))^(2^F177)))</f>
        <v/>
      </c>
      <c r="O177" s="12" t="str">
        <f>IF(OR(D177="",E177=""),"",IF(IFERROR(INDEX(Stats!$D:$D,MATCH($C177,Stats!$A:$A,0)),FALSE),ROUND(D177+(E177-D177)*(1+G177)*((8-1)/(MaxLevel-1))^(2^F177),0),D177+(E177-D177)*(1+G177)*((8-1)/(MaxLevel-1))^(2^F177)))</f>
        <v/>
      </c>
      <c r="P177" s="12" t="str">
        <f>IF(OR(D177="",E177=""),"",IF(IFERROR(INDEX(Stats!$D:$D,MATCH($C177,Stats!$A:$A,0)),FALSE),ROUND(D177+(E177-D177)*(1+G177)*((9-1)/(MaxLevel-1))^(2^F177),0),D177+(E177-D177)*(1+G177)*((9-1)/(MaxLevel-1))^(2^F177)))</f>
        <v/>
      </c>
      <c r="Q177" s="12" t="str">
        <f>IF(OR(D177="",E177=""),"",IF(IFERROR(INDEX(Stats!$D:$D,MATCH($C177,Stats!$A:$A,0)),FALSE),ROUND(D177+(E177-D177)*(1+G177)*((10-1)/(MaxLevel-1))^(2^F177),0),D177+(E177-D177)*(1+G177)*((10-1)/(MaxLevel-1))^(2^F177)))</f>
        <v/>
      </c>
    </row>
    <row r="178" spans="1:17" x14ac:dyDescent="0.25">
      <c r="A178" s="4" t="s">
        <v>185</v>
      </c>
      <c r="B178" s="4" t="s">
        <v>195</v>
      </c>
      <c r="C178" s="4" t="s">
        <v>34</v>
      </c>
      <c r="D178" s="5"/>
      <c r="E178" s="5"/>
      <c r="F178" s="5"/>
      <c r="G178" s="5"/>
      <c r="H178" s="12" t="str">
        <f>IF(OR(D178="",E178=""),"",IF(IFERROR(INDEX(Stats!$D:$D,MATCH($C178,Stats!$A:$A,0)),FALSE),ROUND(D178+(E178-D178)*(1+G178)*((1-1)/(MaxLevel-1))^(2^F178),0),D178+(E178-D178)*(1+G178)*((1-1)/(MaxLevel-1))^(2^F178)))</f>
        <v/>
      </c>
      <c r="I178" s="12" t="str">
        <f>IF(OR(D178="",E178=""),"",IF(IFERROR(INDEX(Stats!$D:$D,MATCH($C178,Stats!$A:$A,0)),FALSE),ROUND(D178+(E178-D178)*(1+G178)*((2-1)/(MaxLevel-1))^(2^F178),0),D178+(E178-D178)*(1+G178)*((2-1)/(MaxLevel-1))^(2^F178)))</f>
        <v/>
      </c>
      <c r="J178" s="12" t="str">
        <f>IF(OR(D178="",E178=""),"",IF(IFERROR(INDEX(Stats!$D:$D,MATCH($C178,Stats!$A:$A,0)),FALSE),ROUND(D178+(E178-D178)*(1+G178)*((3-1)/(MaxLevel-1))^(2^F178),0),D178+(E178-D178)*(1+G178)*((3-1)/(MaxLevel-1))^(2^F178)))</f>
        <v/>
      </c>
      <c r="K178" s="12" t="str">
        <f>IF(OR(D178="",E178=""),"",IF(IFERROR(INDEX(Stats!$D:$D,MATCH($C178,Stats!$A:$A,0)),FALSE),ROUND(D178+(E178-D178)*(1+G178)*((4-1)/(MaxLevel-1))^(2^F178),0),D178+(E178-D178)*(1+G178)*((4-1)/(MaxLevel-1))^(2^F178)))</f>
        <v/>
      </c>
      <c r="L178" s="12" t="str">
        <f>IF(OR(D178="",E178=""),"",IF(IFERROR(INDEX(Stats!$D:$D,MATCH($C178,Stats!$A:$A,0)),FALSE),ROUND(D178+(E178-D178)*(1+G178)*((5-1)/(MaxLevel-1))^(2^F178),0),D178+(E178-D178)*(1+G178)*((5-1)/(MaxLevel-1))^(2^F178)))</f>
        <v/>
      </c>
      <c r="M178" s="12" t="str">
        <f>IF(OR(D178="",E178=""),"",IF(IFERROR(INDEX(Stats!$D:$D,MATCH($C178,Stats!$A:$A,0)),FALSE),ROUND(D178+(E178-D178)*(1+G178)*((6-1)/(MaxLevel-1))^(2^F178),0),D178+(E178-D178)*(1+G178)*((6-1)/(MaxLevel-1))^(2^F178)))</f>
        <v/>
      </c>
      <c r="N178" s="12" t="str">
        <f>IF(OR(D178="",E178=""),"",IF(IFERROR(INDEX(Stats!$D:$D,MATCH($C178,Stats!$A:$A,0)),FALSE),ROUND(D178+(E178-D178)*(1+G178)*((7-1)/(MaxLevel-1))^(2^F178),0),D178+(E178-D178)*(1+G178)*((7-1)/(MaxLevel-1))^(2^F178)))</f>
        <v/>
      </c>
      <c r="O178" s="12" t="str">
        <f>IF(OR(D178="",E178=""),"",IF(IFERROR(INDEX(Stats!$D:$D,MATCH($C178,Stats!$A:$A,0)),FALSE),ROUND(D178+(E178-D178)*(1+G178)*((8-1)/(MaxLevel-1))^(2^F178),0),D178+(E178-D178)*(1+G178)*((8-1)/(MaxLevel-1))^(2^F178)))</f>
        <v/>
      </c>
      <c r="P178" s="12" t="str">
        <f>IF(OR(D178="",E178=""),"",IF(IFERROR(INDEX(Stats!$D:$D,MATCH($C178,Stats!$A:$A,0)),FALSE),ROUND(D178+(E178-D178)*(1+G178)*((9-1)/(MaxLevel-1))^(2^F178),0),D178+(E178-D178)*(1+G178)*((9-1)/(MaxLevel-1))^(2^F178)))</f>
        <v/>
      </c>
      <c r="Q178" s="12" t="str">
        <f>IF(OR(D178="",E178=""),"",IF(IFERROR(INDEX(Stats!$D:$D,MATCH($C178,Stats!$A:$A,0)),FALSE),ROUND(D178+(E178-D178)*(1+G178)*((10-1)/(MaxLevel-1))^(2^F178),0),D178+(E178-D178)*(1+G178)*((10-1)/(MaxLevel-1))^(2^F178)))</f>
        <v/>
      </c>
    </row>
    <row r="179" spans="1:17" x14ac:dyDescent="0.25">
      <c r="A179" s="4" t="s">
        <v>185</v>
      </c>
      <c r="B179" s="4" t="s">
        <v>195</v>
      </c>
      <c r="C179" s="4" t="s">
        <v>36</v>
      </c>
      <c r="D179" s="5"/>
      <c r="E179" s="5"/>
      <c r="F179" s="5"/>
      <c r="G179" s="5"/>
      <c r="H179" s="12" t="str">
        <f>IF(OR(D179="",E179=""),"",IF(IFERROR(INDEX(Stats!$D:$D,MATCH($C179,Stats!$A:$A,0)),FALSE),ROUND(D179+(E179-D179)*(1+G179)*((1-1)/(MaxLevel-1))^(2^F179),0),D179+(E179-D179)*(1+G179)*((1-1)/(MaxLevel-1))^(2^F179)))</f>
        <v/>
      </c>
      <c r="I179" s="12" t="str">
        <f>IF(OR(D179="",E179=""),"",IF(IFERROR(INDEX(Stats!$D:$D,MATCH($C179,Stats!$A:$A,0)),FALSE),ROUND(D179+(E179-D179)*(1+G179)*((2-1)/(MaxLevel-1))^(2^F179),0),D179+(E179-D179)*(1+G179)*((2-1)/(MaxLevel-1))^(2^F179)))</f>
        <v/>
      </c>
      <c r="J179" s="12" t="str">
        <f>IF(OR(D179="",E179=""),"",IF(IFERROR(INDEX(Stats!$D:$D,MATCH($C179,Stats!$A:$A,0)),FALSE),ROUND(D179+(E179-D179)*(1+G179)*((3-1)/(MaxLevel-1))^(2^F179),0),D179+(E179-D179)*(1+G179)*((3-1)/(MaxLevel-1))^(2^F179)))</f>
        <v/>
      </c>
      <c r="K179" s="12" t="str">
        <f>IF(OR(D179="",E179=""),"",IF(IFERROR(INDEX(Stats!$D:$D,MATCH($C179,Stats!$A:$A,0)),FALSE),ROUND(D179+(E179-D179)*(1+G179)*((4-1)/(MaxLevel-1))^(2^F179),0),D179+(E179-D179)*(1+G179)*((4-1)/(MaxLevel-1))^(2^F179)))</f>
        <v/>
      </c>
      <c r="L179" s="12" t="str">
        <f>IF(OR(D179="",E179=""),"",IF(IFERROR(INDEX(Stats!$D:$D,MATCH($C179,Stats!$A:$A,0)),FALSE),ROUND(D179+(E179-D179)*(1+G179)*((5-1)/(MaxLevel-1))^(2^F179),0),D179+(E179-D179)*(1+G179)*((5-1)/(MaxLevel-1))^(2^F179)))</f>
        <v/>
      </c>
      <c r="M179" s="12" t="str">
        <f>IF(OR(D179="",E179=""),"",IF(IFERROR(INDEX(Stats!$D:$D,MATCH($C179,Stats!$A:$A,0)),FALSE),ROUND(D179+(E179-D179)*(1+G179)*((6-1)/(MaxLevel-1))^(2^F179),0),D179+(E179-D179)*(1+G179)*((6-1)/(MaxLevel-1))^(2^F179)))</f>
        <v/>
      </c>
      <c r="N179" s="12" t="str">
        <f>IF(OR(D179="",E179=""),"",IF(IFERROR(INDEX(Stats!$D:$D,MATCH($C179,Stats!$A:$A,0)),FALSE),ROUND(D179+(E179-D179)*(1+G179)*((7-1)/(MaxLevel-1))^(2^F179),0),D179+(E179-D179)*(1+G179)*((7-1)/(MaxLevel-1))^(2^F179)))</f>
        <v/>
      </c>
      <c r="O179" s="12" t="str">
        <f>IF(OR(D179="",E179=""),"",IF(IFERROR(INDEX(Stats!$D:$D,MATCH($C179,Stats!$A:$A,0)),FALSE),ROUND(D179+(E179-D179)*(1+G179)*((8-1)/(MaxLevel-1))^(2^F179),0),D179+(E179-D179)*(1+G179)*((8-1)/(MaxLevel-1))^(2^F179)))</f>
        <v/>
      </c>
      <c r="P179" s="12" t="str">
        <f>IF(OR(D179="",E179=""),"",IF(IFERROR(INDEX(Stats!$D:$D,MATCH($C179,Stats!$A:$A,0)),FALSE),ROUND(D179+(E179-D179)*(1+G179)*((9-1)/(MaxLevel-1))^(2^F179),0),D179+(E179-D179)*(1+G179)*((9-1)/(MaxLevel-1))^(2^F179)))</f>
        <v/>
      </c>
      <c r="Q179" s="12" t="str">
        <f>IF(OR(D179="",E179=""),"",IF(IFERROR(INDEX(Stats!$D:$D,MATCH($C179,Stats!$A:$A,0)),FALSE),ROUND(D179+(E179-D179)*(1+G179)*((10-1)/(MaxLevel-1))^(2^F179),0),D179+(E179-D179)*(1+G179)*((10-1)/(MaxLevel-1))^(2^F179)))</f>
        <v/>
      </c>
    </row>
    <row r="180" spans="1:17" x14ac:dyDescent="0.25">
      <c r="A180" s="4" t="s">
        <v>185</v>
      </c>
      <c r="B180" s="4" t="s">
        <v>195</v>
      </c>
      <c r="C180" s="4" t="s">
        <v>38</v>
      </c>
      <c r="D180" s="5"/>
      <c r="E180" s="5"/>
      <c r="F180" s="5"/>
      <c r="G180" s="5"/>
      <c r="H180" s="12" t="str">
        <f>IF(OR(D180="",E180=""),"",IF(IFERROR(INDEX(Stats!$D:$D,MATCH($C180,Stats!$A:$A,0)),FALSE),ROUND(D180+(E180-D180)*(1+G180)*((1-1)/(MaxLevel-1))^(2^F180),0),D180+(E180-D180)*(1+G180)*((1-1)/(MaxLevel-1))^(2^F180)))</f>
        <v/>
      </c>
      <c r="I180" s="12" t="str">
        <f>IF(OR(D180="",E180=""),"",IF(IFERROR(INDEX(Stats!$D:$D,MATCH($C180,Stats!$A:$A,0)),FALSE),ROUND(D180+(E180-D180)*(1+G180)*((2-1)/(MaxLevel-1))^(2^F180),0),D180+(E180-D180)*(1+G180)*((2-1)/(MaxLevel-1))^(2^F180)))</f>
        <v/>
      </c>
      <c r="J180" s="12" t="str">
        <f>IF(OR(D180="",E180=""),"",IF(IFERROR(INDEX(Stats!$D:$D,MATCH($C180,Stats!$A:$A,0)),FALSE),ROUND(D180+(E180-D180)*(1+G180)*((3-1)/(MaxLevel-1))^(2^F180),0),D180+(E180-D180)*(1+G180)*((3-1)/(MaxLevel-1))^(2^F180)))</f>
        <v/>
      </c>
      <c r="K180" s="12" t="str">
        <f>IF(OR(D180="",E180=""),"",IF(IFERROR(INDEX(Stats!$D:$D,MATCH($C180,Stats!$A:$A,0)),FALSE),ROUND(D180+(E180-D180)*(1+G180)*((4-1)/(MaxLevel-1))^(2^F180),0),D180+(E180-D180)*(1+G180)*((4-1)/(MaxLevel-1))^(2^F180)))</f>
        <v/>
      </c>
      <c r="L180" s="12" t="str">
        <f>IF(OR(D180="",E180=""),"",IF(IFERROR(INDEX(Stats!$D:$D,MATCH($C180,Stats!$A:$A,0)),FALSE),ROUND(D180+(E180-D180)*(1+G180)*((5-1)/(MaxLevel-1))^(2^F180),0),D180+(E180-D180)*(1+G180)*((5-1)/(MaxLevel-1))^(2^F180)))</f>
        <v/>
      </c>
      <c r="M180" s="12" t="str">
        <f>IF(OR(D180="",E180=""),"",IF(IFERROR(INDEX(Stats!$D:$D,MATCH($C180,Stats!$A:$A,0)),FALSE),ROUND(D180+(E180-D180)*(1+G180)*((6-1)/(MaxLevel-1))^(2^F180),0),D180+(E180-D180)*(1+G180)*((6-1)/(MaxLevel-1))^(2^F180)))</f>
        <v/>
      </c>
      <c r="N180" s="12" t="str">
        <f>IF(OR(D180="",E180=""),"",IF(IFERROR(INDEX(Stats!$D:$D,MATCH($C180,Stats!$A:$A,0)),FALSE),ROUND(D180+(E180-D180)*(1+G180)*((7-1)/(MaxLevel-1))^(2^F180),0),D180+(E180-D180)*(1+G180)*((7-1)/(MaxLevel-1))^(2^F180)))</f>
        <v/>
      </c>
      <c r="O180" s="12" t="str">
        <f>IF(OR(D180="",E180=""),"",IF(IFERROR(INDEX(Stats!$D:$D,MATCH($C180,Stats!$A:$A,0)),FALSE),ROUND(D180+(E180-D180)*(1+G180)*((8-1)/(MaxLevel-1))^(2^F180),0),D180+(E180-D180)*(1+G180)*((8-1)/(MaxLevel-1))^(2^F180)))</f>
        <v/>
      </c>
      <c r="P180" s="12" t="str">
        <f>IF(OR(D180="",E180=""),"",IF(IFERROR(INDEX(Stats!$D:$D,MATCH($C180,Stats!$A:$A,0)),FALSE),ROUND(D180+(E180-D180)*(1+G180)*((9-1)/(MaxLevel-1))^(2^F180),0),D180+(E180-D180)*(1+G180)*((9-1)/(MaxLevel-1))^(2^F180)))</f>
        <v/>
      </c>
      <c r="Q180" s="12" t="str">
        <f>IF(OR(D180="",E180=""),"",IF(IFERROR(INDEX(Stats!$D:$D,MATCH($C180,Stats!$A:$A,0)),FALSE),ROUND(D180+(E180-D180)*(1+G180)*((10-1)/(MaxLevel-1))^(2^F180),0),D180+(E180-D180)*(1+G180)*((10-1)/(MaxLevel-1))^(2^F180)))</f>
        <v/>
      </c>
    </row>
    <row r="181" spans="1:17" x14ac:dyDescent="0.25">
      <c r="A181" s="4" t="s">
        <v>185</v>
      </c>
      <c r="B181" s="4" t="s">
        <v>195</v>
      </c>
      <c r="C181" s="4" t="s">
        <v>40</v>
      </c>
      <c r="D181" s="5"/>
      <c r="E181" s="5"/>
      <c r="F181" s="5"/>
      <c r="G181" s="5"/>
      <c r="H181" s="12" t="str">
        <f>IF(OR(D181="",E181=""),"",IF(IFERROR(INDEX(Stats!$D:$D,MATCH($C181,Stats!$A:$A,0)),FALSE),ROUND(D181+(E181-D181)*(1+G181)*((1-1)/(MaxLevel-1))^(2^F181),0),D181+(E181-D181)*(1+G181)*((1-1)/(MaxLevel-1))^(2^F181)))</f>
        <v/>
      </c>
      <c r="I181" s="12" t="str">
        <f>IF(OR(D181="",E181=""),"",IF(IFERROR(INDEX(Stats!$D:$D,MATCH($C181,Stats!$A:$A,0)),FALSE),ROUND(D181+(E181-D181)*(1+G181)*((2-1)/(MaxLevel-1))^(2^F181),0),D181+(E181-D181)*(1+G181)*((2-1)/(MaxLevel-1))^(2^F181)))</f>
        <v/>
      </c>
      <c r="J181" s="12" t="str">
        <f>IF(OR(D181="",E181=""),"",IF(IFERROR(INDEX(Stats!$D:$D,MATCH($C181,Stats!$A:$A,0)),FALSE),ROUND(D181+(E181-D181)*(1+G181)*((3-1)/(MaxLevel-1))^(2^F181),0),D181+(E181-D181)*(1+G181)*((3-1)/(MaxLevel-1))^(2^F181)))</f>
        <v/>
      </c>
      <c r="K181" s="12" t="str">
        <f>IF(OR(D181="",E181=""),"",IF(IFERROR(INDEX(Stats!$D:$D,MATCH($C181,Stats!$A:$A,0)),FALSE),ROUND(D181+(E181-D181)*(1+G181)*((4-1)/(MaxLevel-1))^(2^F181),0),D181+(E181-D181)*(1+G181)*((4-1)/(MaxLevel-1))^(2^F181)))</f>
        <v/>
      </c>
      <c r="L181" s="12" t="str">
        <f>IF(OR(D181="",E181=""),"",IF(IFERROR(INDEX(Stats!$D:$D,MATCH($C181,Stats!$A:$A,0)),FALSE),ROUND(D181+(E181-D181)*(1+G181)*((5-1)/(MaxLevel-1))^(2^F181),0),D181+(E181-D181)*(1+G181)*((5-1)/(MaxLevel-1))^(2^F181)))</f>
        <v/>
      </c>
      <c r="M181" s="12" t="str">
        <f>IF(OR(D181="",E181=""),"",IF(IFERROR(INDEX(Stats!$D:$D,MATCH($C181,Stats!$A:$A,0)),FALSE),ROUND(D181+(E181-D181)*(1+G181)*((6-1)/(MaxLevel-1))^(2^F181),0),D181+(E181-D181)*(1+G181)*((6-1)/(MaxLevel-1))^(2^F181)))</f>
        <v/>
      </c>
      <c r="N181" s="12" t="str">
        <f>IF(OR(D181="",E181=""),"",IF(IFERROR(INDEX(Stats!$D:$D,MATCH($C181,Stats!$A:$A,0)),FALSE),ROUND(D181+(E181-D181)*(1+G181)*((7-1)/(MaxLevel-1))^(2^F181),0),D181+(E181-D181)*(1+G181)*((7-1)/(MaxLevel-1))^(2^F181)))</f>
        <v/>
      </c>
      <c r="O181" s="12" t="str">
        <f>IF(OR(D181="",E181=""),"",IF(IFERROR(INDEX(Stats!$D:$D,MATCH($C181,Stats!$A:$A,0)),FALSE),ROUND(D181+(E181-D181)*(1+G181)*((8-1)/(MaxLevel-1))^(2^F181),0),D181+(E181-D181)*(1+G181)*((8-1)/(MaxLevel-1))^(2^F181)))</f>
        <v/>
      </c>
      <c r="P181" s="12" t="str">
        <f>IF(OR(D181="",E181=""),"",IF(IFERROR(INDEX(Stats!$D:$D,MATCH($C181,Stats!$A:$A,0)),FALSE),ROUND(D181+(E181-D181)*(1+G181)*((9-1)/(MaxLevel-1))^(2^F181),0),D181+(E181-D181)*(1+G181)*((9-1)/(MaxLevel-1))^(2^F181)))</f>
        <v/>
      </c>
      <c r="Q181" s="12" t="str">
        <f>IF(OR(D181="",E181=""),"",IF(IFERROR(INDEX(Stats!$D:$D,MATCH($C181,Stats!$A:$A,0)),FALSE),ROUND(D181+(E181-D181)*(1+G181)*((10-1)/(MaxLevel-1))^(2^F181),0),D181+(E181-D181)*(1+G181)*((10-1)/(MaxLevel-1))^(2^F181)))</f>
        <v/>
      </c>
    </row>
    <row r="182" spans="1:17" x14ac:dyDescent="0.25">
      <c r="A182" s="4" t="s">
        <v>185</v>
      </c>
      <c r="B182" s="4" t="s">
        <v>195</v>
      </c>
      <c r="C182" s="4" t="s">
        <v>42</v>
      </c>
      <c r="D182" s="5"/>
      <c r="E182" s="5"/>
      <c r="F182" s="5"/>
      <c r="G182" s="5"/>
      <c r="H182" s="12" t="str">
        <f>IF(OR(D182="",E182=""),"",IF(IFERROR(INDEX(Stats!$D:$D,MATCH($C182,Stats!$A:$A,0)),FALSE),ROUND(D182+(E182-D182)*(1+G182)*((1-1)/(MaxLevel-1))^(2^F182),0),D182+(E182-D182)*(1+G182)*((1-1)/(MaxLevel-1))^(2^F182)))</f>
        <v/>
      </c>
      <c r="I182" s="12" t="str">
        <f>IF(OR(D182="",E182=""),"",IF(IFERROR(INDEX(Stats!$D:$D,MATCH($C182,Stats!$A:$A,0)),FALSE),ROUND(D182+(E182-D182)*(1+G182)*((2-1)/(MaxLevel-1))^(2^F182),0),D182+(E182-D182)*(1+G182)*((2-1)/(MaxLevel-1))^(2^F182)))</f>
        <v/>
      </c>
      <c r="J182" s="12" t="str">
        <f>IF(OR(D182="",E182=""),"",IF(IFERROR(INDEX(Stats!$D:$D,MATCH($C182,Stats!$A:$A,0)),FALSE),ROUND(D182+(E182-D182)*(1+G182)*((3-1)/(MaxLevel-1))^(2^F182),0),D182+(E182-D182)*(1+G182)*((3-1)/(MaxLevel-1))^(2^F182)))</f>
        <v/>
      </c>
      <c r="K182" s="12" t="str">
        <f>IF(OR(D182="",E182=""),"",IF(IFERROR(INDEX(Stats!$D:$D,MATCH($C182,Stats!$A:$A,0)),FALSE),ROUND(D182+(E182-D182)*(1+G182)*((4-1)/(MaxLevel-1))^(2^F182),0),D182+(E182-D182)*(1+G182)*((4-1)/(MaxLevel-1))^(2^F182)))</f>
        <v/>
      </c>
      <c r="L182" s="12" t="str">
        <f>IF(OR(D182="",E182=""),"",IF(IFERROR(INDEX(Stats!$D:$D,MATCH($C182,Stats!$A:$A,0)),FALSE),ROUND(D182+(E182-D182)*(1+G182)*((5-1)/(MaxLevel-1))^(2^F182),0),D182+(E182-D182)*(1+G182)*((5-1)/(MaxLevel-1))^(2^F182)))</f>
        <v/>
      </c>
      <c r="M182" s="12" t="str">
        <f>IF(OR(D182="",E182=""),"",IF(IFERROR(INDEX(Stats!$D:$D,MATCH($C182,Stats!$A:$A,0)),FALSE),ROUND(D182+(E182-D182)*(1+G182)*((6-1)/(MaxLevel-1))^(2^F182),0),D182+(E182-D182)*(1+G182)*((6-1)/(MaxLevel-1))^(2^F182)))</f>
        <v/>
      </c>
      <c r="N182" s="12" t="str">
        <f>IF(OR(D182="",E182=""),"",IF(IFERROR(INDEX(Stats!$D:$D,MATCH($C182,Stats!$A:$A,0)),FALSE),ROUND(D182+(E182-D182)*(1+G182)*((7-1)/(MaxLevel-1))^(2^F182),0),D182+(E182-D182)*(1+G182)*((7-1)/(MaxLevel-1))^(2^F182)))</f>
        <v/>
      </c>
      <c r="O182" s="12" t="str">
        <f>IF(OR(D182="",E182=""),"",IF(IFERROR(INDEX(Stats!$D:$D,MATCH($C182,Stats!$A:$A,0)),FALSE),ROUND(D182+(E182-D182)*(1+G182)*((8-1)/(MaxLevel-1))^(2^F182),0),D182+(E182-D182)*(1+G182)*((8-1)/(MaxLevel-1))^(2^F182)))</f>
        <v/>
      </c>
      <c r="P182" s="12" t="str">
        <f>IF(OR(D182="",E182=""),"",IF(IFERROR(INDEX(Stats!$D:$D,MATCH($C182,Stats!$A:$A,0)),FALSE),ROUND(D182+(E182-D182)*(1+G182)*((9-1)/(MaxLevel-1))^(2^F182),0),D182+(E182-D182)*(1+G182)*((9-1)/(MaxLevel-1))^(2^F182)))</f>
        <v/>
      </c>
      <c r="Q182" s="12" t="str">
        <f>IF(OR(D182="",E182=""),"",IF(IFERROR(INDEX(Stats!$D:$D,MATCH($C182,Stats!$A:$A,0)),FALSE),ROUND(D182+(E182-D182)*(1+G182)*((10-1)/(MaxLevel-1))^(2^F182),0),D182+(E182-D182)*(1+G182)*((10-1)/(MaxLevel-1))^(2^F182)))</f>
        <v/>
      </c>
    </row>
    <row r="183" spans="1:17" x14ac:dyDescent="0.25">
      <c r="A183" s="4" t="s">
        <v>185</v>
      </c>
      <c r="B183" s="4" t="s">
        <v>195</v>
      </c>
      <c r="C183" s="4" t="s">
        <v>44</v>
      </c>
      <c r="D183" s="5"/>
      <c r="E183" s="5"/>
      <c r="F183" s="5"/>
      <c r="G183" s="5"/>
      <c r="H183" s="12" t="str">
        <f>IF(OR(D183="",E183=""),"",IF(IFERROR(INDEX(Stats!$D:$D,MATCH($C183,Stats!$A:$A,0)),FALSE),ROUND(D183+(E183-D183)*(1+G183)*((1-1)/(MaxLevel-1))^(2^F183),0),D183+(E183-D183)*(1+G183)*((1-1)/(MaxLevel-1))^(2^F183)))</f>
        <v/>
      </c>
      <c r="I183" s="12" t="str">
        <f>IF(OR(D183="",E183=""),"",IF(IFERROR(INDEX(Stats!$D:$D,MATCH($C183,Stats!$A:$A,0)),FALSE),ROUND(D183+(E183-D183)*(1+G183)*((2-1)/(MaxLevel-1))^(2^F183),0),D183+(E183-D183)*(1+G183)*((2-1)/(MaxLevel-1))^(2^F183)))</f>
        <v/>
      </c>
      <c r="J183" s="12" t="str">
        <f>IF(OR(D183="",E183=""),"",IF(IFERROR(INDEX(Stats!$D:$D,MATCH($C183,Stats!$A:$A,0)),FALSE),ROUND(D183+(E183-D183)*(1+G183)*((3-1)/(MaxLevel-1))^(2^F183),0),D183+(E183-D183)*(1+G183)*((3-1)/(MaxLevel-1))^(2^F183)))</f>
        <v/>
      </c>
      <c r="K183" s="12" t="str">
        <f>IF(OR(D183="",E183=""),"",IF(IFERROR(INDEX(Stats!$D:$D,MATCH($C183,Stats!$A:$A,0)),FALSE),ROUND(D183+(E183-D183)*(1+G183)*((4-1)/(MaxLevel-1))^(2^F183),0),D183+(E183-D183)*(1+G183)*((4-1)/(MaxLevel-1))^(2^F183)))</f>
        <v/>
      </c>
      <c r="L183" s="12" t="str">
        <f>IF(OR(D183="",E183=""),"",IF(IFERROR(INDEX(Stats!$D:$D,MATCH($C183,Stats!$A:$A,0)),FALSE),ROUND(D183+(E183-D183)*(1+G183)*((5-1)/(MaxLevel-1))^(2^F183),0),D183+(E183-D183)*(1+G183)*((5-1)/(MaxLevel-1))^(2^F183)))</f>
        <v/>
      </c>
      <c r="M183" s="12" t="str">
        <f>IF(OR(D183="",E183=""),"",IF(IFERROR(INDEX(Stats!$D:$D,MATCH($C183,Stats!$A:$A,0)),FALSE),ROUND(D183+(E183-D183)*(1+G183)*((6-1)/(MaxLevel-1))^(2^F183),0),D183+(E183-D183)*(1+G183)*((6-1)/(MaxLevel-1))^(2^F183)))</f>
        <v/>
      </c>
      <c r="N183" s="12" t="str">
        <f>IF(OR(D183="",E183=""),"",IF(IFERROR(INDEX(Stats!$D:$D,MATCH($C183,Stats!$A:$A,0)),FALSE),ROUND(D183+(E183-D183)*(1+G183)*((7-1)/(MaxLevel-1))^(2^F183),0),D183+(E183-D183)*(1+G183)*((7-1)/(MaxLevel-1))^(2^F183)))</f>
        <v/>
      </c>
      <c r="O183" s="12" t="str">
        <f>IF(OR(D183="",E183=""),"",IF(IFERROR(INDEX(Stats!$D:$D,MATCH($C183,Stats!$A:$A,0)),FALSE),ROUND(D183+(E183-D183)*(1+G183)*((8-1)/(MaxLevel-1))^(2^F183),0),D183+(E183-D183)*(1+G183)*((8-1)/(MaxLevel-1))^(2^F183)))</f>
        <v/>
      </c>
      <c r="P183" s="12" t="str">
        <f>IF(OR(D183="",E183=""),"",IF(IFERROR(INDEX(Stats!$D:$D,MATCH($C183,Stats!$A:$A,0)),FALSE),ROUND(D183+(E183-D183)*(1+G183)*((9-1)/(MaxLevel-1))^(2^F183),0),D183+(E183-D183)*(1+G183)*((9-1)/(MaxLevel-1))^(2^F183)))</f>
        <v/>
      </c>
      <c r="Q183" s="12" t="str">
        <f>IF(OR(D183="",E183=""),"",IF(IFERROR(INDEX(Stats!$D:$D,MATCH($C183,Stats!$A:$A,0)),FALSE),ROUND(D183+(E183-D183)*(1+G183)*((10-1)/(MaxLevel-1))^(2^F183),0),D183+(E183-D183)*(1+G183)*((10-1)/(MaxLevel-1))^(2^F183)))</f>
        <v/>
      </c>
    </row>
    <row r="184" spans="1:17" x14ac:dyDescent="0.25">
      <c r="A184" s="4" t="s">
        <v>185</v>
      </c>
      <c r="B184" s="4" t="s">
        <v>195</v>
      </c>
      <c r="C184" s="4" t="s">
        <v>46</v>
      </c>
      <c r="D184" s="5">
        <v>300</v>
      </c>
      <c r="E184" s="5">
        <v>320</v>
      </c>
      <c r="F184" s="5">
        <v>0</v>
      </c>
      <c r="G184" s="5">
        <v>0</v>
      </c>
      <c r="H184" s="12">
        <f>IF(OR(D184="",E184=""),"",IF(IFERROR(INDEX(Stats!$D:$D,MATCH($C184,Stats!$A:$A,0)),FALSE),ROUND(D184+(E184-D184)*(1+G184)*((1-1)/(MaxLevel-1))^(2^F184),0),D184+(E184-D184)*(1+G184)*((1-1)/(MaxLevel-1))^(2^F184)))</f>
        <v>300</v>
      </c>
      <c r="I184" s="12">
        <f>IF(OR(D184="",E184=""),"",IF(IFERROR(INDEX(Stats!$D:$D,MATCH($C184,Stats!$A:$A,0)),FALSE),ROUND(D184+(E184-D184)*(1+G184)*((2-1)/(MaxLevel-1))^(2^F184),0),D184+(E184-D184)*(1+G184)*((2-1)/(MaxLevel-1))^(2^F184)))</f>
        <v>302.22222222222223</v>
      </c>
      <c r="J184" s="12">
        <f>IF(OR(D184="",E184=""),"",IF(IFERROR(INDEX(Stats!$D:$D,MATCH($C184,Stats!$A:$A,0)),FALSE),ROUND(D184+(E184-D184)*(1+G184)*((3-1)/(MaxLevel-1))^(2^F184),0),D184+(E184-D184)*(1+G184)*((3-1)/(MaxLevel-1))^(2^F184)))</f>
        <v>304.44444444444446</v>
      </c>
      <c r="K184" s="12">
        <f>IF(OR(D184="",E184=""),"",IF(IFERROR(INDEX(Stats!$D:$D,MATCH($C184,Stats!$A:$A,0)),FALSE),ROUND(D184+(E184-D184)*(1+G184)*((4-1)/(MaxLevel-1))^(2^F184),0),D184+(E184-D184)*(1+G184)*((4-1)/(MaxLevel-1))^(2^F184)))</f>
        <v>306.66666666666669</v>
      </c>
      <c r="L184" s="12">
        <f>IF(OR(D184="",E184=""),"",IF(IFERROR(INDEX(Stats!$D:$D,MATCH($C184,Stats!$A:$A,0)),FALSE),ROUND(D184+(E184-D184)*(1+G184)*((5-1)/(MaxLevel-1))^(2^F184),0),D184+(E184-D184)*(1+G184)*((5-1)/(MaxLevel-1))^(2^F184)))</f>
        <v>308.88888888888891</v>
      </c>
      <c r="M184" s="12">
        <f>IF(OR(D184="",E184=""),"",IF(IFERROR(INDEX(Stats!$D:$D,MATCH($C184,Stats!$A:$A,0)),FALSE),ROUND(D184+(E184-D184)*(1+G184)*((6-1)/(MaxLevel-1))^(2^F184),0),D184+(E184-D184)*(1+G184)*((6-1)/(MaxLevel-1))^(2^F184)))</f>
        <v>311.11111111111109</v>
      </c>
      <c r="N184" s="12">
        <f>IF(OR(D184="",E184=""),"",IF(IFERROR(INDEX(Stats!$D:$D,MATCH($C184,Stats!$A:$A,0)),FALSE),ROUND(D184+(E184-D184)*(1+G184)*((7-1)/(MaxLevel-1))^(2^F184),0),D184+(E184-D184)*(1+G184)*((7-1)/(MaxLevel-1))^(2^F184)))</f>
        <v>313.33333333333331</v>
      </c>
      <c r="O184" s="12">
        <f>IF(OR(D184="",E184=""),"",IF(IFERROR(INDEX(Stats!$D:$D,MATCH($C184,Stats!$A:$A,0)),FALSE),ROUND(D184+(E184-D184)*(1+G184)*((8-1)/(MaxLevel-1))^(2^F184),0),D184+(E184-D184)*(1+G184)*((8-1)/(MaxLevel-1))^(2^F184)))</f>
        <v>315.55555555555554</v>
      </c>
      <c r="P184" s="12">
        <f>IF(OR(D184="",E184=""),"",IF(IFERROR(INDEX(Stats!$D:$D,MATCH($C184,Stats!$A:$A,0)),FALSE),ROUND(D184+(E184-D184)*(1+G184)*((9-1)/(MaxLevel-1))^(2^F184),0),D184+(E184-D184)*(1+G184)*((9-1)/(MaxLevel-1))^(2^F184)))</f>
        <v>317.77777777777777</v>
      </c>
      <c r="Q184" s="12">
        <f>IF(OR(D184="",E184=""),"",IF(IFERROR(INDEX(Stats!$D:$D,MATCH($C184,Stats!$A:$A,0)),FALSE),ROUND(D184+(E184-D184)*(1+G184)*((10-1)/(MaxLevel-1))^(2^F184),0),D184+(E184-D184)*(1+G184)*((10-1)/(MaxLevel-1))^(2^F184)))</f>
        <v>320</v>
      </c>
    </row>
    <row r="185" spans="1:17" x14ac:dyDescent="0.25">
      <c r="A185" s="4" t="s">
        <v>185</v>
      </c>
      <c r="B185" s="4" t="s">
        <v>195</v>
      </c>
      <c r="C185" s="4" t="s">
        <v>48</v>
      </c>
      <c r="D185" s="5"/>
      <c r="E185" s="5"/>
      <c r="F185" s="5"/>
      <c r="G185" s="5"/>
      <c r="H185" s="12" t="str">
        <f>IF(OR(D185="",E185=""),"",IF(IFERROR(INDEX(Stats!$D:$D,MATCH($C185,Stats!$A:$A,0)),FALSE),ROUND(D185+(E185-D185)*(1+G185)*((1-1)/(MaxLevel-1))^(2^F185),0),D185+(E185-D185)*(1+G185)*((1-1)/(MaxLevel-1))^(2^F185)))</f>
        <v/>
      </c>
      <c r="I185" s="12" t="str">
        <f>IF(OR(D185="",E185=""),"",IF(IFERROR(INDEX(Stats!$D:$D,MATCH($C185,Stats!$A:$A,0)),FALSE),ROUND(D185+(E185-D185)*(1+G185)*((2-1)/(MaxLevel-1))^(2^F185),0),D185+(E185-D185)*(1+G185)*((2-1)/(MaxLevel-1))^(2^F185)))</f>
        <v/>
      </c>
      <c r="J185" s="12" t="str">
        <f>IF(OR(D185="",E185=""),"",IF(IFERROR(INDEX(Stats!$D:$D,MATCH($C185,Stats!$A:$A,0)),FALSE),ROUND(D185+(E185-D185)*(1+G185)*((3-1)/(MaxLevel-1))^(2^F185),0),D185+(E185-D185)*(1+G185)*((3-1)/(MaxLevel-1))^(2^F185)))</f>
        <v/>
      </c>
      <c r="K185" s="12" t="str">
        <f>IF(OR(D185="",E185=""),"",IF(IFERROR(INDEX(Stats!$D:$D,MATCH($C185,Stats!$A:$A,0)),FALSE),ROUND(D185+(E185-D185)*(1+G185)*((4-1)/(MaxLevel-1))^(2^F185),0),D185+(E185-D185)*(1+G185)*((4-1)/(MaxLevel-1))^(2^F185)))</f>
        <v/>
      </c>
      <c r="L185" s="12" t="str">
        <f>IF(OR(D185="",E185=""),"",IF(IFERROR(INDEX(Stats!$D:$D,MATCH($C185,Stats!$A:$A,0)),FALSE),ROUND(D185+(E185-D185)*(1+G185)*((5-1)/(MaxLevel-1))^(2^F185),0),D185+(E185-D185)*(1+G185)*((5-1)/(MaxLevel-1))^(2^F185)))</f>
        <v/>
      </c>
      <c r="M185" s="12" t="str">
        <f>IF(OR(D185="",E185=""),"",IF(IFERROR(INDEX(Stats!$D:$D,MATCH($C185,Stats!$A:$A,0)),FALSE),ROUND(D185+(E185-D185)*(1+G185)*((6-1)/(MaxLevel-1))^(2^F185),0),D185+(E185-D185)*(1+G185)*((6-1)/(MaxLevel-1))^(2^F185)))</f>
        <v/>
      </c>
      <c r="N185" s="12" t="str">
        <f>IF(OR(D185="",E185=""),"",IF(IFERROR(INDEX(Stats!$D:$D,MATCH($C185,Stats!$A:$A,0)),FALSE),ROUND(D185+(E185-D185)*(1+G185)*((7-1)/(MaxLevel-1))^(2^F185),0),D185+(E185-D185)*(1+G185)*((7-1)/(MaxLevel-1))^(2^F185)))</f>
        <v/>
      </c>
      <c r="O185" s="12" t="str">
        <f>IF(OR(D185="",E185=""),"",IF(IFERROR(INDEX(Stats!$D:$D,MATCH($C185,Stats!$A:$A,0)),FALSE),ROUND(D185+(E185-D185)*(1+G185)*((8-1)/(MaxLevel-1))^(2^F185),0),D185+(E185-D185)*(1+G185)*((8-1)/(MaxLevel-1))^(2^F185)))</f>
        <v/>
      </c>
      <c r="P185" s="12" t="str">
        <f>IF(OR(D185="",E185=""),"",IF(IFERROR(INDEX(Stats!$D:$D,MATCH($C185,Stats!$A:$A,0)),FALSE),ROUND(D185+(E185-D185)*(1+G185)*((9-1)/(MaxLevel-1))^(2^F185),0),D185+(E185-D185)*(1+G185)*((9-1)/(MaxLevel-1))^(2^F185)))</f>
        <v/>
      </c>
      <c r="Q185" s="12" t="str">
        <f>IF(OR(D185="",E185=""),"",IF(IFERROR(INDEX(Stats!$D:$D,MATCH($C185,Stats!$A:$A,0)),FALSE),ROUND(D185+(E185-D185)*(1+G185)*((10-1)/(MaxLevel-1))^(2^F185),0),D185+(E185-D185)*(1+G185)*((10-1)/(MaxLevel-1))^(2^F185)))</f>
        <v/>
      </c>
    </row>
    <row r="186" spans="1:17" x14ac:dyDescent="0.25">
      <c r="A186" s="4" t="s">
        <v>185</v>
      </c>
      <c r="B186" s="4" t="s">
        <v>195</v>
      </c>
      <c r="C186" s="4" t="s">
        <v>50</v>
      </c>
      <c r="D186" s="5"/>
      <c r="E186" s="5"/>
      <c r="F186" s="5"/>
      <c r="G186" s="5"/>
      <c r="H186" s="12" t="str">
        <f>IF(OR(D186="",E186=""),"",IF(IFERROR(INDEX(Stats!$D:$D,MATCH($C186,Stats!$A:$A,0)),FALSE),ROUND(D186+(E186-D186)*(1+G186)*((1-1)/(MaxLevel-1))^(2^F186),0),D186+(E186-D186)*(1+G186)*((1-1)/(MaxLevel-1))^(2^F186)))</f>
        <v/>
      </c>
      <c r="I186" s="12" t="str">
        <f>IF(OR(D186="",E186=""),"",IF(IFERROR(INDEX(Stats!$D:$D,MATCH($C186,Stats!$A:$A,0)),FALSE),ROUND(D186+(E186-D186)*(1+G186)*((2-1)/(MaxLevel-1))^(2^F186),0),D186+(E186-D186)*(1+G186)*((2-1)/(MaxLevel-1))^(2^F186)))</f>
        <v/>
      </c>
      <c r="J186" s="12" t="str">
        <f>IF(OR(D186="",E186=""),"",IF(IFERROR(INDEX(Stats!$D:$D,MATCH($C186,Stats!$A:$A,0)),FALSE),ROUND(D186+(E186-D186)*(1+G186)*((3-1)/(MaxLevel-1))^(2^F186),0),D186+(E186-D186)*(1+G186)*((3-1)/(MaxLevel-1))^(2^F186)))</f>
        <v/>
      </c>
      <c r="K186" s="12" t="str">
        <f>IF(OR(D186="",E186=""),"",IF(IFERROR(INDEX(Stats!$D:$D,MATCH($C186,Stats!$A:$A,0)),FALSE),ROUND(D186+(E186-D186)*(1+G186)*((4-1)/(MaxLevel-1))^(2^F186),0),D186+(E186-D186)*(1+G186)*((4-1)/(MaxLevel-1))^(2^F186)))</f>
        <v/>
      </c>
      <c r="L186" s="12" t="str">
        <f>IF(OR(D186="",E186=""),"",IF(IFERROR(INDEX(Stats!$D:$D,MATCH($C186,Stats!$A:$A,0)),FALSE),ROUND(D186+(E186-D186)*(1+G186)*((5-1)/(MaxLevel-1))^(2^F186),0),D186+(E186-D186)*(1+G186)*((5-1)/(MaxLevel-1))^(2^F186)))</f>
        <v/>
      </c>
      <c r="M186" s="12" t="str">
        <f>IF(OR(D186="",E186=""),"",IF(IFERROR(INDEX(Stats!$D:$D,MATCH($C186,Stats!$A:$A,0)),FALSE),ROUND(D186+(E186-D186)*(1+G186)*((6-1)/(MaxLevel-1))^(2^F186),0),D186+(E186-D186)*(1+G186)*((6-1)/(MaxLevel-1))^(2^F186)))</f>
        <v/>
      </c>
      <c r="N186" s="12" t="str">
        <f>IF(OR(D186="",E186=""),"",IF(IFERROR(INDEX(Stats!$D:$D,MATCH($C186,Stats!$A:$A,0)),FALSE),ROUND(D186+(E186-D186)*(1+G186)*((7-1)/(MaxLevel-1))^(2^F186),0),D186+(E186-D186)*(1+G186)*((7-1)/(MaxLevel-1))^(2^F186)))</f>
        <v/>
      </c>
      <c r="O186" s="12" t="str">
        <f>IF(OR(D186="",E186=""),"",IF(IFERROR(INDEX(Stats!$D:$D,MATCH($C186,Stats!$A:$A,0)),FALSE),ROUND(D186+(E186-D186)*(1+G186)*((8-1)/(MaxLevel-1))^(2^F186),0),D186+(E186-D186)*(1+G186)*((8-1)/(MaxLevel-1))^(2^F186)))</f>
        <v/>
      </c>
      <c r="P186" s="12" t="str">
        <f>IF(OR(D186="",E186=""),"",IF(IFERROR(INDEX(Stats!$D:$D,MATCH($C186,Stats!$A:$A,0)),FALSE),ROUND(D186+(E186-D186)*(1+G186)*((9-1)/(MaxLevel-1))^(2^F186),0),D186+(E186-D186)*(1+G186)*((9-1)/(MaxLevel-1))^(2^F186)))</f>
        <v/>
      </c>
      <c r="Q186" s="12" t="str">
        <f>IF(OR(D186="",E186=""),"",IF(IFERROR(INDEX(Stats!$D:$D,MATCH($C186,Stats!$A:$A,0)),FALSE),ROUND(D186+(E186-D186)*(1+G186)*((10-1)/(MaxLevel-1))^(2^F186),0),D186+(E186-D186)*(1+G186)*((10-1)/(MaxLevel-1))^(2^F186)))</f>
        <v/>
      </c>
    </row>
    <row r="187" spans="1:17" x14ac:dyDescent="0.25">
      <c r="A187" s="4" t="s">
        <v>185</v>
      </c>
      <c r="B187" s="4" t="s">
        <v>195</v>
      </c>
      <c r="C187" s="4" t="s">
        <v>52</v>
      </c>
      <c r="D187" s="5"/>
      <c r="E187" s="5"/>
      <c r="F187" s="5"/>
      <c r="G187" s="5"/>
      <c r="H187" s="12" t="str">
        <f>IF(OR(D187="",E187=""),"",IF(IFERROR(INDEX(Stats!$D:$D,MATCH($C187,Stats!$A:$A,0)),FALSE),ROUND(D187+(E187-D187)*(1+G187)*((1-1)/(MaxLevel-1))^(2^F187),0),D187+(E187-D187)*(1+G187)*((1-1)/(MaxLevel-1))^(2^F187)))</f>
        <v/>
      </c>
      <c r="I187" s="12" t="str">
        <f>IF(OR(D187="",E187=""),"",IF(IFERROR(INDEX(Stats!$D:$D,MATCH($C187,Stats!$A:$A,0)),FALSE),ROUND(D187+(E187-D187)*(1+G187)*((2-1)/(MaxLevel-1))^(2^F187),0),D187+(E187-D187)*(1+G187)*((2-1)/(MaxLevel-1))^(2^F187)))</f>
        <v/>
      </c>
      <c r="J187" s="12" t="str">
        <f>IF(OR(D187="",E187=""),"",IF(IFERROR(INDEX(Stats!$D:$D,MATCH($C187,Stats!$A:$A,0)),FALSE),ROUND(D187+(E187-D187)*(1+G187)*((3-1)/(MaxLevel-1))^(2^F187),0),D187+(E187-D187)*(1+G187)*((3-1)/(MaxLevel-1))^(2^F187)))</f>
        <v/>
      </c>
      <c r="K187" s="12" t="str">
        <f>IF(OR(D187="",E187=""),"",IF(IFERROR(INDEX(Stats!$D:$D,MATCH($C187,Stats!$A:$A,0)),FALSE),ROUND(D187+(E187-D187)*(1+G187)*((4-1)/(MaxLevel-1))^(2^F187),0),D187+(E187-D187)*(1+G187)*((4-1)/(MaxLevel-1))^(2^F187)))</f>
        <v/>
      </c>
      <c r="L187" s="12" t="str">
        <f>IF(OR(D187="",E187=""),"",IF(IFERROR(INDEX(Stats!$D:$D,MATCH($C187,Stats!$A:$A,0)),FALSE),ROUND(D187+(E187-D187)*(1+G187)*((5-1)/(MaxLevel-1))^(2^F187),0),D187+(E187-D187)*(1+G187)*((5-1)/(MaxLevel-1))^(2^F187)))</f>
        <v/>
      </c>
      <c r="M187" s="12" t="str">
        <f>IF(OR(D187="",E187=""),"",IF(IFERROR(INDEX(Stats!$D:$D,MATCH($C187,Stats!$A:$A,0)),FALSE),ROUND(D187+(E187-D187)*(1+G187)*((6-1)/(MaxLevel-1))^(2^F187),0),D187+(E187-D187)*(1+G187)*((6-1)/(MaxLevel-1))^(2^F187)))</f>
        <v/>
      </c>
      <c r="N187" s="12" t="str">
        <f>IF(OR(D187="",E187=""),"",IF(IFERROR(INDEX(Stats!$D:$D,MATCH($C187,Stats!$A:$A,0)),FALSE),ROUND(D187+(E187-D187)*(1+G187)*((7-1)/(MaxLevel-1))^(2^F187),0),D187+(E187-D187)*(1+G187)*((7-1)/(MaxLevel-1))^(2^F187)))</f>
        <v/>
      </c>
      <c r="O187" s="12" t="str">
        <f>IF(OR(D187="",E187=""),"",IF(IFERROR(INDEX(Stats!$D:$D,MATCH($C187,Stats!$A:$A,0)),FALSE),ROUND(D187+(E187-D187)*(1+G187)*((8-1)/(MaxLevel-1))^(2^F187),0),D187+(E187-D187)*(1+G187)*((8-1)/(MaxLevel-1))^(2^F187)))</f>
        <v/>
      </c>
      <c r="P187" s="12" t="str">
        <f>IF(OR(D187="",E187=""),"",IF(IFERROR(INDEX(Stats!$D:$D,MATCH($C187,Stats!$A:$A,0)),FALSE),ROUND(D187+(E187-D187)*(1+G187)*((9-1)/(MaxLevel-1))^(2^F187),0),D187+(E187-D187)*(1+G187)*((9-1)/(MaxLevel-1))^(2^F187)))</f>
        <v/>
      </c>
      <c r="Q187" s="12" t="str">
        <f>IF(OR(D187="",E187=""),"",IF(IFERROR(INDEX(Stats!$D:$D,MATCH($C187,Stats!$A:$A,0)),FALSE),ROUND(D187+(E187-D187)*(1+G187)*((10-1)/(MaxLevel-1))^(2^F187),0),D187+(E187-D187)*(1+G187)*((10-1)/(MaxLevel-1))^(2^F187)))</f>
        <v/>
      </c>
    </row>
    <row r="188" spans="1:17" x14ac:dyDescent="0.25">
      <c r="A188" s="4" t="s">
        <v>185</v>
      </c>
      <c r="B188" s="4" t="s">
        <v>195</v>
      </c>
      <c r="C188" s="4" t="s">
        <v>54</v>
      </c>
      <c r="D188" s="5"/>
      <c r="E188" s="5"/>
      <c r="F188" s="5"/>
      <c r="G188" s="5"/>
      <c r="H188" s="12" t="str">
        <f>IF(OR(D188="",E188=""),"",IF(IFERROR(INDEX(Stats!$D:$D,MATCH($C188,Stats!$A:$A,0)),FALSE),ROUND(D188+(E188-D188)*(1+G188)*((1-1)/(MaxLevel-1))^(2^F188),0),D188+(E188-D188)*(1+G188)*((1-1)/(MaxLevel-1))^(2^F188)))</f>
        <v/>
      </c>
      <c r="I188" s="12" t="str">
        <f>IF(OR(D188="",E188=""),"",IF(IFERROR(INDEX(Stats!$D:$D,MATCH($C188,Stats!$A:$A,0)),FALSE),ROUND(D188+(E188-D188)*(1+G188)*((2-1)/(MaxLevel-1))^(2^F188),0),D188+(E188-D188)*(1+G188)*((2-1)/(MaxLevel-1))^(2^F188)))</f>
        <v/>
      </c>
      <c r="J188" s="12" t="str">
        <f>IF(OR(D188="",E188=""),"",IF(IFERROR(INDEX(Stats!$D:$D,MATCH($C188,Stats!$A:$A,0)),FALSE),ROUND(D188+(E188-D188)*(1+G188)*((3-1)/(MaxLevel-1))^(2^F188),0),D188+(E188-D188)*(1+G188)*((3-1)/(MaxLevel-1))^(2^F188)))</f>
        <v/>
      </c>
      <c r="K188" s="12" t="str">
        <f>IF(OR(D188="",E188=""),"",IF(IFERROR(INDEX(Stats!$D:$D,MATCH($C188,Stats!$A:$A,0)),FALSE),ROUND(D188+(E188-D188)*(1+G188)*((4-1)/(MaxLevel-1))^(2^F188),0),D188+(E188-D188)*(1+G188)*((4-1)/(MaxLevel-1))^(2^F188)))</f>
        <v/>
      </c>
      <c r="L188" s="12" t="str">
        <f>IF(OR(D188="",E188=""),"",IF(IFERROR(INDEX(Stats!$D:$D,MATCH($C188,Stats!$A:$A,0)),FALSE),ROUND(D188+(E188-D188)*(1+G188)*((5-1)/(MaxLevel-1))^(2^F188),0),D188+(E188-D188)*(1+G188)*((5-1)/(MaxLevel-1))^(2^F188)))</f>
        <v/>
      </c>
      <c r="M188" s="12" t="str">
        <f>IF(OR(D188="",E188=""),"",IF(IFERROR(INDEX(Stats!$D:$D,MATCH($C188,Stats!$A:$A,0)),FALSE),ROUND(D188+(E188-D188)*(1+G188)*((6-1)/(MaxLevel-1))^(2^F188),0),D188+(E188-D188)*(1+G188)*((6-1)/(MaxLevel-1))^(2^F188)))</f>
        <v/>
      </c>
      <c r="N188" s="12" t="str">
        <f>IF(OR(D188="",E188=""),"",IF(IFERROR(INDEX(Stats!$D:$D,MATCH($C188,Stats!$A:$A,0)),FALSE),ROUND(D188+(E188-D188)*(1+G188)*((7-1)/(MaxLevel-1))^(2^F188),0),D188+(E188-D188)*(1+G188)*((7-1)/(MaxLevel-1))^(2^F188)))</f>
        <v/>
      </c>
      <c r="O188" s="12" t="str">
        <f>IF(OR(D188="",E188=""),"",IF(IFERROR(INDEX(Stats!$D:$D,MATCH($C188,Stats!$A:$A,0)),FALSE),ROUND(D188+(E188-D188)*(1+G188)*((8-1)/(MaxLevel-1))^(2^F188),0),D188+(E188-D188)*(1+G188)*((8-1)/(MaxLevel-1))^(2^F188)))</f>
        <v/>
      </c>
      <c r="P188" s="12" t="str">
        <f>IF(OR(D188="",E188=""),"",IF(IFERROR(INDEX(Stats!$D:$D,MATCH($C188,Stats!$A:$A,0)),FALSE),ROUND(D188+(E188-D188)*(1+G188)*((9-1)/(MaxLevel-1))^(2^F188),0),D188+(E188-D188)*(1+G188)*((9-1)/(MaxLevel-1))^(2^F188)))</f>
        <v/>
      </c>
      <c r="Q188" s="12" t="str">
        <f>IF(OR(D188="",E188=""),"",IF(IFERROR(INDEX(Stats!$D:$D,MATCH($C188,Stats!$A:$A,0)),FALSE),ROUND(D188+(E188-D188)*(1+G188)*((10-1)/(MaxLevel-1))^(2^F188),0),D188+(E188-D188)*(1+G188)*((10-1)/(MaxLevel-1))^(2^F188)))</f>
        <v/>
      </c>
    </row>
    <row r="189" spans="1:17" x14ac:dyDescent="0.25">
      <c r="A189" s="4" t="s">
        <v>185</v>
      </c>
      <c r="B189" s="4" t="s">
        <v>195</v>
      </c>
      <c r="C189" s="4" t="s">
        <v>56</v>
      </c>
      <c r="D189" s="5"/>
      <c r="E189" s="5"/>
      <c r="F189" s="5"/>
      <c r="G189" s="5"/>
      <c r="H189" s="12" t="str">
        <f>IF(OR(D189="",E189=""),"",IF(IFERROR(INDEX(Stats!$D:$D,MATCH($C189,Stats!$A:$A,0)),FALSE),ROUND(D189+(E189-D189)*(1+G189)*((1-1)/(MaxLevel-1))^(2^F189),0),D189+(E189-D189)*(1+G189)*((1-1)/(MaxLevel-1))^(2^F189)))</f>
        <v/>
      </c>
      <c r="I189" s="12" t="str">
        <f>IF(OR(D189="",E189=""),"",IF(IFERROR(INDEX(Stats!$D:$D,MATCH($C189,Stats!$A:$A,0)),FALSE),ROUND(D189+(E189-D189)*(1+G189)*((2-1)/(MaxLevel-1))^(2^F189),0),D189+(E189-D189)*(1+G189)*((2-1)/(MaxLevel-1))^(2^F189)))</f>
        <v/>
      </c>
      <c r="J189" s="12" t="str">
        <f>IF(OR(D189="",E189=""),"",IF(IFERROR(INDEX(Stats!$D:$D,MATCH($C189,Stats!$A:$A,0)),FALSE),ROUND(D189+(E189-D189)*(1+G189)*((3-1)/(MaxLevel-1))^(2^F189),0),D189+(E189-D189)*(1+G189)*((3-1)/(MaxLevel-1))^(2^F189)))</f>
        <v/>
      </c>
      <c r="K189" s="12" t="str">
        <f>IF(OR(D189="",E189=""),"",IF(IFERROR(INDEX(Stats!$D:$D,MATCH($C189,Stats!$A:$A,0)),FALSE),ROUND(D189+(E189-D189)*(1+G189)*((4-1)/(MaxLevel-1))^(2^F189),0),D189+(E189-D189)*(1+G189)*((4-1)/(MaxLevel-1))^(2^F189)))</f>
        <v/>
      </c>
      <c r="L189" s="12" t="str">
        <f>IF(OR(D189="",E189=""),"",IF(IFERROR(INDEX(Stats!$D:$D,MATCH($C189,Stats!$A:$A,0)),FALSE),ROUND(D189+(E189-D189)*(1+G189)*((5-1)/(MaxLevel-1))^(2^F189),0),D189+(E189-D189)*(1+G189)*((5-1)/(MaxLevel-1))^(2^F189)))</f>
        <v/>
      </c>
      <c r="M189" s="12" t="str">
        <f>IF(OR(D189="",E189=""),"",IF(IFERROR(INDEX(Stats!$D:$D,MATCH($C189,Stats!$A:$A,0)),FALSE),ROUND(D189+(E189-D189)*(1+G189)*((6-1)/(MaxLevel-1))^(2^F189),0),D189+(E189-D189)*(1+G189)*((6-1)/(MaxLevel-1))^(2^F189)))</f>
        <v/>
      </c>
      <c r="N189" s="12" t="str">
        <f>IF(OR(D189="",E189=""),"",IF(IFERROR(INDEX(Stats!$D:$D,MATCH($C189,Stats!$A:$A,0)),FALSE),ROUND(D189+(E189-D189)*(1+G189)*((7-1)/(MaxLevel-1))^(2^F189),0),D189+(E189-D189)*(1+G189)*((7-1)/(MaxLevel-1))^(2^F189)))</f>
        <v/>
      </c>
      <c r="O189" s="12" t="str">
        <f>IF(OR(D189="",E189=""),"",IF(IFERROR(INDEX(Stats!$D:$D,MATCH($C189,Stats!$A:$A,0)),FALSE),ROUND(D189+(E189-D189)*(1+G189)*((8-1)/(MaxLevel-1))^(2^F189),0),D189+(E189-D189)*(1+G189)*((8-1)/(MaxLevel-1))^(2^F189)))</f>
        <v/>
      </c>
      <c r="P189" s="12" t="str">
        <f>IF(OR(D189="",E189=""),"",IF(IFERROR(INDEX(Stats!$D:$D,MATCH($C189,Stats!$A:$A,0)),FALSE),ROUND(D189+(E189-D189)*(1+G189)*((9-1)/(MaxLevel-1))^(2^F189),0),D189+(E189-D189)*(1+G189)*((9-1)/(MaxLevel-1))^(2^F189)))</f>
        <v/>
      </c>
      <c r="Q189" s="12" t="str">
        <f>IF(OR(D189="",E189=""),"",IF(IFERROR(INDEX(Stats!$D:$D,MATCH($C189,Stats!$A:$A,0)),FALSE),ROUND(D189+(E189-D189)*(1+G189)*((10-1)/(MaxLevel-1))^(2^F189),0),D189+(E189-D189)*(1+G189)*((10-1)/(MaxLevel-1))^(2^F189)))</f>
        <v/>
      </c>
    </row>
    <row r="190" spans="1:17" x14ac:dyDescent="0.25">
      <c r="A190" s="4" t="s">
        <v>185</v>
      </c>
      <c r="B190" s="4" t="s">
        <v>195</v>
      </c>
      <c r="C190" s="4" t="s">
        <v>58</v>
      </c>
      <c r="D190" s="5"/>
      <c r="E190" s="5"/>
      <c r="F190" s="5"/>
      <c r="G190" s="5"/>
      <c r="H190" s="12" t="str">
        <f>IF(OR(D190="",E190=""),"",IF(IFERROR(INDEX(Stats!$D:$D,MATCH($C190,Stats!$A:$A,0)),FALSE),ROUND(D190+(E190-D190)*(1+G190)*((1-1)/(MaxLevel-1))^(2^F190),0),D190+(E190-D190)*(1+G190)*((1-1)/(MaxLevel-1))^(2^F190)))</f>
        <v/>
      </c>
      <c r="I190" s="12" t="str">
        <f>IF(OR(D190="",E190=""),"",IF(IFERROR(INDEX(Stats!$D:$D,MATCH($C190,Stats!$A:$A,0)),FALSE),ROUND(D190+(E190-D190)*(1+G190)*((2-1)/(MaxLevel-1))^(2^F190),0),D190+(E190-D190)*(1+G190)*((2-1)/(MaxLevel-1))^(2^F190)))</f>
        <v/>
      </c>
      <c r="J190" s="12" t="str">
        <f>IF(OR(D190="",E190=""),"",IF(IFERROR(INDEX(Stats!$D:$D,MATCH($C190,Stats!$A:$A,0)),FALSE),ROUND(D190+(E190-D190)*(1+G190)*((3-1)/(MaxLevel-1))^(2^F190),0),D190+(E190-D190)*(1+G190)*((3-1)/(MaxLevel-1))^(2^F190)))</f>
        <v/>
      </c>
      <c r="K190" s="12" t="str">
        <f>IF(OR(D190="",E190=""),"",IF(IFERROR(INDEX(Stats!$D:$D,MATCH($C190,Stats!$A:$A,0)),FALSE),ROUND(D190+(E190-D190)*(1+G190)*((4-1)/(MaxLevel-1))^(2^F190),0),D190+(E190-D190)*(1+G190)*((4-1)/(MaxLevel-1))^(2^F190)))</f>
        <v/>
      </c>
      <c r="L190" s="12" t="str">
        <f>IF(OR(D190="",E190=""),"",IF(IFERROR(INDEX(Stats!$D:$D,MATCH($C190,Stats!$A:$A,0)),FALSE),ROUND(D190+(E190-D190)*(1+G190)*((5-1)/(MaxLevel-1))^(2^F190),0),D190+(E190-D190)*(1+G190)*((5-1)/(MaxLevel-1))^(2^F190)))</f>
        <v/>
      </c>
      <c r="M190" s="12" t="str">
        <f>IF(OR(D190="",E190=""),"",IF(IFERROR(INDEX(Stats!$D:$D,MATCH($C190,Stats!$A:$A,0)),FALSE),ROUND(D190+(E190-D190)*(1+G190)*((6-1)/(MaxLevel-1))^(2^F190),0),D190+(E190-D190)*(1+G190)*((6-1)/(MaxLevel-1))^(2^F190)))</f>
        <v/>
      </c>
      <c r="N190" s="12" t="str">
        <f>IF(OR(D190="",E190=""),"",IF(IFERROR(INDEX(Stats!$D:$D,MATCH($C190,Stats!$A:$A,0)),FALSE),ROUND(D190+(E190-D190)*(1+G190)*((7-1)/(MaxLevel-1))^(2^F190),0),D190+(E190-D190)*(1+G190)*((7-1)/(MaxLevel-1))^(2^F190)))</f>
        <v/>
      </c>
      <c r="O190" s="12" t="str">
        <f>IF(OR(D190="",E190=""),"",IF(IFERROR(INDEX(Stats!$D:$D,MATCH($C190,Stats!$A:$A,0)),FALSE),ROUND(D190+(E190-D190)*(1+G190)*((8-1)/(MaxLevel-1))^(2^F190),0),D190+(E190-D190)*(1+G190)*((8-1)/(MaxLevel-1))^(2^F190)))</f>
        <v/>
      </c>
      <c r="P190" s="12" t="str">
        <f>IF(OR(D190="",E190=""),"",IF(IFERROR(INDEX(Stats!$D:$D,MATCH($C190,Stats!$A:$A,0)),FALSE),ROUND(D190+(E190-D190)*(1+G190)*((9-1)/(MaxLevel-1))^(2^F190),0),D190+(E190-D190)*(1+G190)*((9-1)/(MaxLevel-1))^(2^F190)))</f>
        <v/>
      </c>
      <c r="Q190" s="12" t="str">
        <f>IF(OR(D190="",E190=""),"",IF(IFERROR(INDEX(Stats!$D:$D,MATCH($C190,Stats!$A:$A,0)),FALSE),ROUND(D190+(E190-D190)*(1+G190)*((10-1)/(MaxLevel-1))^(2^F190),0),D190+(E190-D190)*(1+G190)*((10-1)/(MaxLevel-1))^(2^F190)))</f>
        <v/>
      </c>
    </row>
    <row r="191" spans="1:17" x14ac:dyDescent="0.25">
      <c r="A191" s="4" t="s">
        <v>185</v>
      </c>
      <c r="B191" s="4" t="s">
        <v>195</v>
      </c>
      <c r="C191" s="4" t="s">
        <v>60</v>
      </c>
      <c r="D191" s="5"/>
      <c r="E191" s="5"/>
      <c r="F191" s="5"/>
      <c r="G191" s="5"/>
      <c r="H191" s="12" t="str">
        <f>IF(OR(D191="",E191=""),"",IF(IFERROR(INDEX(Stats!$D:$D,MATCH($C191,Stats!$A:$A,0)),FALSE),ROUND(D191+(E191-D191)*(1+G191)*((1-1)/(MaxLevel-1))^(2^F191),0),D191+(E191-D191)*(1+G191)*((1-1)/(MaxLevel-1))^(2^F191)))</f>
        <v/>
      </c>
      <c r="I191" s="12" t="str">
        <f>IF(OR(D191="",E191=""),"",IF(IFERROR(INDEX(Stats!$D:$D,MATCH($C191,Stats!$A:$A,0)),FALSE),ROUND(D191+(E191-D191)*(1+G191)*((2-1)/(MaxLevel-1))^(2^F191),0),D191+(E191-D191)*(1+G191)*((2-1)/(MaxLevel-1))^(2^F191)))</f>
        <v/>
      </c>
      <c r="J191" s="12" t="str">
        <f>IF(OR(D191="",E191=""),"",IF(IFERROR(INDEX(Stats!$D:$D,MATCH($C191,Stats!$A:$A,0)),FALSE),ROUND(D191+(E191-D191)*(1+G191)*((3-1)/(MaxLevel-1))^(2^F191),0),D191+(E191-D191)*(1+G191)*((3-1)/(MaxLevel-1))^(2^F191)))</f>
        <v/>
      </c>
      <c r="K191" s="12" t="str">
        <f>IF(OR(D191="",E191=""),"",IF(IFERROR(INDEX(Stats!$D:$D,MATCH($C191,Stats!$A:$A,0)),FALSE),ROUND(D191+(E191-D191)*(1+G191)*((4-1)/(MaxLevel-1))^(2^F191),0),D191+(E191-D191)*(1+G191)*((4-1)/(MaxLevel-1))^(2^F191)))</f>
        <v/>
      </c>
      <c r="L191" s="12" t="str">
        <f>IF(OR(D191="",E191=""),"",IF(IFERROR(INDEX(Stats!$D:$D,MATCH($C191,Stats!$A:$A,0)),FALSE),ROUND(D191+(E191-D191)*(1+G191)*((5-1)/(MaxLevel-1))^(2^F191),0),D191+(E191-D191)*(1+G191)*((5-1)/(MaxLevel-1))^(2^F191)))</f>
        <v/>
      </c>
      <c r="M191" s="12" t="str">
        <f>IF(OR(D191="",E191=""),"",IF(IFERROR(INDEX(Stats!$D:$D,MATCH($C191,Stats!$A:$A,0)),FALSE),ROUND(D191+(E191-D191)*(1+G191)*((6-1)/(MaxLevel-1))^(2^F191),0),D191+(E191-D191)*(1+G191)*((6-1)/(MaxLevel-1))^(2^F191)))</f>
        <v/>
      </c>
      <c r="N191" s="12" t="str">
        <f>IF(OR(D191="",E191=""),"",IF(IFERROR(INDEX(Stats!$D:$D,MATCH($C191,Stats!$A:$A,0)),FALSE),ROUND(D191+(E191-D191)*(1+G191)*((7-1)/(MaxLevel-1))^(2^F191),0),D191+(E191-D191)*(1+G191)*((7-1)/(MaxLevel-1))^(2^F191)))</f>
        <v/>
      </c>
      <c r="O191" s="12" t="str">
        <f>IF(OR(D191="",E191=""),"",IF(IFERROR(INDEX(Stats!$D:$D,MATCH($C191,Stats!$A:$A,0)),FALSE),ROUND(D191+(E191-D191)*(1+G191)*((8-1)/(MaxLevel-1))^(2^F191),0),D191+(E191-D191)*(1+G191)*((8-1)/(MaxLevel-1))^(2^F191)))</f>
        <v/>
      </c>
      <c r="P191" s="12" t="str">
        <f>IF(OR(D191="",E191=""),"",IF(IFERROR(INDEX(Stats!$D:$D,MATCH($C191,Stats!$A:$A,0)),FALSE),ROUND(D191+(E191-D191)*(1+G191)*((9-1)/(MaxLevel-1))^(2^F191),0),D191+(E191-D191)*(1+G191)*((9-1)/(MaxLevel-1))^(2^F191)))</f>
        <v/>
      </c>
      <c r="Q191" s="12" t="str">
        <f>IF(OR(D191="",E191=""),"",IF(IFERROR(INDEX(Stats!$D:$D,MATCH($C191,Stats!$A:$A,0)),FALSE),ROUND(D191+(E191-D191)*(1+G191)*((10-1)/(MaxLevel-1))^(2^F191),0),D191+(E191-D191)*(1+G191)*((10-1)/(MaxLevel-1))^(2^F191)))</f>
        <v/>
      </c>
    </row>
    <row r="192" spans="1:17" x14ac:dyDescent="0.25">
      <c r="A192" s="4" t="s">
        <v>185</v>
      </c>
      <c r="B192" s="19" t="s">
        <v>225</v>
      </c>
      <c r="C192" s="4" t="s">
        <v>24</v>
      </c>
      <c r="D192" s="5">
        <v>0</v>
      </c>
      <c r="E192" s="5">
        <v>5000</v>
      </c>
      <c r="F192" s="5">
        <v>1</v>
      </c>
      <c r="G192" s="5">
        <v>0</v>
      </c>
      <c r="H192" s="12">
        <f>IF(OR(D192="",E192=""),"",IF(IFERROR(INDEX(Stats!$D:$D,MATCH($C192,Stats!$A:$A,0)),FALSE),ROUND(D192+(E192-D192)*(1+G192)*((1-1)/(MaxLevel-1))^(2^F192),0),D192+(E192-D192)*(1+G192)*((1-1)/(MaxLevel-1))^(2^F192)))</f>
        <v>0</v>
      </c>
      <c r="I192" s="12">
        <f>IF(OR(D192="",E192=""),"",IF(IFERROR(INDEX(Stats!$D:$D,MATCH($C192,Stats!$A:$A,0)),FALSE),ROUND(D192+(E192-D192)*(1+G192)*((2-1)/(MaxLevel-1))^(2^F192),0),D192+(E192-D192)*(1+G192)*((2-1)/(MaxLevel-1))^(2^F192)))</f>
        <v>62</v>
      </c>
      <c r="J192" s="12">
        <f>IF(OR(D192="",E192=""),"",IF(IFERROR(INDEX(Stats!$D:$D,MATCH($C192,Stats!$A:$A,0)),FALSE),ROUND(D192+(E192-D192)*(1+G192)*((3-1)/(MaxLevel-1))^(2^F192),0),D192+(E192-D192)*(1+G192)*((3-1)/(MaxLevel-1))^(2^F192)))</f>
        <v>247</v>
      </c>
      <c r="K192" s="12">
        <f>IF(OR(D192="",E192=""),"",IF(IFERROR(INDEX(Stats!$D:$D,MATCH($C192,Stats!$A:$A,0)),FALSE),ROUND(D192+(E192-D192)*(1+G192)*((4-1)/(MaxLevel-1))^(2^F192),0),D192+(E192-D192)*(1+G192)*((4-1)/(MaxLevel-1))^(2^F192)))</f>
        <v>556</v>
      </c>
      <c r="L192" s="12">
        <f>IF(OR(D192="",E192=""),"",IF(IFERROR(INDEX(Stats!$D:$D,MATCH($C192,Stats!$A:$A,0)),FALSE),ROUND(D192+(E192-D192)*(1+G192)*((5-1)/(MaxLevel-1))^(2^F192),0),D192+(E192-D192)*(1+G192)*((5-1)/(MaxLevel-1))^(2^F192)))</f>
        <v>988</v>
      </c>
      <c r="M192" s="12">
        <f>IF(OR(D192="",E192=""),"",IF(IFERROR(INDEX(Stats!$D:$D,MATCH($C192,Stats!$A:$A,0)),FALSE),ROUND(D192+(E192-D192)*(1+G192)*((6-1)/(MaxLevel-1))^(2^F192),0),D192+(E192-D192)*(1+G192)*((6-1)/(MaxLevel-1))^(2^F192)))</f>
        <v>1543</v>
      </c>
      <c r="N192" s="12">
        <f>IF(OR(D192="",E192=""),"",IF(IFERROR(INDEX(Stats!$D:$D,MATCH($C192,Stats!$A:$A,0)),FALSE),ROUND(D192+(E192-D192)*(1+G192)*((7-1)/(MaxLevel-1))^(2^F192),0),D192+(E192-D192)*(1+G192)*((7-1)/(MaxLevel-1))^(2^F192)))</f>
        <v>2222</v>
      </c>
      <c r="O192" s="12">
        <f>IF(OR(D192="",E192=""),"",IF(IFERROR(INDEX(Stats!$D:$D,MATCH($C192,Stats!$A:$A,0)),FALSE),ROUND(D192+(E192-D192)*(1+G192)*((8-1)/(MaxLevel-1))^(2^F192),0),D192+(E192-D192)*(1+G192)*((8-1)/(MaxLevel-1))^(2^F192)))</f>
        <v>3025</v>
      </c>
      <c r="P192" s="12">
        <f>IF(OR(D192="",E192=""),"",IF(IFERROR(INDEX(Stats!$D:$D,MATCH($C192,Stats!$A:$A,0)),FALSE),ROUND(D192+(E192-D192)*(1+G192)*((9-1)/(MaxLevel-1))^(2^F192),0),D192+(E192-D192)*(1+G192)*((9-1)/(MaxLevel-1))^(2^F192)))</f>
        <v>3951</v>
      </c>
      <c r="Q192" s="12">
        <f>IF(OR(D192="",E192=""),"",IF(IFERROR(INDEX(Stats!$D:$D,MATCH($C192,Stats!$A:$A,0)),FALSE),ROUND(D192+(E192-D192)*(1+G192)*((10-1)/(MaxLevel-1))^(2^F192),0),D192+(E192-D192)*(1+G192)*((10-1)/(MaxLevel-1))^(2^F192)))</f>
        <v>5000</v>
      </c>
    </row>
    <row r="193" spans="1:17" x14ac:dyDescent="0.25">
      <c r="A193" s="4" t="s">
        <v>185</v>
      </c>
      <c r="B193" s="19" t="s">
        <v>225</v>
      </c>
      <c r="C193" s="4" t="s">
        <v>26</v>
      </c>
      <c r="D193" s="5">
        <v>10</v>
      </c>
      <c r="E193" s="5">
        <v>80</v>
      </c>
      <c r="F193" s="5">
        <v>0</v>
      </c>
      <c r="G193" s="5">
        <v>0</v>
      </c>
      <c r="H193" s="12">
        <f>IF(OR(D193="",E193=""),"",IF(IFERROR(INDEX(Stats!$D:$D,MATCH($C193,Stats!$A:$A,0)),FALSE),ROUND(D193+(E193-D193)*(1+G193)*((1-1)/(MaxLevel-1))^(2^F193),0),D193+(E193-D193)*(1+G193)*((1-1)/(MaxLevel-1))^(2^F193)))</f>
        <v>10</v>
      </c>
      <c r="I193" s="12">
        <f>IF(OR(D193="",E193=""),"",IF(IFERROR(INDEX(Stats!$D:$D,MATCH($C193,Stats!$A:$A,0)),FALSE),ROUND(D193+(E193-D193)*(1+G193)*((2-1)/(MaxLevel-1))^(2^F193),0),D193+(E193-D193)*(1+G193)*((2-1)/(MaxLevel-1))^(2^F193)))</f>
        <v>18</v>
      </c>
      <c r="J193" s="12">
        <f>IF(OR(D193="",E193=""),"",IF(IFERROR(INDEX(Stats!$D:$D,MATCH($C193,Stats!$A:$A,0)),FALSE),ROUND(D193+(E193-D193)*(1+G193)*((3-1)/(MaxLevel-1))^(2^F193),0),D193+(E193-D193)*(1+G193)*((3-1)/(MaxLevel-1))^(2^F193)))</f>
        <v>26</v>
      </c>
      <c r="K193" s="12">
        <f>IF(OR(D193="",E193=""),"",IF(IFERROR(INDEX(Stats!$D:$D,MATCH($C193,Stats!$A:$A,0)),FALSE),ROUND(D193+(E193-D193)*(1+G193)*((4-1)/(MaxLevel-1))^(2^F193),0),D193+(E193-D193)*(1+G193)*((4-1)/(MaxLevel-1))^(2^F193)))</f>
        <v>33</v>
      </c>
      <c r="L193" s="12">
        <f>IF(OR(D193="",E193=""),"",IF(IFERROR(INDEX(Stats!$D:$D,MATCH($C193,Stats!$A:$A,0)),FALSE),ROUND(D193+(E193-D193)*(1+G193)*((5-1)/(MaxLevel-1))^(2^F193),0),D193+(E193-D193)*(1+G193)*((5-1)/(MaxLevel-1))^(2^F193)))</f>
        <v>41</v>
      </c>
      <c r="M193" s="12">
        <f>IF(OR(D193="",E193=""),"",IF(IFERROR(INDEX(Stats!$D:$D,MATCH($C193,Stats!$A:$A,0)),FALSE),ROUND(D193+(E193-D193)*(1+G193)*((6-1)/(MaxLevel-1))^(2^F193),0),D193+(E193-D193)*(1+G193)*((6-1)/(MaxLevel-1))^(2^F193)))</f>
        <v>49</v>
      </c>
      <c r="N193" s="12">
        <f>IF(OR(D193="",E193=""),"",IF(IFERROR(INDEX(Stats!$D:$D,MATCH($C193,Stats!$A:$A,0)),FALSE),ROUND(D193+(E193-D193)*(1+G193)*((7-1)/(MaxLevel-1))^(2^F193),0),D193+(E193-D193)*(1+G193)*((7-1)/(MaxLevel-1))^(2^F193)))</f>
        <v>57</v>
      </c>
      <c r="O193" s="12">
        <f>IF(OR(D193="",E193=""),"",IF(IFERROR(INDEX(Stats!$D:$D,MATCH($C193,Stats!$A:$A,0)),FALSE),ROUND(D193+(E193-D193)*(1+G193)*((8-1)/(MaxLevel-1))^(2^F193),0),D193+(E193-D193)*(1+G193)*((8-1)/(MaxLevel-1))^(2^F193)))</f>
        <v>64</v>
      </c>
      <c r="P193" s="12">
        <f>IF(OR(D193="",E193=""),"",IF(IFERROR(INDEX(Stats!$D:$D,MATCH($C193,Stats!$A:$A,0)),FALSE),ROUND(D193+(E193-D193)*(1+G193)*((9-1)/(MaxLevel-1))^(2^F193),0),D193+(E193-D193)*(1+G193)*((9-1)/(MaxLevel-1))^(2^F193)))</f>
        <v>72</v>
      </c>
      <c r="Q193" s="12">
        <f>IF(OR(D193="",E193=""),"",IF(IFERROR(INDEX(Stats!$D:$D,MATCH($C193,Stats!$A:$A,0)),FALSE),ROUND(D193+(E193-D193)*(1+G193)*((10-1)/(MaxLevel-1))^(2^F193),0),D193+(E193-D193)*(1+G193)*((10-1)/(MaxLevel-1))^(2^F193)))</f>
        <v>80</v>
      </c>
    </row>
    <row r="194" spans="1:17" x14ac:dyDescent="0.25">
      <c r="A194" s="4" t="s">
        <v>185</v>
      </c>
      <c r="B194" s="19" t="s">
        <v>225</v>
      </c>
      <c r="C194" s="4" t="s">
        <v>28</v>
      </c>
      <c r="D194" s="5">
        <v>80</v>
      </c>
      <c r="E194" s="5">
        <v>400</v>
      </c>
      <c r="F194" s="5">
        <v>-0.5</v>
      </c>
      <c r="G194" s="5">
        <v>0</v>
      </c>
      <c r="H194" s="12">
        <f>IF(OR(D194="",E194=""),"",IF(IFERROR(INDEX(Stats!$D:$D,MATCH($C194,Stats!$A:$A,0)),FALSE),ROUND(D194+(E194-D194)*(1+G194)*((1-1)/(MaxLevel-1))^(2^F194),0),D194+(E194-D194)*(1+G194)*((1-1)/(MaxLevel-1))^(2^F194)))</f>
        <v>80</v>
      </c>
      <c r="I194" s="12">
        <f>IF(OR(D194="",E194=""),"",IF(IFERROR(INDEX(Stats!$D:$D,MATCH($C194,Stats!$A:$A,0)),FALSE),ROUND(D194+(E194-D194)*(1+G194)*((2-1)/(MaxLevel-1))^(2^F194),0),D194+(E194-D194)*(1+G194)*((2-1)/(MaxLevel-1))^(2^F194)))</f>
        <v>148</v>
      </c>
      <c r="J194" s="12">
        <f>IF(OR(D194="",E194=""),"",IF(IFERROR(INDEX(Stats!$D:$D,MATCH($C194,Stats!$A:$A,0)),FALSE),ROUND(D194+(E194-D194)*(1+G194)*((3-1)/(MaxLevel-1))^(2^F194),0),D194+(E194-D194)*(1+G194)*((3-1)/(MaxLevel-1))^(2^F194)))</f>
        <v>190</v>
      </c>
      <c r="K194" s="12">
        <f>IF(OR(D194="",E194=""),"",IF(IFERROR(INDEX(Stats!$D:$D,MATCH($C194,Stats!$A:$A,0)),FALSE),ROUND(D194+(E194-D194)*(1+G194)*((4-1)/(MaxLevel-1))^(2^F194),0),D194+(E194-D194)*(1+G194)*((4-1)/(MaxLevel-1))^(2^F194)))</f>
        <v>227</v>
      </c>
      <c r="L194" s="12">
        <f>IF(OR(D194="",E194=""),"",IF(IFERROR(INDEX(Stats!$D:$D,MATCH($C194,Stats!$A:$A,0)),FALSE),ROUND(D194+(E194-D194)*(1+G194)*((5-1)/(MaxLevel-1))^(2^F194),0),D194+(E194-D194)*(1+G194)*((5-1)/(MaxLevel-1))^(2^F194)))</f>
        <v>260</v>
      </c>
      <c r="M194" s="12">
        <f>IF(OR(D194="",E194=""),"",IF(IFERROR(INDEX(Stats!$D:$D,MATCH($C194,Stats!$A:$A,0)),FALSE),ROUND(D194+(E194-D194)*(1+G194)*((6-1)/(MaxLevel-1))^(2^F194),0),D194+(E194-D194)*(1+G194)*((6-1)/(MaxLevel-1))^(2^F194)))</f>
        <v>291</v>
      </c>
      <c r="N194" s="12">
        <f>IF(OR(D194="",E194=""),"",IF(IFERROR(INDEX(Stats!$D:$D,MATCH($C194,Stats!$A:$A,0)),FALSE),ROUND(D194+(E194-D194)*(1+G194)*((7-1)/(MaxLevel-1))^(2^F194),0),D194+(E194-D194)*(1+G194)*((7-1)/(MaxLevel-1))^(2^F194)))</f>
        <v>320</v>
      </c>
      <c r="O194" s="12">
        <f>IF(OR(D194="",E194=""),"",IF(IFERROR(INDEX(Stats!$D:$D,MATCH($C194,Stats!$A:$A,0)),FALSE),ROUND(D194+(E194-D194)*(1+G194)*((8-1)/(MaxLevel-1))^(2^F194),0),D194+(E194-D194)*(1+G194)*((8-1)/(MaxLevel-1))^(2^F194)))</f>
        <v>348</v>
      </c>
      <c r="P194" s="12">
        <f>IF(OR(D194="",E194=""),"",IF(IFERROR(INDEX(Stats!$D:$D,MATCH($C194,Stats!$A:$A,0)),FALSE),ROUND(D194+(E194-D194)*(1+G194)*((9-1)/(MaxLevel-1))^(2^F194),0),D194+(E194-D194)*(1+G194)*((9-1)/(MaxLevel-1))^(2^F194)))</f>
        <v>374</v>
      </c>
      <c r="Q194" s="12">
        <f>IF(OR(D194="",E194=""),"",IF(IFERROR(INDEX(Stats!$D:$D,MATCH($C194,Stats!$A:$A,0)),FALSE),ROUND(D194+(E194-D194)*(1+G194)*((10-1)/(MaxLevel-1))^(2^F194),0),D194+(E194-D194)*(1+G194)*((10-1)/(MaxLevel-1))^(2^F194)))</f>
        <v>400</v>
      </c>
    </row>
    <row r="195" spans="1:17" x14ac:dyDescent="0.25">
      <c r="A195" s="4" t="s">
        <v>185</v>
      </c>
      <c r="B195" s="19" t="s">
        <v>225</v>
      </c>
      <c r="C195" s="4" t="s">
        <v>30</v>
      </c>
      <c r="D195" s="5"/>
      <c r="E195" s="5"/>
      <c r="F195" s="5"/>
      <c r="G195" s="5"/>
      <c r="H195" s="12" t="str">
        <f>IF(OR(D195="",E195=""),"",IF(IFERROR(INDEX(Stats!$D:$D,MATCH($C195,Stats!$A:$A,0)),FALSE),ROUND(D195+(E195-D195)*(1+G195)*((1-1)/(MaxLevel-1))^(2^F195),0),D195+(E195-D195)*(1+G195)*((1-1)/(MaxLevel-1))^(2^F195)))</f>
        <v/>
      </c>
      <c r="I195" s="12" t="str">
        <f>IF(OR(D195="",E195=""),"",IF(IFERROR(INDEX(Stats!$D:$D,MATCH($C195,Stats!$A:$A,0)),FALSE),ROUND(D195+(E195-D195)*(1+G195)*((2-1)/(MaxLevel-1))^(2^F195),0),D195+(E195-D195)*(1+G195)*((2-1)/(MaxLevel-1))^(2^F195)))</f>
        <v/>
      </c>
      <c r="J195" s="12" t="str">
        <f>IF(OR(D195="",E195=""),"",IF(IFERROR(INDEX(Stats!$D:$D,MATCH($C195,Stats!$A:$A,0)),FALSE),ROUND(D195+(E195-D195)*(1+G195)*((3-1)/(MaxLevel-1))^(2^F195),0),D195+(E195-D195)*(1+G195)*((3-1)/(MaxLevel-1))^(2^F195)))</f>
        <v/>
      </c>
      <c r="K195" s="12" t="str">
        <f>IF(OR(D195="",E195=""),"",IF(IFERROR(INDEX(Stats!$D:$D,MATCH($C195,Stats!$A:$A,0)),FALSE),ROUND(D195+(E195-D195)*(1+G195)*((4-1)/(MaxLevel-1))^(2^F195),0),D195+(E195-D195)*(1+G195)*((4-1)/(MaxLevel-1))^(2^F195)))</f>
        <v/>
      </c>
      <c r="L195" s="12" t="str">
        <f>IF(OR(D195="",E195=""),"",IF(IFERROR(INDEX(Stats!$D:$D,MATCH($C195,Stats!$A:$A,0)),FALSE),ROUND(D195+(E195-D195)*(1+G195)*((5-1)/(MaxLevel-1))^(2^F195),0),D195+(E195-D195)*(1+G195)*((5-1)/(MaxLevel-1))^(2^F195)))</f>
        <v/>
      </c>
      <c r="M195" s="12" t="str">
        <f>IF(OR(D195="",E195=""),"",IF(IFERROR(INDEX(Stats!$D:$D,MATCH($C195,Stats!$A:$A,0)),FALSE),ROUND(D195+(E195-D195)*(1+G195)*((6-1)/(MaxLevel-1))^(2^F195),0),D195+(E195-D195)*(1+G195)*((6-1)/(MaxLevel-1))^(2^F195)))</f>
        <v/>
      </c>
      <c r="N195" s="12" t="str">
        <f>IF(OR(D195="",E195=""),"",IF(IFERROR(INDEX(Stats!$D:$D,MATCH($C195,Stats!$A:$A,0)),FALSE),ROUND(D195+(E195-D195)*(1+G195)*((7-1)/(MaxLevel-1))^(2^F195),0),D195+(E195-D195)*(1+G195)*((7-1)/(MaxLevel-1))^(2^F195)))</f>
        <v/>
      </c>
      <c r="O195" s="12" t="str">
        <f>IF(OR(D195="",E195=""),"",IF(IFERROR(INDEX(Stats!$D:$D,MATCH($C195,Stats!$A:$A,0)),FALSE),ROUND(D195+(E195-D195)*(1+G195)*((8-1)/(MaxLevel-1))^(2^F195),0),D195+(E195-D195)*(1+G195)*((8-1)/(MaxLevel-1))^(2^F195)))</f>
        <v/>
      </c>
      <c r="P195" s="12" t="str">
        <f>IF(OR(D195="",E195=""),"",IF(IFERROR(INDEX(Stats!$D:$D,MATCH($C195,Stats!$A:$A,0)),FALSE),ROUND(D195+(E195-D195)*(1+G195)*((9-1)/(MaxLevel-1))^(2^F195),0),D195+(E195-D195)*(1+G195)*((9-1)/(MaxLevel-1))^(2^F195)))</f>
        <v/>
      </c>
      <c r="Q195" s="12" t="str">
        <f>IF(OR(D195="",E195=""),"",IF(IFERROR(INDEX(Stats!$D:$D,MATCH($C195,Stats!$A:$A,0)),FALSE),ROUND(D195+(E195-D195)*(1+G195)*((10-1)/(MaxLevel-1))^(2^F195),0),D195+(E195-D195)*(1+G195)*((10-1)/(MaxLevel-1))^(2^F195)))</f>
        <v/>
      </c>
    </row>
    <row r="196" spans="1:17" x14ac:dyDescent="0.25">
      <c r="A196" s="4" t="s">
        <v>185</v>
      </c>
      <c r="B196" s="19" t="s">
        <v>225</v>
      </c>
      <c r="C196" s="4" t="s">
        <v>32</v>
      </c>
      <c r="D196" s="5"/>
      <c r="E196" s="5"/>
      <c r="F196" s="5"/>
      <c r="G196" s="5"/>
      <c r="H196" s="12" t="str">
        <f>IF(OR(D196="",E196=""),"",IF(IFERROR(INDEX(Stats!$D:$D,MATCH($C196,Stats!$A:$A,0)),FALSE),ROUND(D196+(E196-D196)*(1+G196)*((1-1)/(MaxLevel-1))^(2^F196),0),D196+(E196-D196)*(1+G196)*((1-1)/(MaxLevel-1))^(2^F196)))</f>
        <v/>
      </c>
      <c r="I196" s="12" t="str">
        <f>IF(OR(D196="",E196=""),"",IF(IFERROR(INDEX(Stats!$D:$D,MATCH($C196,Stats!$A:$A,0)),FALSE),ROUND(D196+(E196-D196)*(1+G196)*((2-1)/(MaxLevel-1))^(2^F196),0),D196+(E196-D196)*(1+G196)*((2-1)/(MaxLevel-1))^(2^F196)))</f>
        <v/>
      </c>
      <c r="J196" s="12" t="str">
        <f>IF(OR(D196="",E196=""),"",IF(IFERROR(INDEX(Stats!$D:$D,MATCH($C196,Stats!$A:$A,0)),FALSE),ROUND(D196+(E196-D196)*(1+G196)*((3-1)/(MaxLevel-1))^(2^F196),0),D196+(E196-D196)*(1+G196)*((3-1)/(MaxLevel-1))^(2^F196)))</f>
        <v/>
      </c>
      <c r="K196" s="12" t="str">
        <f>IF(OR(D196="",E196=""),"",IF(IFERROR(INDEX(Stats!$D:$D,MATCH($C196,Stats!$A:$A,0)),FALSE),ROUND(D196+(E196-D196)*(1+G196)*((4-1)/(MaxLevel-1))^(2^F196),0),D196+(E196-D196)*(1+G196)*((4-1)/(MaxLevel-1))^(2^F196)))</f>
        <v/>
      </c>
      <c r="L196" s="12" t="str">
        <f>IF(OR(D196="",E196=""),"",IF(IFERROR(INDEX(Stats!$D:$D,MATCH($C196,Stats!$A:$A,0)),FALSE),ROUND(D196+(E196-D196)*(1+G196)*((5-1)/(MaxLevel-1))^(2^F196),0),D196+(E196-D196)*(1+G196)*((5-1)/(MaxLevel-1))^(2^F196)))</f>
        <v/>
      </c>
      <c r="M196" s="12" t="str">
        <f>IF(OR(D196="",E196=""),"",IF(IFERROR(INDEX(Stats!$D:$D,MATCH($C196,Stats!$A:$A,0)),FALSE),ROUND(D196+(E196-D196)*(1+G196)*((6-1)/(MaxLevel-1))^(2^F196),0),D196+(E196-D196)*(1+G196)*((6-1)/(MaxLevel-1))^(2^F196)))</f>
        <v/>
      </c>
      <c r="N196" s="12" t="str">
        <f>IF(OR(D196="",E196=""),"",IF(IFERROR(INDEX(Stats!$D:$D,MATCH($C196,Stats!$A:$A,0)),FALSE),ROUND(D196+(E196-D196)*(1+G196)*((7-1)/(MaxLevel-1))^(2^F196),0),D196+(E196-D196)*(1+G196)*((7-1)/(MaxLevel-1))^(2^F196)))</f>
        <v/>
      </c>
      <c r="O196" s="12" t="str">
        <f>IF(OR(D196="",E196=""),"",IF(IFERROR(INDEX(Stats!$D:$D,MATCH($C196,Stats!$A:$A,0)),FALSE),ROUND(D196+(E196-D196)*(1+G196)*((8-1)/(MaxLevel-1))^(2^F196),0),D196+(E196-D196)*(1+G196)*((8-1)/(MaxLevel-1))^(2^F196)))</f>
        <v/>
      </c>
      <c r="P196" s="12" t="str">
        <f>IF(OR(D196="",E196=""),"",IF(IFERROR(INDEX(Stats!$D:$D,MATCH($C196,Stats!$A:$A,0)),FALSE),ROUND(D196+(E196-D196)*(1+G196)*((9-1)/(MaxLevel-1))^(2^F196),0),D196+(E196-D196)*(1+G196)*((9-1)/(MaxLevel-1))^(2^F196)))</f>
        <v/>
      </c>
      <c r="Q196" s="12" t="str">
        <f>IF(OR(D196="",E196=""),"",IF(IFERROR(INDEX(Stats!$D:$D,MATCH($C196,Stats!$A:$A,0)),FALSE),ROUND(D196+(E196-D196)*(1+G196)*((10-1)/(MaxLevel-1))^(2^F196),0),D196+(E196-D196)*(1+G196)*((10-1)/(MaxLevel-1))^(2^F196)))</f>
        <v/>
      </c>
    </row>
    <row r="197" spans="1:17" x14ac:dyDescent="0.25">
      <c r="A197" s="4" t="s">
        <v>185</v>
      </c>
      <c r="B197" s="19" t="s">
        <v>225</v>
      </c>
      <c r="C197" s="4" t="s">
        <v>34</v>
      </c>
      <c r="D197" s="5"/>
      <c r="E197" s="5"/>
      <c r="F197" s="5"/>
      <c r="G197" s="5"/>
      <c r="H197" s="12" t="str">
        <f>IF(OR(D197="",E197=""),"",IF(IFERROR(INDEX(Stats!$D:$D,MATCH($C197,Stats!$A:$A,0)),FALSE),ROUND(D197+(E197-D197)*(1+G197)*((1-1)/(MaxLevel-1))^(2^F197),0),D197+(E197-D197)*(1+G197)*((1-1)/(MaxLevel-1))^(2^F197)))</f>
        <v/>
      </c>
      <c r="I197" s="12" t="str">
        <f>IF(OR(D197="",E197=""),"",IF(IFERROR(INDEX(Stats!$D:$D,MATCH($C197,Stats!$A:$A,0)),FALSE),ROUND(D197+(E197-D197)*(1+G197)*((2-1)/(MaxLevel-1))^(2^F197),0),D197+(E197-D197)*(1+G197)*((2-1)/(MaxLevel-1))^(2^F197)))</f>
        <v/>
      </c>
      <c r="J197" s="12" t="str">
        <f>IF(OR(D197="",E197=""),"",IF(IFERROR(INDEX(Stats!$D:$D,MATCH($C197,Stats!$A:$A,0)),FALSE),ROUND(D197+(E197-D197)*(1+G197)*((3-1)/(MaxLevel-1))^(2^F197),0),D197+(E197-D197)*(1+G197)*((3-1)/(MaxLevel-1))^(2^F197)))</f>
        <v/>
      </c>
      <c r="K197" s="12" t="str">
        <f>IF(OR(D197="",E197=""),"",IF(IFERROR(INDEX(Stats!$D:$D,MATCH($C197,Stats!$A:$A,0)),FALSE),ROUND(D197+(E197-D197)*(1+G197)*((4-1)/(MaxLevel-1))^(2^F197),0),D197+(E197-D197)*(1+G197)*((4-1)/(MaxLevel-1))^(2^F197)))</f>
        <v/>
      </c>
      <c r="L197" s="12" t="str">
        <f>IF(OR(D197="",E197=""),"",IF(IFERROR(INDEX(Stats!$D:$D,MATCH($C197,Stats!$A:$A,0)),FALSE),ROUND(D197+(E197-D197)*(1+G197)*((5-1)/(MaxLevel-1))^(2^F197),0),D197+(E197-D197)*(1+G197)*((5-1)/(MaxLevel-1))^(2^F197)))</f>
        <v/>
      </c>
      <c r="M197" s="12" t="str">
        <f>IF(OR(D197="",E197=""),"",IF(IFERROR(INDEX(Stats!$D:$D,MATCH($C197,Stats!$A:$A,0)),FALSE),ROUND(D197+(E197-D197)*(1+G197)*((6-1)/(MaxLevel-1))^(2^F197),0),D197+(E197-D197)*(1+G197)*((6-1)/(MaxLevel-1))^(2^F197)))</f>
        <v/>
      </c>
      <c r="N197" s="12" t="str">
        <f>IF(OR(D197="",E197=""),"",IF(IFERROR(INDEX(Stats!$D:$D,MATCH($C197,Stats!$A:$A,0)),FALSE),ROUND(D197+(E197-D197)*(1+G197)*((7-1)/(MaxLevel-1))^(2^F197),0),D197+(E197-D197)*(1+G197)*((7-1)/(MaxLevel-1))^(2^F197)))</f>
        <v/>
      </c>
      <c r="O197" s="12" t="str">
        <f>IF(OR(D197="",E197=""),"",IF(IFERROR(INDEX(Stats!$D:$D,MATCH($C197,Stats!$A:$A,0)),FALSE),ROUND(D197+(E197-D197)*(1+G197)*((8-1)/(MaxLevel-1))^(2^F197),0),D197+(E197-D197)*(1+G197)*((8-1)/(MaxLevel-1))^(2^F197)))</f>
        <v/>
      </c>
      <c r="P197" s="12" t="str">
        <f>IF(OR(D197="",E197=""),"",IF(IFERROR(INDEX(Stats!$D:$D,MATCH($C197,Stats!$A:$A,0)),FALSE),ROUND(D197+(E197-D197)*(1+G197)*((9-1)/(MaxLevel-1))^(2^F197),0),D197+(E197-D197)*(1+G197)*((9-1)/(MaxLevel-1))^(2^F197)))</f>
        <v/>
      </c>
      <c r="Q197" s="12" t="str">
        <f>IF(OR(D197="",E197=""),"",IF(IFERROR(INDEX(Stats!$D:$D,MATCH($C197,Stats!$A:$A,0)),FALSE),ROUND(D197+(E197-D197)*(1+G197)*((10-1)/(MaxLevel-1))^(2^F197),0),D197+(E197-D197)*(1+G197)*((10-1)/(MaxLevel-1))^(2^F197)))</f>
        <v/>
      </c>
    </row>
    <row r="198" spans="1:17" x14ac:dyDescent="0.25">
      <c r="A198" s="4" t="s">
        <v>185</v>
      </c>
      <c r="B198" s="19" t="s">
        <v>225</v>
      </c>
      <c r="C198" s="4" t="s">
        <v>36</v>
      </c>
      <c r="D198" s="5"/>
      <c r="E198" s="5"/>
      <c r="F198" s="5"/>
      <c r="G198" s="5"/>
      <c r="H198" s="12" t="str">
        <f>IF(OR(D198="",E198=""),"",IF(IFERROR(INDEX(Stats!$D:$D,MATCH($C198,Stats!$A:$A,0)),FALSE),ROUND(D198+(E198-D198)*(1+G198)*((1-1)/(MaxLevel-1))^(2^F198),0),D198+(E198-D198)*(1+G198)*((1-1)/(MaxLevel-1))^(2^F198)))</f>
        <v/>
      </c>
      <c r="I198" s="12" t="str">
        <f>IF(OR(D198="",E198=""),"",IF(IFERROR(INDEX(Stats!$D:$D,MATCH($C198,Stats!$A:$A,0)),FALSE),ROUND(D198+(E198-D198)*(1+G198)*((2-1)/(MaxLevel-1))^(2^F198),0),D198+(E198-D198)*(1+G198)*((2-1)/(MaxLevel-1))^(2^F198)))</f>
        <v/>
      </c>
      <c r="J198" s="12" t="str">
        <f>IF(OR(D198="",E198=""),"",IF(IFERROR(INDEX(Stats!$D:$D,MATCH($C198,Stats!$A:$A,0)),FALSE),ROUND(D198+(E198-D198)*(1+G198)*((3-1)/(MaxLevel-1))^(2^F198),0),D198+(E198-D198)*(1+G198)*((3-1)/(MaxLevel-1))^(2^F198)))</f>
        <v/>
      </c>
      <c r="K198" s="12" t="str">
        <f>IF(OR(D198="",E198=""),"",IF(IFERROR(INDEX(Stats!$D:$D,MATCH($C198,Stats!$A:$A,0)),FALSE),ROUND(D198+(E198-D198)*(1+G198)*((4-1)/(MaxLevel-1))^(2^F198),0),D198+(E198-D198)*(1+G198)*((4-1)/(MaxLevel-1))^(2^F198)))</f>
        <v/>
      </c>
      <c r="L198" s="12" t="str">
        <f>IF(OR(D198="",E198=""),"",IF(IFERROR(INDEX(Stats!$D:$D,MATCH($C198,Stats!$A:$A,0)),FALSE),ROUND(D198+(E198-D198)*(1+G198)*((5-1)/(MaxLevel-1))^(2^F198),0),D198+(E198-D198)*(1+G198)*((5-1)/(MaxLevel-1))^(2^F198)))</f>
        <v/>
      </c>
      <c r="M198" s="12" t="str">
        <f>IF(OR(D198="",E198=""),"",IF(IFERROR(INDEX(Stats!$D:$D,MATCH($C198,Stats!$A:$A,0)),FALSE),ROUND(D198+(E198-D198)*(1+G198)*((6-1)/(MaxLevel-1))^(2^F198),0),D198+(E198-D198)*(1+G198)*((6-1)/(MaxLevel-1))^(2^F198)))</f>
        <v/>
      </c>
      <c r="N198" s="12" t="str">
        <f>IF(OR(D198="",E198=""),"",IF(IFERROR(INDEX(Stats!$D:$D,MATCH($C198,Stats!$A:$A,0)),FALSE),ROUND(D198+(E198-D198)*(1+G198)*((7-1)/(MaxLevel-1))^(2^F198),0),D198+(E198-D198)*(1+G198)*((7-1)/(MaxLevel-1))^(2^F198)))</f>
        <v/>
      </c>
      <c r="O198" s="12" t="str">
        <f>IF(OR(D198="",E198=""),"",IF(IFERROR(INDEX(Stats!$D:$D,MATCH($C198,Stats!$A:$A,0)),FALSE),ROUND(D198+(E198-D198)*(1+G198)*((8-1)/(MaxLevel-1))^(2^F198),0),D198+(E198-D198)*(1+G198)*((8-1)/(MaxLevel-1))^(2^F198)))</f>
        <v/>
      </c>
      <c r="P198" s="12" t="str">
        <f>IF(OR(D198="",E198=""),"",IF(IFERROR(INDEX(Stats!$D:$D,MATCH($C198,Stats!$A:$A,0)),FALSE),ROUND(D198+(E198-D198)*(1+G198)*((9-1)/(MaxLevel-1))^(2^F198),0),D198+(E198-D198)*(1+G198)*((9-1)/(MaxLevel-1))^(2^F198)))</f>
        <v/>
      </c>
      <c r="Q198" s="12" t="str">
        <f>IF(OR(D198="",E198=""),"",IF(IFERROR(INDEX(Stats!$D:$D,MATCH($C198,Stats!$A:$A,0)),FALSE),ROUND(D198+(E198-D198)*(1+G198)*((10-1)/(MaxLevel-1))^(2^F198),0),D198+(E198-D198)*(1+G198)*((10-1)/(MaxLevel-1))^(2^F198)))</f>
        <v/>
      </c>
    </row>
    <row r="199" spans="1:17" x14ac:dyDescent="0.25">
      <c r="A199" s="4" t="s">
        <v>185</v>
      </c>
      <c r="B199" s="19" t="s">
        <v>225</v>
      </c>
      <c r="C199" s="4" t="s">
        <v>38</v>
      </c>
      <c r="D199" s="5">
        <v>1.5</v>
      </c>
      <c r="E199" s="5">
        <v>2</v>
      </c>
      <c r="F199" s="5">
        <v>-1</v>
      </c>
      <c r="G199" s="5">
        <v>0</v>
      </c>
      <c r="H199" s="12">
        <f>IF(OR(D199="",E199=""),"",IF(IFERROR(INDEX(Stats!$D:$D,MATCH($C199,Stats!$A:$A,0)),FALSE),ROUND(D199+(E199-D199)*(1+G199)*((1-1)/(MaxLevel-1))^(2^F199),0),D199+(E199-D199)*(1+G199)*((1-1)/(MaxLevel-1))^(2^F199)))</f>
        <v>1.5</v>
      </c>
      <c r="I199" s="12">
        <f>IF(OR(D199="",E199=""),"",IF(IFERROR(INDEX(Stats!$D:$D,MATCH($C199,Stats!$A:$A,0)),FALSE),ROUND(D199+(E199-D199)*(1+G199)*((2-1)/(MaxLevel-1))^(2^F199),0),D199+(E199-D199)*(1+G199)*((2-1)/(MaxLevel-1))^(2^F199)))</f>
        <v>1.6666666666666667</v>
      </c>
      <c r="J199" s="12">
        <f>IF(OR(D199="",E199=""),"",IF(IFERROR(INDEX(Stats!$D:$D,MATCH($C199,Stats!$A:$A,0)),FALSE),ROUND(D199+(E199-D199)*(1+G199)*((3-1)/(MaxLevel-1))^(2^F199),0),D199+(E199-D199)*(1+G199)*((3-1)/(MaxLevel-1))^(2^F199)))</f>
        <v>1.7357022603955159</v>
      </c>
      <c r="K199" s="12">
        <f>IF(OR(D199="",E199=""),"",IF(IFERROR(INDEX(Stats!$D:$D,MATCH($C199,Stats!$A:$A,0)),FALSE),ROUND(D199+(E199-D199)*(1+G199)*((4-1)/(MaxLevel-1))^(2^F199),0),D199+(E199-D199)*(1+G199)*((4-1)/(MaxLevel-1))^(2^F199)))</f>
        <v>1.7886751345948129</v>
      </c>
      <c r="L199" s="12">
        <f>IF(OR(D199="",E199=""),"",IF(IFERROR(INDEX(Stats!$D:$D,MATCH($C199,Stats!$A:$A,0)),FALSE),ROUND(D199+(E199-D199)*(1+G199)*((5-1)/(MaxLevel-1))^(2^F199),0),D199+(E199-D199)*(1+G199)*((5-1)/(MaxLevel-1))^(2^F199)))</f>
        <v>1.8333333333333333</v>
      </c>
      <c r="M199" s="12">
        <f>IF(OR(D199="",E199=""),"",IF(IFERROR(INDEX(Stats!$D:$D,MATCH($C199,Stats!$A:$A,0)),FALSE),ROUND(D199+(E199-D199)*(1+G199)*((6-1)/(MaxLevel-1))^(2^F199),0),D199+(E199-D199)*(1+G199)*((6-1)/(MaxLevel-1))^(2^F199)))</f>
        <v>1.8726779962499649</v>
      </c>
      <c r="N199" s="12">
        <f>IF(OR(D199="",E199=""),"",IF(IFERROR(INDEX(Stats!$D:$D,MATCH($C199,Stats!$A:$A,0)),FALSE),ROUND(D199+(E199-D199)*(1+G199)*((7-1)/(MaxLevel-1))^(2^F199),0),D199+(E199-D199)*(1+G199)*((7-1)/(MaxLevel-1))^(2^F199)))</f>
        <v>1.9082482904638631</v>
      </c>
      <c r="O199" s="12">
        <f>IF(OR(D199="",E199=""),"",IF(IFERROR(INDEX(Stats!$D:$D,MATCH($C199,Stats!$A:$A,0)),FALSE),ROUND(D199+(E199-D199)*(1+G199)*((8-1)/(MaxLevel-1))^(2^F199),0),D199+(E199-D199)*(1+G199)*((8-1)/(MaxLevel-1))^(2^F199)))</f>
        <v>1.9409585518440984</v>
      </c>
      <c r="P199" s="12">
        <f>IF(OR(D199="",E199=""),"",IF(IFERROR(INDEX(Stats!$D:$D,MATCH($C199,Stats!$A:$A,0)),FALSE),ROUND(D199+(E199-D199)*(1+G199)*((9-1)/(MaxLevel-1))^(2^F199),0),D199+(E199-D199)*(1+G199)*((9-1)/(MaxLevel-1))^(2^F199)))</f>
        <v>1.9714045207910318</v>
      </c>
      <c r="Q199" s="12">
        <f>IF(OR(D199="",E199=""),"",IF(IFERROR(INDEX(Stats!$D:$D,MATCH($C199,Stats!$A:$A,0)),FALSE),ROUND(D199+(E199-D199)*(1+G199)*((10-1)/(MaxLevel-1))^(2^F199),0),D199+(E199-D199)*(1+G199)*((10-1)/(MaxLevel-1))^(2^F199)))</f>
        <v>2</v>
      </c>
    </row>
    <row r="200" spans="1:17" x14ac:dyDescent="0.25">
      <c r="A200" s="4" t="s">
        <v>185</v>
      </c>
      <c r="B200" s="19" t="s">
        <v>225</v>
      </c>
      <c r="C200" s="4" t="s">
        <v>40</v>
      </c>
      <c r="D200" s="5">
        <v>20</v>
      </c>
      <c r="E200" s="5">
        <v>100</v>
      </c>
      <c r="F200" s="5">
        <v>1</v>
      </c>
      <c r="G200" s="5">
        <v>0.1</v>
      </c>
      <c r="H200" s="12">
        <f>IF(OR(D200="",E200=""),"",IF(IFERROR(INDEX(Stats!$D:$D,MATCH($C200,Stats!$A:$A,0)),FALSE),ROUND(D200+(E200-D200)*(1+G200)*((1-1)/(MaxLevel-1))^(2^F200),0),D200+(E200-D200)*(1+G200)*((1-1)/(MaxLevel-1))^(2^F200)))</f>
        <v>20</v>
      </c>
      <c r="I200" s="12">
        <f>IF(OR(D200="",E200=""),"",IF(IFERROR(INDEX(Stats!$D:$D,MATCH($C200,Stats!$A:$A,0)),FALSE),ROUND(D200+(E200-D200)*(1+G200)*((2-1)/(MaxLevel-1))^(2^F200),0),D200+(E200-D200)*(1+G200)*((2-1)/(MaxLevel-1))^(2^F200)))</f>
        <v>21</v>
      </c>
      <c r="J200" s="12">
        <f>IF(OR(D200="",E200=""),"",IF(IFERROR(INDEX(Stats!$D:$D,MATCH($C200,Stats!$A:$A,0)),FALSE),ROUND(D200+(E200-D200)*(1+G200)*((3-1)/(MaxLevel-1))^(2^F200),0),D200+(E200-D200)*(1+G200)*((3-1)/(MaxLevel-1))^(2^F200)))</f>
        <v>24</v>
      </c>
      <c r="K200" s="12">
        <f>IF(OR(D200="",E200=""),"",IF(IFERROR(INDEX(Stats!$D:$D,MATCH($C200,Stats!$A:$A,0)),FALSE),ROUND(D200+(E200-D200)*(1+G200)*((4-1)/(MaxLevel-1))^(2^F200),0),D200+(E200-D200)*(1+G200)*((4-1)/(MaxLevel-1))^(2^F200)))</f>
        <v>30</v>
      </c>
      <c r="L200" s="12">
        <f>IF(OR(D200="",E200=""),"",IF(IFERROR(INDEX(Stats!$D:$D,MATCH($C200,Stats!$A:$A,0)),FALSE),ROUND(D200+(E200-D200)*(1+G200)*((5-1)/(MaxLevel-1))^(2^F200),0),D200+(E200-D200)*(1+G200)*((5-1)/(MaxLevel-1))^(2^F200)))</f>
        <v>37</v>
      </c>
      <c r="M200" s="12">
        <f>IF(OR(D200="",E200=""),"",IF(IFERROR(INDEX(Stats!$D:$D,MATCH($C200,Stats!$A:$A,0)),FALSE),ROUND(D200+(E200-D200)*(1+G200)*((6-1)/(MaxLevel-1))^(2^F200),0),D200+(E200-D200)*(1+G200)*((6-1)/(MaxLevel-1))^(2^F200)))</f>
        <v>47</v>
      </c>
      <c r="N200" s="12">
        <f>IF(OR(D200="",E200=""),"",IF(IFERROR(INDEX(Stats!$D:$D,MATCH($C200,Stats!$A:$A,0)),FALSE),ROUND(D200+(E200-D200)*(1+G200)*((7-1)/(MaxLevel-1))^(2^F200),0),D200+(E200-D200)*(1+G200)*((7-1)/(MaxLevel-1))^(2^F200)))</f>
        <v>59</v>
      </c>
      <c r="O200" s="12">
        <f>IF(OR(D200="",E200=""),"",IF(IFERROR(INDEX(Stats!$D:$D,MATCH($C200,Stats!$A:$A,0)),FALSE),ROUND(D200+(E200-D200)*(1+G200)*((8-1)/(MaxLevel-1))^(2^F200),0),D200+(E200-D200)*(1+G200)*((8-1)/(MaxLevel-1))^(2^F200)))</f>
        <v>73</v>
      </c>
      <c r="P200" s="12">
        <f>IF(OR(D200="",E200=""),"",IF(IFERROR(INDEX(Stats!$D:$D,MATCH($C200,Stats!$A:$A,0)),FALSE),ROUND(D200+(E200-D200)*(1+G200)*((9-1)/(MaxLevel-1))^(2^F200),0),D200+(E200-D200)*(1+G200)*((9-1)/(MaxLevel-1))^(2^F200)))</f>
        <v>90</v>
      </c>
      <c r="Q200" s="12">
        <f>IF(OR(D200="",E200=""),"",IF(IFERROR(INDEX(Stats!$D:$D,MATCH($C200,Stats!$A:$A,0)),FALSE),ROUND(D200+(E200-D200)*(1+G200)*((10-1)/(MaxLevel-1))^(2^F200),0),D200+(E200-D200)*(1+G200)*((10-1)/(MaxLevel-1))^(2^F200)))</f>
        <v>108</v>
      </c>
    </row>
    <row r="201" spans="1:17" x14ac:dyDescent="0.25">
      <c r="A201" s="4" t="s">
        <v>185</v>
      </c>
      <c r="B201" s="19" t="s">
        <v>225</v>
      </c>
      <c r="C201" s="4" t="s">
        <v>42</v>
      </c>
      <c r="D201" s="5"/>
      <c r="E201" s="5"/>
      <c r="F201" s="5"/>
      <c r="G201" s="5"/>
      <c r="H201" s="12" t="str">
        <f>IF(OR(D201="",E201=""),"",IF(IFERROR(INDEX(Stats!$D:$D,MATCH($C201,Stats!$A:$A,0)),FALSE),ROUND(D201+(E201-D201)*(1+G201)*((1-1)/(MaxLevel-1))^(2^F201),0),D201+(E201-D201)*(1+G201)*((1-1)/(MaxLevel-1))^(2^F201)))</f>
        <v/>
      </c>
      <c r="I201" s="12" t="str">
        <f>IF(OR(D201="",E201=""),"",IF(IFERROR(INDEX(Stats!$D:$D,MATCH($C201,Stats!$A:$A,0)),FALSE),ROUND(D201+(E201-D201)*(1+G201)*((2-1)/(MaxLevel-1))^(2^F201),0),D201+(E201-D201)*(1+G201)*((2-1)/(MaxLevel-1))^(2^F201)))</f>
        <v/>
      </c>
      <c r="J201" s="12" t="str">
        <f>IF(OR(D201="",E201=""),"",IF(IFERROR(INDEX(Stats!$D:$D,MATCH($C201,Stats!$A:$A,0)),FALSE),ROUND(D201+(E201-D201)*(1+G201)*((3-1)/(MaxLevel-1))^(2^F201),0),D201+(E201-D201)*(1+G201)*((3-1)/(MaxLevel-1))^(2^F201)))</f>
        <v/>
      </c>
      <c r="K201" s="12" t="str">
        <f>IF(OR(D201="",E201=""),"",IF(IFERROR(INDEX(Stats!$D:$D,MATCH($C201,Stats!$A:$A,0)),FALSE),ROUND(D201+(E201-D201)*(1+G201)*((4-1)/(MaxLevel-1))^(2^F201),0),D201+(E201-D201)*(1+G201)*((4-1)/(MaxLevel-1))^(2^F201)))</f>
        <v/>
      </c>
      <c r="L201" s="12" t="str">
        <f>IF(OR(D201="",E201=""),"",IF(IFERROR(INDEX(Stats!$D:$D,MATCH($C201,Stats!$A:$A,0)),FALSE),ROUND(D201+(E201-D201)*(1+G201)*((5-1)/(MaxLevel-1))^(2^F201),0),D201+(E201-D201)*(1+G201)*((5-1)/(MaxLevel-1))^(2^F201)))</f>
        <v/>
      </c>
      <c r="M201" s="12" t="str">
        <f>IF(OR(D201="",E201=""),"",IF(IFERROR(INDEX(Stats!$D:$D,MATCH($C201,Stats!$A:$A,0)),FALSE),ROUND(D201+(E201-D201)*(1+G201)*((6-1)/(MaxLevel-1))^(2^F201),0),D201+(E201-D201)*(1+G201)*((6-1)/(MaxLevel-1))^(2^F201)))</f>
        <v/>
      </c>
      <c r="N201" s="12" t="str">
        <f>IF(OR(D201="",E201=""),"",IF(IFERROR(INDEX(Stats!$D:$D,MATCH($C201,Stats!$A:$A,0)),FALSE),ROUND(D201+(E201-D201)*(1+G201)*((7-1)/(MaxLevel-1))^(2^F201),0),D201+(E201-D201)*(1+G201)*((7-1)/(MaxLevel-1))^(2^F201)))</f>
        <v/>
      </c>
      <c r="O201" s="12" t="str">
        <f>IF(OR(D201="",E201=""),"",IF(IFERROR(INDEX(Stats!$D:$D,MATCH($C201,Stats!$A:$A,0)),FALSE),ROUND(D201+(E201-D201)*(1+G201)*((8-1)/(MaxLevel-1))^(2^F201),0),D201+(E201-D201)*(1+G201)*((8-1)/(MaxLevel-1))^(2^F201)))</f>
        <v/>
      </c>
      <c r="P201" s="12" t="str">
        <f>IF(OR(D201="",E201=""),"",IF(IFERROR(INDEX(Stats!$D:$D,MATCH($C201,Stats!$A:$A,0)),FALSE),ROUND(D201+(E201-D201)*(1+G201)*((9-1)/(MaxLevel-1))^(2^F201),0),D201+(E201-D201)*(1+G201)*((9-1)/(MaxLevel-1))^(2^F201)))</f>
        <v/>
      </c>
      <c r="Q201" s="12" t="str">
        <f>IF(OR(D201="",E201=""),"",IF(IFERROR(INDEX(Stats!$D:$D,MATCH($C201,Stats!$A:$A,0)),FALSE),ROUND(D201+(E201-D201)*(1+G201)*((10-1)/(MaxLevel-1))^(2^F201),0),D201+(E201-D201)*(1+G201)*((10-1)/(MaxLevel-1))^(2^F201)))</f>
        <v/>
      </c>
    </row>
    <row r="202" spans="1:17" x14ac:dyDescent="0.25">
      <c r="A202" s="4" t="s">
        <v>185</v>
      </c>
      <c r="B202" s="19" t="s">
        <v>225</v>
      </c>
      <c r="C202" s="4" t="s">
        <v>44</v>
      </c>
      <c r="D202" s="5"/>
      <c r="E202" s="5"/>
      <c r="F202" s="5"/>
      <c r="G202" s="5"/>
      <c r="H202" s="12" t="str">
        <f>IF(OR(D202="",E202=""),"",IF(IFERROR(INDEX(Stats!$D:$D,MATCH($C202,Stats!$A:$A,0)),FALSE),ROUND(D202+(E202-D202)*(1+G202)*((1-1)/(MaxLevel-1))^(2^F202),0),D202+(E202-D202)*(1+G202)*((1-1)/(MaxLevel-1))^(2^F202)))</f>
        <v/>
      </c>
      <c r="I202" s="12" t="str">
        <f>IF(OR(D202="",E202=""),"",IF(IFERROR(INDEX(Stats!$D:$D,MATCH($C202,Stats!$A:$A,0)),FALSE),ROUND(D202+(E202-D202)*(1+G202)*((2-1)/(MaxLevel-1))^(2^F202),0),D202+(E202-D202)*(1+G202)*((2-1)/(MaxLevel-1))^(2^F202)))</f>
        <v/>
      </c>
      <c r="J202" s="12" t="str">
        <f>IF(OR(D202="",E202=""),"",IF(IFERROR(INDEX(Stats!$D:$D,MATCH($C202,Stats!$A:$A,0)),FALSE),ROUND(D202+(E202-D202)*(1+G202)*((3-1)/(MaxLevel-1))^(2^F202),0),D202+(E202-D202)*(1+G202)*((3-1)/(MaxLevel-1))^(2^F202)))</f>
        <v/>
      </c>
      <c r="K202" s="12" t="str">
        <f>IF(OR(D202="",E202=""),"",IF(IFERROR(INDEX(Stats!$D:$D,MATCH($C202,Stats!$A:$A,0)),FALSE),ROUND(D202+(E202-D202)*(1+G202)*((4-1)/(MaxLevel-1))^(2^F202),0),D202+(E202-D202)*(1+G202)*((4-1)/(MaxLevel-1))^(2^F202)))</f>
        <v/>
      </c>
      <c r="L202" s="12" t="str">
        <f>IF(OR(D202="",E202=""),"",IF(IFERROR(INDEX(Stats!$D:$D,MATCH($C202,Stats!$A:$A,0)),FALSE),ROUND(D202+(E202-D202)*(1+G202)*((5-1)/(MaxLevel-1))^(2^F202),0),D202+(E202-D202)*(1+G202)*((5-1)/(MaxLevel-1))^(2^F202)))</f>
        <v/>
      </c>
      <c r="M202" s="12" t="str">
        <f>IF(OR(D202="",E202=""),"",IF(IFERROR(INDEX(Stats!$D:$D,MATCH($C202,Stats!$A:$A,0)),FALSE),ROUND(D202+(E202-D202)*(1+G202)*((6-1)/(MaxLevel-1))^(2^F202),0),D202+(E202-D202)*(1+G202)*((6-1)/(MaxLevel-1))^(2^F202)))</f>
        <v/>
      </c>
      <c r="N202" s="12" t="str">
        <f>IF(OR(D202="",E202=""),"",IF(IFERROR(INDEX(Stats!$D:$D,MATCH($C202,Stats!$A:$A,0)),FALSE),ROUND(D202+(E202-D202)*(1+G202)*((7-1)/(MaxLevel-1))^(2^F202),0),D202+(E202-D202)*(1+G202)*((7-1)/(MaxLevel-1))^(2^F202)))</f>
        <v/>
      </c>
      <c r="O202" s="12" t="str">
        <f>IF(OR(D202="",E202=""),"",IF(IFERROR(INDEX(Stats!$D:$D,MATCH($C202,Stats!$A:$A,0)),FALSE),ROUND(D202+(E202-D202)*(1+G202)*((8-1)/(MaxLevel-1))^(2^F202),0),D202+(E202-D202)*(1+G202)*((8-1)/(MaxLevel-1))^(2^F202)))</f>
        <v/>
      </c>
      <c r="P202" s="12" t="str">
        <f>IF(OR(D202="",E202=""),"",IF(IFERROR(INDEX(Stats!$D:$D,MATCH($C202,Stats!$A:$A,0)),FALSE),ROUND(D202+(E202-D202)*(1+G202)*((9-1)/(MaxLevel-1))^(2^F202),0),D202+(E202-D202)*(1+G202)*((9-1)/(MaxLevel-1))^(2^F202)))</f>
        <v/>
      </c>
      <c r="Q202" s="12" t="str">
        <f>IF(OR(D202="",E202=""),"",IF(IFERROR(INDEX(Stats!$D:$D,MATCH($C202,Stats!$A:$A,0)),FALSE),ROUND(D202+(E202-D202)*(1+G202)*((10-1)/(MaxLevel-1))^(2^F202),0),D202+(E202-D202)*(1+G202)*((10-1)/(MaxLevel-1))^(2^F202)))</f>
        <v/>
      </c>
    </row>
    <row r="203" spans="1:17" x14ac:dyDescent="0.25">
      <c r="A203" s="4" t="s">
        <v>185</v>
      </c>
      <c r="B203" s="19" t="s">
        <v>225</v>
      </c>
      <c r="C203" s="4" t="s">
        <v>46</v>
      </c>
      <c r="D203" s="5"/>
      <c r="E203" s="5"/>
      <c r="F203" s="5"/>
      <c r="G203" s="5"/>
      <c r="H203" s="12" t="str">
        <f>IF(OR(D203="",E203=""),"",IF(IFERROR(INDEX(Stats!$D:$D,MATCH($C203,Stats!$A:$A,0)),FALSE),ROUND(D203+(E203-D203)*(1+G203)*((1-1)/(MaxLevel-1))^(2^F203),0),D203+(E203-D203)*(1+G203)*((1-1)/(MaxLevel-1))^(2^F203)))</f>
        <v/>
      </c>
      <c r="I203" s="12" t="str">
        <f>IF(OR(D203="",E203=""),"",IF(IFERROR(INDEX(Stats!$D:$D,MATCH($C203,Stats!$A:$A,0)),FALSE),ROUND(D203+(E203-D203)*(1+G203)*((2-1)/(MaxLevel-1))^(2^F203),0),D203+(E203-D203)*(1+G203)*((2-1)/(MaxLevel-1))^(2^F203)))</f>
        <v/>
      </c>
      <c r="J203" s="12" t="str">
        <f>IF(OR(D203="",E203=""),"",IF(IFERROR(INDEX(Stats!$D:$D,MATCH($C203,Stats!$A:$A,0)),FALSE),ROUND(D203+(E203-D203)*(1+G203)*((3-1)/(MaxLevel-1))^(2^F203),0),D203+(E203-D203)*(1+G203)*((3-1)/(MaxLevel-1))^(2^F203)))</f>
        <v/>
      </c>
      <c r="K203" s="12" t="str">
        <f>IF(OR(D203="",E203=""),"",IF(IFERROR(INDEX(Stats!$D:$D,MATCH($C203,Stats!$A:$A,0)),FALSE),ROUND(D203+(E203-D203)*(1+G203)*((4-1)/(MaxLevel-1))^(2^F203),0),D203+(E203-D203)*(1+G203)*((4-1)/(MaxLevel-1))^(2^F203)))</f>
        <v/>
      </c>
      <c r="L203" s="12" t="str">
        <f>IF(OR(D203="",E203=""),"",IF(IFERROR(INDEX(Stats!$D:$D,MATCH($C203,Stats!$A:$A,0)),FALSE),ROUND(D203+(E203-D203)*(1+G203)*((5-1)/(MaxLevel-1))^(2^F203),0),D203+(E203-D203)*(1+G203)*((5-1)/(MaxLevel-1))^(2^F203)))</f>
        <v/>
      </c>
      <c r="M203" s="12" t="str">
        <f>IF(OR(D203="",E203=""),"",IF(IFERROR(INDEX(Stats!$D:$D,MATCH($C203,Stats!$A:$A,0)),FALSE),ROUND(D203+(E203-D203)*(1+G203)*((6-1)/(MaxLevel-1))^(2^F203),0),D203+(E203-D203)*(1+G203)*((6-1)/(MaxLevel-1))^(2^F203)))</f>
        <v/>
      </c>
      <c r="N203" s="12" t="str">
        <f>IF(OR(D203="",E203=""),"",IF(IFERROR(INDEX(Stats!$D:$D,MATCH($C203,Stats!$A:$A,0)),FALSE),ROUND(D203+(E203-D203)*(1+G203)*((7-1)/(MaxLevel-1))^(2^F203),0),D203+(E203-D203)*(1+G203)*((7-1)/(MaxLevel-1))^(2^F203)))</f>
        <v/>
      </c>
      <c r="O203" s="12" t="str">
        <f>IF(OR(D203="",E203=""),"",IF(IFERROR(INDEX(Stats!$D:$D,MATCH($C203,Stats!$A:$A,0)),FALSE),ROUND(D203+(E203-D203)*(1+G203)*((8-1)/(MaxLevel-1))^(2^F203),0),D203+(E203-D203)*(1+G203)*((8-1)/(MaxLevel-1))^(2^F203)))</f>
        <v/>
      </c>
      <c r="P203" s="12" t="str">
        <f>IF(OR(D203="",E203=""),"",IF(IFERROR(INDEX(Stats!$D:$D,MATCH($C203,Stats!$A:$A,0)),FALSE),ROUND(D203+(E203-D203)*(1+G203)*((9-1)/(MaxLevel-1))^(2^F203),0),D203+(E203-D203)*(1+G203)*((9-1)/(MaxLevel-1))^(2^F203)))</f>
        <v/>
      </c>
      <c r="Q203" s="12" t="str">
        <f>IF(OR(D203="",E203=""),"",IF(IFERROR(INDEX(Stats!$D:$D,MATCH($C203,Stats!$A:$A,0)),FALSE),ROUND(D203+(E203-D203)*(1+G203)*((10-1)/(MaxLevel-1))^(2^F203),0),D203+(E203-D203)*(1+G203)*((10-1)/(MaxLevel-1))^(2^F203)))</f>
        <v/>
      </c>
    </row>
    <row r="204" spans="1:17" x14ac:dyDescent="0.25">
      <c r="A204" s="4" t="s">
        <v>185</v>
      </c>
      <c r="B204" s="19" t="s">
        <v>225</v>
      </c>
      <c r="C204" s="4" t="s">
        <v>48</v>
      </c>
      <c r="D204" s="5"/>
      <c r="E204" s="5"/>
      <c r="F204" s="5"/>
      <c r="G204" s="5"/>
      <c r="H204" s="12" t="str">
        <f>IF(OR(D204="",E204=""),"",IF(IFERROR(INDEX(Stats!$D:$D,MATCH($C204,Stats!$A:$A,0)),FALSE),ROUND(D204+(E204-D204)*(1+G204)*((1-1)/(MaxLevel-1))^(2^F204),0),D204+(E204-D204)*(1+G204)*((1-1)/(MaxLevel-1))^(2^F204)))</f>
        <v/>
      </c>
      <c r="I204" s="12" t="str">
        <f>IF(OR(D204="",E204=""),"",IF(IFERROR(INDEX(Stats!$D:$D,MATCH($C204,Stats!$A:$A,0)),FALSE),ROUND(D204+(E204-D204)*(1+G204)*((2-1)/(MaxLevel-1))^(2^F204),0),D204+(E204-D204)*(1+G204)*((2-1)/(MaxLevel-1))^(2^F204)))</f>
        <v/>
      </c>
      <c r="J204" s="12" t="str">
        <f>IF(OR(D204="",E204=""),"",IF(IFERROR(INDEX(Stats!$D:$D,MATCH($C204,Stats!$A:$A,0)),FALSE),ROUND(D204+(E204-D204)*(1+G204)*((3-1)/(MaxLevel-1))^(2^F204),0),D204+(E204-D204)*(1+G204)*((3-1)/(MaxLevel-1))^(2^F204)))</f>
        <v/>
      </c>
      <c r="K204" s="12" t="str">
        <f>IF(OR(D204="",E204=""),"",IF(IFERROR(INDEX(Stats!$D:$D,MATCH($C204,Stats!$A:$A,0)),FALSE),ROUND(D204+(E204-D204)*(1+G204)*((4-1)/(MaxLevel-1))^(2^F204),0),D204+(E204-D204)*(1+G204)*((4-1)/(MaxLevel-1))^(2^F204)))</f>
        <v/>
      </c>
      <c r="L204" s="12" t="str">
        <f>IF(OR(D204="",E204=""),"",IF(IFERROR(INDEX(Stats!$D:$D,MATCH($C204,Stats!$A:$A,0)),FALSE),ROUND(D204+(E204-D204)*(1+G204)*((5-1)/(MaxLevel-1))^(2^F204),0),D204+(E204-D204)*(1+G204)*((5-1)/(MaxLevel-1))^(2^F204)))</f>
        <v/>
      </c>
      <c r="M204" s="12" t="str">
        <f>IF(OR(D204="",E204=""),"",IF(IFERROR(INDEX(Stats!$D:$D,MATCH($C204,Stats!$A:$A,0)),FALSE),ROUND(D204+(E204-D204)*(1+G204)*((6-1)/(MaxLevel-1))^(2^F204),0),D204+(E204-D204)*(1+G204)*((6-1)/(MaxLevel-1))^(2^F204)))</f>
        <v/>
      </c>
      <c r="N204" s="12" t="str">
        <f>IF(OR(D204="",E204=""),"",IF(IFERROR(INDEX(Stats!$D:$D,MATCH($C204,Stats!$A:$A,0)),FALSE),ROUND(D204+(E204-D204)*(1+G204)*((7-1)/(MaxLevel-1))^(2^F204),0),D204+(E204-D204)*(1+G204)*((7-1)/(MaxLevel-1))^(2^F204)))</f>
        <v/>
      </c>
      <c r="O204" s="12" t="str">
        <f>IF(OR(D204="",E204=""),"",IF(IFERROR(INDEX(Stats!$D:$D,MATCH($C204,Stats!$A:$A,0)),FALSE),ROUND(D204+(E204-D204)*(1+G204)*((8-1)/(MaxLevel-1))^(2^F204),0),D204+(E204-D204)*(1+G204)*((8-1)/(MaxLevel-1))^(2^F204)))</f>
        <v/>
      </c>
      <c r="P204" s="12" t="str">
        <f>IF(OR(D204="",E204=""),"",IF(IFERROR(INDEX(Stats!$D:$D,MATCH($C204,Stats!$A:$A,0)),FALSE),ROUND(D204+(E204-D204)*(1+G204)*((9-1)/(MaxLevel-1))^(2^F204),0),D204+(E204-D204)*(1+G204)*((9-1)/(MaxLevel-1))^(2^F204)))</f>
        <v/>
      </c>
      <c r="Q204" s="12" t="str">
        <f>IF(OR(D204="",E204=""),"",IF(IFERROR(INDEX(Stats!$D:$D,MATCH($C204,Stats!$A:$A,0)),FALSE),ROUND(D204+(E204-D204)*(1+G204)*((10-1)/(MaxLevel-1))^(2^F204),0),D204+(E204-D204)*(1+G204)*((10-1)/(MaxLevel-1))^(2^F204)))</f>
        <v/>
      </c>
    </row>
    <row r="205" spans="1:17" x14ac:dyDescent="0.25">
      <c r="A205" s="4" t="s">
        <v>185</v>
      </c>
      <c r="B205" s="19" t="s">
        <v>225</v>
      </c>
      <c r="C205" s="4" t="s">
        <v>50</v>
      </c>
      <c r="D205" s="5"/>
      <c r="E205" s="5"/>
      <c r="F205" s="5"/>
      <c r="G205" s="5"/>
      <c r="H205" s="12" t="str">
        <f>IF(OR(D205="",E205=""),"",IF(IFERROR(INDEX(Stats!$D:$D,MATCH($C205,Stats!$A:$A,0)),FALSE),ROUND(D205+(E205-D205)*(1+G205)*((1-1)/(MaxLevel-1))^(2^F205),0),D205+(E205-D205)*(1+G205)*((1-1)/(MaxLevel-1))^(2^F205)))</f>
        <v/>
      </c>
      <c r="I205" s="12" t="str">
        <f>IF(OR(D205="",E205=""),"",IF(IFERROR(INDEX(Stats!$D:$D,MATCH($C205,Stats!$A:$A,0)),FALSE),ROUND(D205+(E205-D205)*(1+G205)*((2-1)/(MaxLevel-1))^(2^F205),0),D205+(E205-D205)*(1+G205)*((2-1)/(MaxLevel-1))^(2^F205)))</f>
        <v/>
      </c>
      <c r="J205" s="12" t="str">
        <f>IF(OR(D205="",E205=""),"",IF(IFERROR(INDEX(Stats!$D:$D,MATCH($C205,Stats!$A:$A,0)),FALSE),ROUND(D205+(E205-D205)*(1+G205)*((3-1)/(MaxLevel-1))^(2^F205),0),D205+(E205-D205)*(1+G205)*((3-1)/(MaxLevel-1))^(2^F205)))</f>
        <v/>
      </c>
      <c r="K205" s="12" t="str">
        <f>IF(OR(D205="",E205=""),"",IF(IFERROR(INDEX(Stats!$D:$D,MATCH($C205,Stats!$A:$A,0)),FALSE),ROUND(D205+(E205-D205)*(1+G205)*((4-1)/(MaxLevel-1))^(2^F205),0),D205+(E205-D205)*(1+G205)*((4-1)/(MaxLevel-1))^(2^F205)))</f>
        <v/>
      </c>
      <c r="L205" s="12" t="str">
        <f>IF(OR(D205="",E205=""),"",IF(IFERROR(INDEX(Stats!$D:$D,MATCH($C205,Stats!$A:$A,0)),FALSE),ROUND(D205+(E205-D205)*(1+G205)*((5-1)/(MaxLevel-1))^(2^F205),0),D205+(E205-D205)*(1+G205)*((5-1)/(MaxLevel-1))^(2^F205)))</f>
        <v/>
      </c>
      <c r="M205" s="12" t="str">
        <f>IF(OR(D205="",E205=""),"",IF(IFERROR(INDEX(Stats!$D:$D,MATCH($C205,Stats!$A:$A,0)),FALSE),ROUND(D205+(E205-D205)*(1+G205)*((6-1)/(MaxLevel-1))^(2^F205),0),D205+(E205-D205)*(1+G205)*((6-1)/(MaxLevel-1))^(2^F205)))</f>
        <v/>
      </c>
      <c r="N205" s="12" t="str">
        <f>IF(OR(D205="",E205=""),"",IF(IFERROR(INDEX(Stats!$D:$D,MATCH($C205,Stats!$A:$A,0)),FALSE),ROUND(D205+(E205-D205)*(1+G205)*((7-1)/(MaxLevel-1))^(2^F205),0),D205+(E205-D205)*(1+G205)*((7-1)/(MaxLevel-1))^(2^F205)))</f>
        <v/>
      </c>
      <c r="O205" s="12" t="str">
        <f>IF(OR(D205="",E205=""),"",IF(IFERROR(INDEX(Stats!$D:$D,MATCH($C205,Stats!$A:$A,0)),FALSE),ROUND(D205+(E205-D205)*(1+G205)*((8-1)/(MaxLevel-1))^(2^F205),0),D205+(E205-D205)*(1+G205)*((8-1)/(MaxLevel-1))^(2^F205)))</f>
        <v/>
      </c>
      <c r="P205" s="12" t="str">
        <f>IF(OR(D205="",E205=""),"",IF(IFERROR(INDEX(Stats!$D:$D,MATCH($C205,Stats!$A:$A,0)),FALSE),ROUND(D205+(E205-D205)*(1+G205)*((9-1)/(MaxLevel-1))^(2^F205),0),D205+(E205-D205)*(1+G205)*((9-1)/(MaxLevel-1))^(2^F205)))</f>
        <v/>
      </c>
      <c r="Q205" s="12" t="str">
        <f>IF(OR(D205="",E205=""),"",IF(IFERROR(INDEX(Stats!$D:$D,MATCH($C205,Stats!$A:$A,0)),FALSE),ROUND(D205+(E205-D205)*(1+G205)*((10-1)/(MaxLevel-1))^(2^F205),0),D205+(E205-D205)*(1+G205)*((10-1)/(MaxLevel-1))^(2^F205)))</f>
        <v/>
      </c>
    </row>
    <row r="206" spans="1:17" x14ac:dyDescent="0.25">
      <c r="A206" s="4" t="s">
        <v>185</v>
      </c>
      <c r="B206" s="19" t="s">
        <v>225</v>
      </c>
      <c r="C206" s="4" t="s">
        <v>52</v>
      </c>
      <c r="D206" s="5"/>
      <c r="E206" s="5"/>
      <c r="F206" s="5"/>
      <c r="G206" s="5"/>
      <c r="H206" s="12" t="str">
        <f>IF(OR(D206="",E206=""),"",IF(IFERROR(INDEX(Stats!$D:$D,MATCH($C206,Stats!$A:$A,0)),FALSE),ROUND(D206+(E206-D206)*(1+G206)*((1-1)/(MaxLevel-1))^(2^F206),0),D206+(E206-D206)*(1+G206)*((1-1)/(MaxLevel-1))^(2^F206)))</f>
        <v/>
      </c>
      <c r="I206" s="12" t="str">
        <f>IF(OR(D206="",E206=""),"",IF(IFERROR(INDEX(Stats!$D:$D,MATCH($C206,Stats!$A:$A,0)),FALSE),ROUND(D206+(E206-D206)*(1+G206)*((2-1)/(MaxLevel-1))^(2^F206),0),D206+(E206-D206)*(1+G206)*((2-1)/(MaxLevel-1))^(2^F206)))</f>
        <v/>
      </c>
      <c r="J206" s="12" t="str">
        <f>IF(OR(D206="",E206=""),"",IF(IFERROR(INDEX(Stats!$D:$D,MATCH($C206,Stats!$A:$A,0)),FALSE),ROUND(D206+(E206-D206)*(1+G206)*((3-1)/(MaxLevel-1))^(2^F206),0),D206+(E206-D206)*(1+G206)*((3-1)/(MaxLevel-1))^(2^F206)))</f>
        <v/>
      </c>
      <c r="K206" s="12" t="str">
        <f>IF(OR(D206="",E206=""),"",IF(IFERROR(INDEX(Stats!$D:$D,MATCH($C206,Stats!$A:$A,0)),FALSE),ROUND(D206+(E206-D206)*(1+G206)*((4-1)/(MaxLevel-1))^(2^F206),0),D206+(E206-D206)*(1+G206)*((4-1)/(MaxLevel-1))^(2^F206)))</f>
        <v/>
      </c>
      <c r="L206" s="12" t="str">
        <f>IF(OR(D206="",E206=""),"",IF(IFERROR(INDEX(Stats!$D:$D,MATCH($C206,Stats!$A:$A,0)),FALSE),ROUND(D206+(E206-D206)*(1+G206)*((5-1)/(MaxLevel-1))^(2^F206),0),D206+(E206-D206)*(1+G206)*((5-1)/(MaxLevel-1))^(2^F206)))</f>
        <v/>
      </c>
      <c r="M206" s="12" t="str">
        <f>IF(OR(D206="",E206=""),"",IF(IFERROR(INDEX(Stats!$D:$D,MATCH($C206,Stats!$A:$A,0)),FALSE),ROUND(D206+(E206-D206)*(1+G206)*((6-1)/(MaxLevel-1))^(2^F206),0),D206+(E206-D206)*(1+G206)*((6-1)/(MaxLevel-1))^(2^F206)))</f>
        <v/>
      </c>
      <c r="N206" s="12" t="str">
        <f>IF(OR(D206="",E206=""),"",IF(IFERROR(INDEX(Stats!$D:$D,MATCH($C206,Stats!$A:$A,0)),FALSE),ROUND(D206+(E206-D206)*(1+G206)*((7-1)/(MaxLevel-1))^(2^F206),0),D206+(E206-D206)*(1+G206)*((7-1)/(MaxLevel-1))^(2^F206)))</f>
        <v/>
      </c>
      <c r="O206" s="12" t="str">
        <f>IF(OR(D206="",E206=""),"",IF(IFERROR(INDEX(Stats!$D:$D,MATCH($C206,Stats!$A:$A,0)),FALSE),ROUND(D206+(E206-D206)*(1+G206)*((8-1)/(MaxLevel-1))^(2^F206),0),D206+(E206-D206)*(1+G206)*((8-1)/(MaxLevel-1))^(2^F206)))</f>
        <v/>
      </c>
      <c r="P206" s="12" t="str">
        <f>IF(OR(D206="",E206=""),"",IF(IFERROR(INDEX(Stats!$D:$D,MATCH($C206,Stats!$A:$A,0)),FALSE),ROUND(D206+(E206-D206)*(1+G206)*((9-1)/(MaxLevel-1))^(2^F206),0),D206+(E206-D206)*(1+G206)*((9-1)/(MaxLevel-1))^(2^F206)))</f>
        <v/>
      </c>
      <c r="Q206" s="12" t="str">
        <f>IF(OR(D206="",E206=""),"",IF(IFERROR(INDEX(Stats!$D:$D,MATCH($C206,Stats!$A:$A,0)),FALSE),ROUND(D206+(E206-D206)*(1+G206)*((10-1)/(MaxLevel-1))^(2^F206),0),D206+(E206-D206)*(1+G206)*((10-1)/(MaxLevel-1))^(2^F206)))</f>
        <v/>
      </c>
    </row>
    <row r="207" spans="1:17" x14ac:dyDescent="0.25">
      <c r="A207" s="4" t="s">
        <v>185</v>
      </c>
      <c r="B207" s="19" t="s">
        <v>225</v>
      </c>
      <c r="C207" s="4" t="s">
        <v>54</v>
      </c>
      <c r="D207" s="5"/>
      <c r="E207" s="5"/>
      <c r="F207" s="5"/>
      <c r="G207" s="5"/>
      <c r="H207" s="12" t="str">
        <f>IF(OR(D207="",E207=""),"",IF(IFERROR(INDEX(Stats!$D:$D,MATCH($C207,Stats!$A:$A,0)),FALSE),ROUND(D207+(E207-D207)*(1+G207)*((1-1)/(MaxLevel-1))^(2^F207),0),D207+(E207-D207)*(1+G207)*((1-1)/(MaxLevel-1))^(2^F207)))</f>
        <v/>
      </c>
      <c r="I207" s="12" t="str">
        <f>IF(OR(D207="",E207=""),"",IF(IFERROR(INDEX(Stats!$D:$D,MATCH($C207,Stats!$A:$A,0)),FALSE),ROUND(D207+(E207-D207)*(1+G207)*((2-1)/(MaxLevel-1))^(2^F207),0),D207+(E207-D207)*(1+G207)*((2-1)/(MaxLevel-1))^(2^F207)))</f>
        <v/>
      </c>
      <c r="J207" s="12" t="str">
        <f>IF(OR(D207="",E207=""),"",IF(IFERROR(INDEX(Stats!$D:$D,MATCH($C207,Stats!$A:$A,0)),FALSE),ROUND(D207+(E207-D207)*(1+G207)*((3-1)/(MaxLevel-1))^(2^F207),0),D207+(E207-D207)*(1+G207)*((3-1)/(MaxLevel-1))^(2^F207)))</f>
        <v/>
      </c>
      <c r="K207" s="12" t="str">
        <f>IF(OR(D207="",E207=""),"",IF(IFERROR(INDEX(Stats!$D:$D,MATCH($C207,Stats!$A:$A,0)),FALSE),ROUND(D207+(E207-D207)*(1+G207)*((4-1)/(MaxLevel-1))^(2^F207),0),D207+(E207-D207)*(1+G207)*((4-1)/(MaxLevel-1))^(2^F207)))</f>
        <v/>
      </c>
      <c r="L207" s="12" t="str">
        <f>IF(OR(D207="",E207=""),"",IF(IFERROR(INDEX(Stats!$D:$D,MATCH($C207,Stats!$A:$A,0)),FALSE),ROUND(D207+(E207-D207)*(1+G207)*((5-1)/(MaxLevel-1))^(2^F207),0),D207+(E207-D207)*(1+G207)*((5-1)/(MaxLevel-1))^(2^F207)))</f>
        <v/>
      </c>
      <c r="M207" s="12" t="str">
        <f>IF(OR(D207="",E207=""),"",IF(IFERROR(INDEX(Stats!$D:$D,MATCH($C207,Stats!$A:$A,0)),FALSE),ROUND(D207+(E207-D207)*(1+G207)*((6-1)/(MaxLevel-1))^(2^F207),0),D207+(E207-D207)*(1+G207)*((6-1)/(MaxLevel-1))^(2^F207)))</f>
        <v/>
      </c>
      <c r="N207" s="12" t="str">
        <f>IF(OR(D207="",E207=""),"",IF(IFERROR(INDEX(Stats!$D:$D,MATCH($C207,Stats!$A:$A,0)),FALSE),ROUND(D207+(E207-D207)*(1+G207)*((7-1)/(MaxLevel-1))^(2^F207),0),D207+(E207-D207)*(1+G207)*((7-1)/(MaxLevel-1))^(2^F207)))</f>
        <v/>
      </c>
      <c r="O207" s="12" t="str">
        <f>IF(OR(D207="",E207=""),"",IF(IFERROR(INDEX(Stats!$D:$D,MATCH($C207,Stats!$A:$A,0)),FALSE),ROUND(D207+(E207-D207)*(1+G207)*((8-1)/(MaxLevel-1))^(2^F207),0),D207+(E207-D207)*(1+G207)*((8-1)/(MaxLevel-1))^(2^F207)))</f>
        <v/>
      </c>
      <c r="P207" s="12" t="str">
        <f>IF(OR(D207="",E207=""),"",IF(IFERROR(INDEX(Stats!$D:$D,MATCH($C207,Stats!$A:$A,0)),FALSE),ROUND(D207+(E207-D207)*(1+G207)*((9-1)/(MaxLevel-1))^(2^F207),0),D207+(E207-D207)*(1+G207)*((9-1)/(MaxLevel-1))^(2^F207)))</f>
        <v/>
      </c>
      <c r="Q207" s="12" t="str">
        <f>IF(OR(D207="",E207=""),"",IF(IFERROR(INDEX(Stats!$D:$D,MATCH($C207,Stats!$A:$A,0)),FALSE),ROUND(D207+(E207-D207)*(1+G207)*((10-1)/(MaxLevel-1))^(2^F207),0),D207+(E207-D207)*(1+G207)*((10-1)/(MaxLevel-1))^(2^F207)))</f>
        <v/>
      </c>
    </row>
    <row r="208" spans="1:17" x14ac:dyDescent="0.25">
      <c r="A208" s="4" t="s">
        <v>185</v>
      </c>
      <c r="B208" s="19" t="s">
        <v>225</v>
      </c>
      <c r="C208" s="4" t="s">
        <v>56</v>
      </c>
      <c r="D208" s="5"/>
      <c r="E208" s="5"/>
      <c r="F208" s="5"/>
      <c r="G208" s="5"/>
      <c r="H208" s="12" t="str">
        <f>IF(OR(D208="",E208=""),"",IF(IFERROR(INDEX(Stats!$D:$D,MATCH($C208,Stats!$A:$A,0)),FALSE),ROUND(D208+(E208-D208)*(1+G208)*((1-1)/(MaxLevel-1))^(2^F208),0),D208+(E208-D208)*(1+G208)*((1-1)/(MaxLevel-1))^(2^F208)))</f>
        <v/>
      </c>
      <c r="I208" s="12" t="str">
        <f>IF(OR(D208="",E208=""),"",IF(IFERROR(INDEX(Stats!$D:$D,MATCH($C208,Stats!$A:$A,0)),FALSE),ROUND(D208+(E208-D208)*(1+G208)*((2-1)/(MaxLevel-1))^(2^F208),0),D208+(E208-D208)*(1+G208)*((2-1)/(MaxLevel-1))^(2^F208)))</f>
        <v/>
      </c>
      <c r="J208" s="12" t="str">
        <f>IF(OR(D208="",E208=""),"",IF(IFERROR(INDEX(Stats!$D:$D,MATCH($C208,Stats!$A:$A,0)),FALSE),ROUND(D208+(E208-D208)*(1+G208)*((3-1)/(MaxLevel-1))^(2^F208),0),D208+(E208-D208)*(1+G208)*((3-1)/(MaxLevel-1))^(2^F208)))</f>
        <v/>
      </c>
      <c r="K208" s="12" t="str">
        <f>IF(OR(D208="",E208=""),"",IF(IFERROR(INDEX(Stats!$D:$D,MATCH($C208,Stats!$A:$A,0)),FALSE),ROUND(D208+(E208-D208)*(1+G208)*((4-1)/(MaxLevel-1))^(2^F208),0),D208+(E208-D208)*(1+G208)*((4-1)/(MaxLevel-1))^(2^F208)))</f>
        <v/>
      </c>
      <c r="L208" s="12" t="str">
        <f>IF(OR(D208="",E208=""),"",IF(IFERROR(INDEX(Stats!$D:$D,MATCH($C208,Stats!$A:$A,0)),FALSE),ROUND(D208+(E208-D208)*(1+G208)*((5-1)/(MaxLevel-1))^(2^F208),0),D208+(E208-D208)*(1+G208)*((5-1)/(MaxLevel-1))^(2^F208)))</f>
        <v/>
      </c>
      <c r="M208" s="12" t="str">
        <f>IF(OR(D208="",E208=""),"",IF(IFERROR(INDEX(Stats!$D:$D,MATCH($C208,Stats!$A:$A,0)),FALSE),ROUND(D208+(E208-D208)*(1+G208)*((6-1)/(MaxLevel-1))^(2^F208),0),D208+(E208-D208)*(1+G208)*((6-1)/(MaxLevel-1))^(2^F208)))</f>
        <v/>
      </c>
      <c r="N208" s="12" t="str">
        <f>IF(OR(D208="",E208=""),"",IF(IFERROR(INDEX(Stats!$D:$D,MATCH($C208,Stats!$A:$A,0)),FALSE),ROUND(D208+(E208-D208)*(1+G208)*((7-1)/(MaxLevel-1))^(2^F208),0),D208+(E208-D208)*(1+G208)*((7-1)/(MaxLevel-1))^(2^F208)))</f>
        <v/>
      </c>
      <c r="O208" s="12" t="str">
        <f>IF(OR(D208="",E208=""),"",IF(IFERROR(INDEX(Stats!$D:$D,MATCH($C208,Stats!$A:$A,0)),FALSE),ROUND(D208+(E208-D208)*(1+G208)*((8-1)/(MaxLevel-1))^(2^F208),0),D208+(E208-D208)*(1+G208)*((8-1)/(MaxLevel-1))^(2^F208)))</f>
        <v/>
      </c>
      <c r="P208" s="12" t="str">
        <f>IF(OR(D208="",E208=""),"",IF(IFERROR(INDEX(Stats!$D:$D,MATCH($C208,Stats!$A:$A,0)),FALSE),ROUND(D208+(E208-D208)*(1+G208)*((9-1)/(MaxLevel-1))^(2^F208),0),D208+(E208-D208)*(1+G208)*((9-1)/(MaxLevel-1))^(2^F208)))</f>
        <v/>
      </c>
      <c r="Q208" s="12" t="str">
        <f>IF(OR(D208="",E208=""),"",IF(IFERROR(INDEX(Stats!$D:$D,MATCH($C208,Stats!$A:$A,0)),FALSE),ROUND(D208+(E208-D208)*(1+G208)*((10-1)/(MaxLevel-1))^(2^F208),0),D208+(E208-D208)*(1+G208)*((10-1)/(MaxLevel-1))^(2^F208)))</f>
        <v/>
      </c>
    </row>
    <row r="209" spans="1:17" x14ac:dyDescent="0.25">
      <c r="A209" s="4" t="s">
        <v>185</v>
      </c>
      <c r="B209" s="19" t="s">
        <v>225</v>
      </c>
      <c r="C209" s="4" t="s">
        <v>58</v>
      </c>
      <c r="D209" s="5"/>
      <c r="E209" s="5"/>
      <c r="F209" s="5"/>
      <c r="G209" s="5"/>
      <c r="H209" s="12" t="str">
        <f>IF(OR(D209="",E209=""),"",IF(IFERROR(INDEX(Stats!$D:$D,MATCH($C209,Stats!$A:$A,0)),FALSE),ROUND(D209+(E209-D209)*(1+G209)*((1-1)/(MaxLevel-1))^(2^F209),0),D209+(E209-D209)*(1+G209)*((1-1)/(MaxLevel-1))^(2^F209)))</f>
        <v/>
      </c>
      <c r="I209" s="12" t="str">
        <f>IF(OR(D209="",E209=""),"",IF(IFERROR(INDEX(Stats!$D:$D,MATCH($C209,Stats!$A:$A,0)),FALSE),ROUND(D209+(E209-D209)*(1+G209)*((2-1)/(MaxLevel-1))^(2^F209),0),D209+(E209-D209)*(1+G209)*((2-1)/(MaxLevel-1))^(2^F209)))</f>
        <v/>
      </c>
      <c r="J209" s="12" t="str">
        <f>IF(OR(D209="",E209=""),"",IF(IFERROR(INDEX(Stats!$D:$D,MATCH($C209,Stats!$A:$A,0)),FALSE),ROUND(D209+(E209-D209)*(1+G209)*((3-1)/(MaxLevel-1))^(2^F209),0),D209+(E209-D209)*(1+G209)*((3-1)/(MaxLevel-1))^(2^F209)))</f>
        <v/>
      </c>
      <c r="K209" s="12" t="str">
        <f>IF(OR(D209="",E209=""),"",IF(IFERROR(INDEX(Stats!$D:$D,MATCH($C209,Stats!$A:$A,0)),FALSE),ROUND(D209+(E209-D209)*(1+G209)*((4-1)/(MaxLevel-1))^(2^F209),0),D209+(E209-D209)*(1+G209)*((4-1)/(MaxLevel-1))^(2^F209)))</f>
        <v/>
      </c>
      <c r="L209" s="12" t="str">
        <f>IF(OR(D209="",E209=""),"",IF(IFERROR(INDEX(Stats!$D:$D,MATCH($C209,Stats!$A:$A,0)),FALSE),ROUND(D209+(E209-D209)*(1+G209)*((5-1)/(MaxLevel-1))^(2^F209),0),D209+(E209-D209)*(1+G209)*((5-1)/(MaxLevel-1))^(2^F209)))</f>
        <v/>
      </c>
      <c r="M209" s="12" t="str">
        <f>IF(OR(D209="",E209=""),"",IF(IFERROR(INDEX(Stats!$D:$D,MATCH($C209,Stats!$A:$A,0)),FALSE),ROUND(D209+(E209-D209)*(1+G209)*((6-1)/(MaxLevel-1))^(2^F209),0),D209+(E209-D209)*(1+G209)*((6-1)/(MaxLevel-1))^(2^F209)))</f>
        <v/>
      </c>
      <c r="N209" s="12" t="str">
        <f>IF(OR(D209="",E209=""),"",IF(IFERROR(INDEX(Stats!$D:$D,MATCH($C209,Stats!$A:$A,0)),FALSE),ROUND(D209+(E209-D209)*(1+G209)*((7-1)/(MaxLevel-1))^(2^F209),0),D209+(E209-D209)*(1+G209)*((7-1)/(MaxLevel-1))^(2^F209)))</f>
        <v/>
      </c>
      <c r="O209" s="12" t="str">
        <f>IF(OR(D209="",E209=""),"",IF(IFERROR(INDEX(Stats!$D:$D,MATCH($C209,Stats!$A:$A,0)),FALSE),ROUND(D209+(E209-D209)*(1+G209)*((8-1)/(MaxLevel-1))^(2^F209),0),D209+(E209-D209)*(1+G209)*((8-1)/(MaxLevel-1))^(2^F209)))</f>
        <v/>
      </c>
      <c r="P209" s="12" t="str">
        <f>IF(OR(D209="",E209=""),"",IF(IFERROR(INDEX(Stats!$D:$D,MATCH($C209,Stats!$A:$A,0)),FALSE),ROUND(D209+(E209-D209)*(1+G209)*((9-1)/(MaxLevel-1))^(2^F209),0),D209+(E209-D209)*(1+G209)*((9-1)/(MaxLevel-1))^(2^F209)))</f>
        <v/>
      </c>
      <c r="Q209" s="12" t="str">
        <f>IF(OR(D209="",E209=""),"",IF(IFERROR(INDEX(Stats!$D:$D,MATCH($C209,Stats!$A:$A,0)),FALSE),ROUND(D209+(E209-D209)*(1+G209)*((10-1)/(MaxLevel-1))^(2^F209),0),D209+(E209-D209)*(1+G209)*((10-1)/(MaxLevel-1))^(2^F209)))</f>
        <v/>
      </c>
    </row>
    <row r="210" spans="1:17" x14ac:dyDescent="0.25">
      <c r="A210" s="4" t="s">
        <v>185</v>
      </c>
      <c r="B210" s="19" t="s">
        <v>225</v>
      </c>
      <c r="C210" s="4" t="s">
        <v>60</v>
      </c>
      <c r="D210" s="5"/>
      <c r="E210" s="5"/>
      <c r="F210" s="5"/>
      <c r="G210" s="5"/>
      <c r="H210" s="12" t="str">
        <f>IF(OR(D210="",E210=""),"",IF(IFERROR(INDEX(Stats!$D:$D,MATCH($C210,Stats!$A:$A,0)),FALSE),ROUND(D210+(E210-D210)*(1+G210)*((1-1)/(MaxLevel-1))^(2^F210),0),D210+(E210-D210)*(1+G210)*((1-1)/(MaxLevel-1))^(2^F210)))</f>
        <v/>
      </c>
      <c r="I210" s="12" t="str">
        <f>IF(OR(D210="",E210=""),"",IF(IFERROR(INDEX(Stats!$D:$D,MATCH($C210,Stats!$A:$A,0)),FALSE),ROUND(D210+(E210-D210)*(1+G210)*((2-1)/(MaxLevel-1))^(2^F210),0),D210+(E210-D210)*(1+G210)*((2-1)/(MaxLevel-1))^(2^F210)))</f>
        <v/>
      </c>
      <c r="J210" s="12" t="str">
        <f>IF(OR(D210="",E210=""),"",IF(IFERROR(INDEX(Stats!$D:$D,MATCH($C210,Stats!$A:$A,0)),FALSE),ROUND(D210+(E210-D210)*(1+G210)*((3-1)/(MaxLevel-1))^(2^F210),0),D210+(E210-D210)*(1+G210)*((3-1)/(MaxLevel-1))^(2^F210)))</f>
        <v/>
      </c>
      <c r="K210" s="12" t="str">
        <f>IF(OR(D210="",E210=""),"",IF(IFERROR(INDEX(Stats!$D:$D,MATCH($C210,Stats!$A:$A,0)),FALSE),ROUND(D210+(E210-D210)*(1+G210)*((4-1)/(MaxLevel-1))^(2^F210),0),D210+(E210-D210)*(1+G210)*((4-1)/(MaxLevel-1))^(2^F210)))</f>
        <v/>
      </c>
      <c r="L210" s="12" t="str">
        <f>IF(OR(D210="",E210=""),"",IF(IFERROR(INDEX(Stats!$D:$D,MATCH($C210,Stats!$A:$A,0)),FALSE),ROUND(D210+(E210-D210)*(1+G210)*((5-1)/(MaxLevel-1))^(2^F210),0),D210+(E210-D210)*(1+G210)*((5-1)/(MaxLevel-1))^(2^F210)))</f>
        <v/>
      </c>
      <c r="M210" s="12" t="str">
        <f>IF(OR(D210="",E210=""),"",IF(IFERROR(INDEX(Stats!$D:$D,MATCH($C210,Stats!$A:$A,0)),FALSE),ROUND(D210+(E210-D210)*(1+G210)*((6-1)/(MaxLevel-1))^(2^F210),0),D210+(E210-D210)*(1+G210)*((6-1)/(MaxLevel-1))^(2^F210)))</f>
        <v/>
      </c>
      <c r="N210" s="12" t="str">
        <f>IF(OR(D210="",E210=""),"",IF(IFERROR(INDEX(Stats!$D:$D,MATCH($C210,Stats!$A:$A,0)),FALSE),ROUND(D210+(E210-D210)*(1+G210)*((7-1)/(MaxLevel-1))^(2^F210),0),D210+(E210-D210)*(1+G210)*((7-1)/(MaxLevel-1))^(2^F210)))</f>
        <v/>
      </c>
      <c r="O210" s="12" t="str">
        <f>IF(OR(D210="",E210=""),"",IF(IFERROR(INDEX(Stats!$D:$D,MATCH($C210,Stats!$A:$A,0)),FALSE),ROUND(D210+(E210-D210)*(1+G210)*((8-1)/(MaxLevel-1))^(2^F210),0),D210+(E210-D210)*(1+G210)*((8-1)/(MaxLevel-1))^(2^F210)))</f>
        <v/>
      </c>
      <c r="P210" s="12" t="str">
        <f>IF(OR(D210="",E210=""),"",IF(IFERROR(INDEX(Stats!$D:$D,MATCH($C210,Stats!$A:$A,0)),FALSE),ROUND(D210+(E210-D210)*(1+G210)*((9-1)/(MaxLevel-1))^(2^F210),0),D210+(E210-D210)*(1+G210)*((9-1)/(MaxLevel-1))^(2^F210)))</f>
        <v/>
      </c>
      <c r="Q210" s="12" t="str">
        <f>IF(OR(D210="",E210=""),"",IF(IFERROR(INDEX(Stats!$D:$D,MATCH($C210,Stats!$A:$A,0)),FALSE),ROUND(D210+(E210-D210)*(1+G210)*((10-1)/(MaxLevel-1))^(2^F210),0),D210+(E210-D210)*(1+G210)*((10-1)/(MaxLevel-1))^(2^F210)))</f>
        <v/>
      </c>
    </row>
    <row r="211" spans="1:17" x14ac:dyDescent="0.25">
      <c r="A211" s="4" t="s">
        <v>185</v>
      </c>
      <c r="B211" s="19" t="s">
        <v>226</v>
      </c>
      <c r="C211" s="4" t="s">
        <v>24</v>
      </c>
      <c r="D211" s="5">
        <v>0</v>
      </c>
      <c r="E211" s="5">
        <v>10000</v>
      </c>
      <c r="F211" s="5">
        <v>1</v>
      </c>
      <c r="G211" s="5">
        <v>0</v>
      </c>
      <c r="H211" s="12">
        <f>IF(OR(D211="",E211=""),"",IF(IFERROR(INDEX(Stats!$D:$D,MATCH($C211,Stats!$A:$A,0)),FALSE),ROUND(D211+(E211-D211)*(1+G211)*((1-1)/(MaxLevel-1))^(2^F211),0),D211+(E211-D211)*(1+G211)*((1-1)/(MaxLevel-1))^(2^F211)))</f>
        <v>0</v>
      </c>
      <c r="I211" s="12">
        <f>IF(OR(D211="",E211=""),"",IF(IFERROR(INDEX(Stats!$D:$D,MATCH($C211,Stats!$A:$A,0)),FALSE),ROUND(D211+(E211-D211)*(1+G211)*((2-1)/(MaxLevel-1))^(2^F211),0),D211+(E211-D211)*(1+G211)*((2-1)/(MaxLevel-1))^(2^F211)))</f>
        <v>123</v>
      </c>
      <c r="J211" s="12">
        <f>IF(OR(D211="",E211=""),"",IF(IFERROR(INDEX(Stats!$D:$D,MATCH($C211,Stats!$A:$A,0)),FALSE),ROUND(D211+(E211-D211)*(1+G211)*((3-1)/(MaxLevel-1))^(2^F211),0),D211+(E211-D211)*(1+G211)*((3-1)/(MaxLevel-1))^(2^F211)))</f>
        <v>494</v>
      </c>
      <c r="K211" s="12">
        <f>IF(OR(D211="",E211=""),"",IF(IFERROR(INDEX(Stats!$D:$D,MATCH($C211,Stats!$A:$A,0)),FALSE),ROUND(D211+(E211-D211)*(1+G211)*((4-1)/(MaxLevel-1))^(2^F211),0),D211+(E211-D211)*(1+G211)*((4-1)/(MaxLevel-1))^(2^F211)))</f>
        <v>1111</v>
      </c>
      <c r="L211" s="12">
        <f>IF(OR(D211="",E211=""),"",IF(IFERROR(INDEX(Stats!$D:$D,MATCH($C211,Stats!$A:$A,0)),FALSE),ROUND(D211+(E211-D211)*(1+G211)*((5-1)/(MaxLevel-1))^(2^F211),0),D211+(E211-D211)*(1+G211)*((5-1)/(MaxLevel-1))^(2^F211)))</f>
        <v>1975</v>
      </c>
      <c r="M211" s="12">
        <f>IF(OR(D211="",E211=""),"",IF(IFERROR(INDEX(Stats!$D:$D,MATCH($C211,Stats!$A:$A,0)),FALSE),ROUND(D211+(E211-D211)*(1+G211)*((6-1)/(MaxLevel-1))^(2^F211),0),D211+(E211-D211)*(1+G211)*((6-1)/(MaxLevel-1))^(2^F211)))</f>
        <v>3086</v>
      </c>
      <c r="N211" s="12">
        <f>IF(OR(D211="",E211=""),"",IF(IFERROR(INDEX(Stats!$D:$D,MATCH($C211,Stats!$A:$A,0)),FALSE),ROUND(D211+(E211-D211)*(1+G211)*((7-1)/(MaxLevel-1))^(2^F211),0),D211+(E211-D211)*(1+G211)*((7-1)/(MaxLevel-1))^(2^F211)))</f>
        <v>4444</v>
      </c>
      <c r="O211" s="12">
        <f>IF(OR(D211="",E211=""),"",IF(IFERROR(INDEX(Stats!$D:$D,MATCH($C211,Stats!$A:$A,0)),FALSE),ROUND(D211+(E211-D211)*(1+G211)*((8-1)/(MaxLevel-1))^(2^F211),0),D211+(E211-D211)*(1+G211)*((8-1)/(MaxLevel-1))^(2^F211)))</f>
        <v>6049</v>
      </c>
      <c r="P211" s="12">
        <f>IF(OR(D211="",E211=""),"",IF(IFERROR(INDEX(Stats!$D:$D,MATCH($C211,Stats!$A:$A,0)),FALSE),ROUND(D211+(E211-D211)*(1+G211)*((9-1)/(MaxLevel-1))^(2^F211),0),D211+(E211-D211)*(1+G211)*((9-1)/(MaxLevel-1))^(2^F211)))</f>
        <v>7901</v>
      </c>
      <c r="Q211" s="12">
        <f>IF(OR(D211="",E211=""),"",IF(IFERROR(INDEX(Stats!$D:$D,MATCH($C211,Stats!$A:$A,0)),FALSE),ROUND(D211+(E211-D211)*(1+G211)*((10-1)/(MaxLevel-1))^(2^F211),0),D211+(E211-D211)*(1+G211)*((10-1)/(MaxLevel-1))^(2^F211)))</f>
        <v>10000</v>
      </c>
    </row>
    <row r="212" spans="1:17" x14ac:dyDescent="0.25">
      <c r="A212" s="4" t="s">
        <v>185</v>
      </c>
      <c r="B212" s="19" t="s">
        <v>226</v>
      </c>
      <c r="C212" s="4" t="s">
        <v>26</v>
      </c>
      <c r="D212" s="5">
        <v>25</v>
      </c>
      <c r="E212" s="5">
        <v>150</v>
      </c>
      <c r="F212" s="5">
        <v>0</v>
      </c>
      <c r="G212" s="5">
        <v>0</v>
      </c>
      <c r="H212" s="12">
        <f>IF(OR(D212="",E212=""),"",IF(IFERROR(INDEX(Stats!$D:$D,MATCH($C212,Stats!$A:$A,0)),FALSE),ROUND(D212+(E212-D212)*(1+G212)*((1-1)/(MaxLevel-1))^(2^F212),0),D212+(E212-D212)*(1+G212)*((1-1)/(MaxLevel-1))^(2^F212)))</f>
        <v>25</v>
      </c>
      <c r="I212" s="12">
        <f>IF(OR(D212="",E212=""),"",IF(IFERROR(INDEX(Stats!$D:$D,MATCH($C212,Stats!$A:$A,0)),FALSE),ROUND(D212+(E212-D212)*(1+G212)*((2-1)/(MaxLevel-1))^(2^F212),0),D212+(E212-D212)*(1+G212)*((2-1)/(MaxLevel-1))^(2^F212)))</f>
        <v>39</v>
      </c>
      <c r="J212" s="12">
        <f>IF(OR(D212="",E212=""),"",IF(IFERROR(INDEX(Stats!$D:$D,MATCH($C212,Stats!$A:$A,0)),FALSE),ROUND(D212+(E212-D212)*(1+G212)*((3-1)/(MaxLevel-1))^(2^F212),0),D212+(E212-D212)*(1+G212)*((3-1)/(MaxLevel-1))^(2^F212)))</f>
        <v>53</v>
      </c>
      <c r="K212" s="12">
        <f>IF(OR(D212="",E212=""),"",IF(IFERROR(INDEX(Stats!$D:$D,MATCH($C212,Stats!$A:$A,0)),FALSE),ROUND(D212+(E212-D212)*(1+G212)*((4-1)/(MaxLevel-1))^(2^F212),0),D212+(E212-D212)*(1+G212)*((4-1)/(MaxLevel-1))^(2^F212)))</f>
        <v>67</v>
      </c>
      <c r="L212" s="12">
        <f>IF(OR(D212="",E212=""),"",IF(IFERROR(INDEX(Stats!$D:$D,MATCH($C212,Stats!$A:$A,0)),FALSE),ROUND(D212+(E212-D212)*(1+G212)*((5-1)/(MaxLevel-1))^(2^F212),0),D212+(E212-D212)*(1+G212)*((5-1)/(MaxLevel-1))^(2^F212)))</f>
        <v>81</v>
      </c>
      <c r="M212" s="12">
        <f>IF(OR(D212="",E212=""),"",IF(IFERROR(INDEX(Stats!$D:$D,MATCH($C212,Stats!$A:$A,0)),FALSE),ROUND(D212+(E212-D212)*(1+G212)*((6-1)/(MaxLevel-1))^(2^F212),0),D212+(E212-D212)*(1+G212)*((6-1)/(MaxLevel-1))^(2^F212)))</f>
        <v>94</v>
      </c>
      <c r="N212" s="12">
        <f>IF(OR(D212="",E212=""),"",IF(IFERROR(INDEX(Stats!$D:$D,MATCH($C212,Stats!$A:$A,0)),FALSE),ROUND(D212+(E212-D212)*(1+G212)*((7-1)/(MaxLevel-1))^(2^F212),0),D212+(E212-D212)*(1+G212)*((7-1)/(MaxLevel-1))^(2^F212)))</f>
        <v>108</v>
      </c>
      <c r="O212" s="12">
        <f>IF(OR(D212="",E212=""),"",IF(IFERROR(INDEX(Stats!$D:$D,MATCH($C212,Stats!$A:$A,0)),FALSE),ROUND(D212+(E212-D212)*(1+G212)*((8-1)/(MaxLevel-1))^(2^F212),0),D212+(E212-D212)*(1+G212)*((8-1)/(MaxLevel-1))^(2^F212)))</f>
        <v>122</v>
      </c>
      <c r="P212" s="12">
        <f>IF(OR(D212="",E212=""),"",IF(IFERROR(INDEX(Stats!$D:$D,MATCH($C212,Stats!$A:$A,0)),FALSE),ROUND(D212+(E212-D212)*(1+G212)*((9-1)/(MaxLevel-1))^(2^F212),0),D212+(E212-D212)*(1+G212)*((9-1)/(MaxLevel-1))^(2^F212)))</f>
        <v>136</v>
      </c>
      <c r="Q212" s="12">
        <f>IF(OR(D212="",E212=""),"",IF(IFERROR(INDEX(Stats!$D:$D,MATCH($C212,Stats!$A:$A,0)),FALSE),ROUND(D212+(E212-D212)*(1+G212)*((10-1)/(MaxLevel-1))^(2^F212),0),D212+(E212-D212)*(1+G212)*((10-1)/(MaxLevel-1))^(2^F212)))</f>
        <v>150</v>
      </c>
    </row>
    <row r="213" spans="1:17" x14ac:dyDescent="0.25">
      <c r="A213" s="4" t="s">
        <v>185</v>
      </c>
      <c r="B213" s="19" t="s">
        <v>226</v>
      </c>
      <c r="C213" s="4" t="s">
        <v>28</v>
      </c>
      <c r="D213" s="5">
        <v>300</v>
      </c>
      <c r="E213" s="5">
        <v>1200</v>
      </c>
      <c r="F213" s="5">
        <v>0</v>
      </c>
      <c r="G213" s="5">
        <v>-0.1</v>
      </c>
      <c r="H213" s="12">
        <f>IF(OR(D213="",E213=""),"",IF(IFERROR(INDEX(Stats!$D:$D,MATCH($C213,Stats!$A:$A,0)),FALSE),ROUND(D213+(E213-D213)*(1+G213)*((1-1)/(MaxLevel-1))^(2^F213),0),D213+(E213-D213)*(1+G213)*((1-1)/(MaxLevel-1))^(2^F213)))</f>
        <v>300</v>
      </c>
      <c r="I213" s="12">
        <f>IF(OR(D213="",E213=""),"",IF(IFERROR(INDEX(Stats!$D:$D,MATCH($C213,Stats!$A:$A,0)),FALSE),ROUND(D213+(E213-D213)*(1+G213)*((2-1)/(MaxLevel-1))^(2^F213),0),D213+(E213-D213)*(1+G213)*((2-1)/(MaxLevel-1))^(2^F213)))</f>
        <v>390</v>
      </c>
      <c r="J213" s="12">
        <f>IF(OR(D213="",E213=""),"",IF(IFERROR(INDEX(Stats!$D:$D,MATCH($C213,Stats!$A:$A,0)),FALSE),ROUND(D213+(E213-D213)*(1+G213)*((3-1)/(MaxLevel-1))^(2^F213),0),D213+(E213-D213)*(1+G213)*((3-1)/(MaxLevel-1))^(2^F213)))</f>
        <v>480</v>
      </c>
      <c r="K213" s="12">
        <f>IF(OR(D213="",E213=""),"",IF(IFERROR(INDEX(Stats!$D:$D,MATCH($C213,Stats!$A:$A,0)),FALSE),ROUND(D213+(E213-D213)*(1+G213)*((4-1)/(MaxLevel-1))^(2^F213),0),D213+(E213-D213)*(1+G213)*((4-1)/(MaxLevel-1))^(2^F213)))</f>
        <v>570</v>
      </c>
      <c r="L213" s="12">
        <f>IF(OR(D213="",E213=""),"",IF(IFERROR(INDEX(Stats!$D:$D,MATCH($C213,Stats!$A:$A,0)),FALSE),ROUND(D213+(E213-D213)*(1+G213)*((5-1)/(MaxLevel-1))^(2^F213),0),D213+(E213-D213)*(1+G213)*((5-1)/(MaxLevel-1))^(2^F213)))</f>
        <v>660</v>
      </c>
      <c r="M213" s="12">
        <f>IF(OR(D213="",E213=""),"",IF(IFERROR(INDEX(Stats!$D:$D,MATCH($C213,Stats!$A:$A,0)),FALSE),ROUND(D213+(E213-D213)*(1+G213)*((6-1)/(MaxLevel-1))^(2^F213),0),D213+(E213-D213)*(1+G213)*((6-1)/(MaxLevel-1))^(2^F213)))</f>
        <v>750</v>
      </c>
      <c r="N213" s="12">
        <f>IF(OR(D213="",E213=""),"",IF(IFERROR(INDEX(Stats!$D:$D,MATCH($C213,Stats!$A:$A,0)),FALSE),ROUND(D213+(E213-D213)*(1+G213)*((7-1)/(MaxLevel-1))^(2^F213),0),D213+(E213-D213)*(1+G213)*((7-1)/(MaxLevel-1))^(2^F213)))</f>
        <v>840</v>
      </c>
      <c r="O213" s="12">
        <f>IF(OR(D213="",E213=""),"",IF(IFERROR(INDEX(Stats!$D:$D,MATCH($C213,Stats!$A:$A,0)),FALSE),ROUND(D213+(E213-D213)*(1+G213)*((8-1)/(MaxLevel-1))^(2^F213),0),D213+(E213-D213)*(1+G213)*((8-1)/(MaxLevel-1))^(2^F213)))</f>
        <v>930</v>
      </c>
      <c r="P213" s="12">
        <f>IF(OR(D213="",E213=""),"",IF(IFERROR(INDEX(Stats!$D:$D,MATCH($C213,Stats!$A:$A,0)),FALSE),ROUND(D213+(E213-D213)*(1+G213)*((9-1)/(MaxLevel-1))^(2^F213),0),D213+(E213-D213)*(1+G213)*((9-1)/(MaxLevel-1))^(2^F213)))</f>
        <v>1020</v>
      </c>
      <c r="Q213" s="12">
        <f>IF(OR(D213="",E213=""),"",IF(IFERROR(INDEX(Stats!$D:$D,MATCH($C213,Stats!$A:$A,0)),FALSE),ROUND(D213+(E213-D213)*(1+G213)*((10-1)/(MaxLevel-1))^(2^F213),0),D213+(E213-D213)*(1+G213)*((10-1)/(MaxLevel-1))^(2^F213)))</f>
        <v>1110</v>
      </c>
    </row>
    <row r="214" spans="1:17" x14ac:dyDescent="0.25">
      <c r="A214" s="4" t="s">
        <v>185</v>
      </c>
      <c r="B214" s="19" t="s">
        <v>226</v>
      </c>
      <c r="C214" s="4" t="s">
        <v>30</v>
      </c>
      <c r="D214" s="5">
        <v>25</v>
      </c>
      <c r="E214" s="5">
        <v>110</v>
      </c>
      <c r="F214" s="5">
        <v>0.5</v>
      </c>
      <c r="G214" s="5">
        <v>0</v>
      </c>
      <c r="H214" s="12">
        <f>IF(OR(D214="",E214=""),"",IF(IFERROR(INDEX(Stats!$D:$D,MATCH($C214,Stats!$A:$A,0)),FALSE),ROUND(D214+(E214-D214)*(1+G214)*((1-1)/(MaxLevel-1))^(2^F214),0),D214+(E214-D214)*(1+G214)*((1-1)/(MaxLevel-1))^(2^F214)))</f>
        <v>25</v>
      </c>
      <c r="I214" s="12">
        <f>IF(OR(D214="",E214=""),"",IF(IFERROR(INDEX(Stats!$D:$D,MATCH($C214,Stats!$A:$A,0)),FALSE),ROUND(D214+(E214-D214)*(1+G214)*((2-1)/(MaxLevel-1))^(2^F214),0),D214+(E214-D214)*(1+G214)*((2-1)/(MaxLevel-1))^(2^F214)))</f>
        <v>29</v>
      </c>
      <c r="J214" s="12">
        <f>IF(OR(D214="",E214=""),"",IF(IFERROR(INDEX(Stats!$D:$D,MATCH($C214,Stats!$A:$A,0)),FALSE),ROUND(D214+(E214-D214)*(1+G214)*((3-1)/(MaxLevel-1))^(2^F214),0),D214+(E214-D214)*(1+G214)*((3-1)/(MaxLevel-1))^(2^F214)))</f>
        <v>35</v>
      </c>
      <c r="K214" s="12">
        <f>IF(OR(D214="",E214=""),"",IF(IFERROR(INDEX(Stats!$D:$D,MATCH($C214,Stats!$A:$A,0)),FALSE),ROUND(D214+(E214-D214)*(1+G214)*((4-1)/(MaxLevel-1))^(2^F214),0),D214+(E214-D214)*(1+G214)*((4-1)/(MaxLevel-1))^(2^F214)))</f>
        <v>43</v>
      </c>
      <c r="L214" s="12">
        <f>IF(OR(D214="",E214=""),"",IF(IFERROR(INDEX(Stats!$D:$D,MATCH($C214,Stats!$A:$A,0)),FALSE),ROUND(D214+(E214-D214)*(1+G214)*((5-1)/(MaxLevel-1))^(2^F214),0),D214+(E214-D214)*(1+G214)*((5-1)/(MaxLevel-1))^(2^F214)))</f>
        <v>52</v>
      </c>
      <c r="M214" s="12">
        <f>IF(OR(D214="",E214=""),"",IF(IFERROR(INDEX(Stats!$D:$D,MATCH($C214,Stats!$A:$A,0)),FALSE),ROUND(D214+(E214-D214)*(1+G214)*((6-1)/(MaxLevel-1))^(2^F214),0),D214+(E214-D214)*(1+G214)*((6-1)/(MaxLevel-1))^(2^F214)))</f>
        <v>62</v>
      </c>
      <c r="N214" s="12">
        <f>IF(OR(D214="",E214=""),"",IF(IFERROR(INDEX(Stats!$D:$D,MATCH($C214,Stats!$A:$A,0)),FALSE),ROUND(D214+(E214-D214)*(1+G214)*((7-1)/(MaxLevel-1))^(2^F214),0),D214+(E214-D214)*(1+G214)*((7-1)/(MaxLevel-1))^(2^F214)))</f>
        <v>73</v>
      </c>
      <c r="O214" s="12">
        <f>IF(OR(D214="",E214=""),"",IF(IFERROR(INDEX(Stats!$D:$D,MATCH($C214,Stats!$A:$A,0)),FALSE),ROUND(D214+(E214-D214)*(1+G214)*((8-1)/(MaxLevel-1))^(2^F214),0),D214+(E214-D214)*(1+G214)*((8-1)/(MaxLevel-1))^(2^F214)))</f>
        <v>85</v>
      </c>
      <c r="P214" s="12">
        <f>IF(OR(D214="",E214=""),"",IF(IFERROR(INDEX(Stats!$D:$D,MATCH($C214,Stats!$A:$A,0)),FALSE),ROUND(D214+(E214-D214)*(1+G214)*((9-1)/(MaxLevel-1))^(2^F214),0),D214+(E214-D214)*(1+G214)*((9-1)/(MaxLevel-1))^(2^F214)))</f>
        <v>97</v>
      </c>
      <c r="Q214" s="12">
        <f>IF(OR(D214="",E214=""),"",IF(IFERROR(INDEX(Stats!$D:$D,MATCH($C214,Stats!$A:$A,0)),FALSE),ROUND(D214+(E214-D214)*(1+G214)*((10-1)/(MaxLevel-1))^(2^F214),0),D214+(E214-D214)*(1+G214)*((10-1)/(MaxLevel-1))^(2^F214)))</f>
        <v>110</v>
      </c>
    </row>
    <row r="215" spans="1:17" x14ac:dyDescent="0.25">
      <c r="A215" s="4" t="s">
        <v>185</v>
      </c>
      <c r="B215" s="19" t="s">
        <v>226</v>
      </c>
      <c r="C215" s="4" t="s">
        <v>32</v>
      </c>
      <c r="D215" s="5"/>
      <c r="E215" s="5"/>
      <c r="F215" s="5"/>
      <c r="G215" s="5"/>
      <c r="H215" s="12" t="str">
        <f>IF(OR(D215="",E215=""),"",IF(IFERROR(INDEX(Stats!$D:$D,MATCH($C215,Stats!$A:$A,0)),FALSE),ROUND(D215+(E215-D215)*(1+G215)*((1-1)/(MaxLevel-1))^(2^F215),0),D215+(E215-D215)*(1+G215)*((1-1)/(MaxLevel-1))^(2^F215)))</f>
        <v/>
      </c>
      <c r="I215" s="12" t="str">
        <f>IF(OR(D215="",E215=""),"",IF(IFERROR(INDEX(Stats!$D:$D,MATCH($C215,Stats!$A:$A,0)),FALSE),ROUND(D215+(E215-D215)*(1+G215)*((2-1)/(MaxLevel-1))^(2^F215),0),D215+(E215-D215)*(1+G215)*((2-1)/(MaxLevel-1))^(2^F215)))</f>
        <v/>
      </c>
      <c r="J215" s="12" t="str">
        <f>IF(OR(D215="",E215=""),"",IF(IFERROR(INDEX(Stats!$D:$D,MATCH($C215,Stats!$A:$A,0)),FALSE),ROUND(D215+(E215-D215)*(1+G215)*((3-1)/(MaxLevel-1))^(2^F215),0),D215+(E215-D215)*(1+G215)*((3-1)/(MaxLevel-1))^(2^F215)))</f>
        <v/>
      </c>
      <c r="K215" s="12" t="str">
        <f>IF(OR(D215="",E215=""),"",IF(IFERROR(INDEX(Stats!$D:$D,MATCH($C215,Stats!$A:$A,0)),FALSE),ROUND(D215+(E215-D215)*(1+G215)*((4-1)/(MaxLevel-1))^(2^F215),0),D215+(E215-D215)*(1+G215)*((4-1)/(MaxLevel-1))^(2^F215)))</f>
        <v/>
      </c>
      <c r="L215" s="12" t="str">
        <f>IF(OR(D215="",E215=""),"",IF(IFERROR(INDEX(Stats!$D:$D,MATCH($C215,Stats!$A:$A,0)),FALSE),ROUND(D215+(E215-D215)*(1+G215)*((5-1)/(MaxLevel-1))^(2^F215),0),D215+(E215-D215)*(1+G215)*((5-1)/(MaxLevel-1))^(2^F215)))</f>
        <v/>
      </c>
      <c r="M215" s="12" t="str">
        <f>IF(OR(D215="",E215=""),"",IF(IFERROR(INDEX(Stats!$D:$D,MATCH($C215,Stats!$A:$A,0)),FALSE),ROUND(D215+(E215-D215)*(1+G215)*((6-1)/(MaxLevel-1))^(2^F215),0),D215+(E215-D215)*(1+G215)*((6-1)/(MaxLevel-1))^(2^F215)))</f>
        <v/>
      </c>
      <c r="N215" s="12" t="str">
        <f>IF(OR(D215="",E215=""),"",IF(IFERROR(INDEX(Stats!$D:$D,MATCH($C215,Stats!$A:$A,0)),FALSE),ROUND(D215+(E215-D215)*(1+G215)*((7-1)/(MaxLevel-1))^(2^F215),0),D215+(E215-D215)*(1+G215)*((7-1)/(MaxLevel-1))^(2^F215)))</f>
        <v/>
      </c>
      <c r="O215" s="12" t="str">
        <f>IF(OR(D215="",E215=""),"",IF(IFERROR(INDEX(Stats!$D:$D,MATCH($C215,Stats!$A:$A,0)),FALSE),ROUND(D215+(E215-D215)*(1+G215)*((8-1)/(MaxLevel-1))^(2^F215),0),D215+(E215-D215)*(1+G215)*((8-1)/(MaxLevel-1))^(2^F215)))</f>
        <v/>
      </c>
      <c r="P215" s="12" t="str">
        <f>IF(OR(D215="",E215=""),"",IF(IFERROR(INDEX(Stats!$D:$D,MATCH($C215,Stats!$A:$A,0)),FALSE),ROUND(D215+(E215-D215)*(1+G215)*((9-1)/(MaxLevel-1))^(2^F215),0),D215+(E215-D215)*(1+G215)*((9-1)/(MaxLevel-1))^(2^F215)))</f>
        <v/>
      </c>
      <c r="Q215" s="12" t="str">
        <f>IF(OR(D215="",E215=""),"",IF(IFERROR(INDEX(Stats!$D:$D,MATCH($C215,Stats!$A:$A,0)),FALSE),ROUND(D215+(E215-D215)*(1+G215)*((10-1)/(MaxLevel-1))^(2^F215),0),D215+(E215-D215)*(1+G215)*((10-1)/(MaxLevel-1))^(2^F215)))</f>
        <v/>
      </c>
    </row>
    <row r="216" spans="1:17" x14ac:dyDescent="0.25">
      <c r="A216" s="4" t="s">
        <v>185</v>
      </c>
      <c r="B216" s="19" t="s">
        <v>226</v>
      </c>
      <c r="C216" s="4" t="s">
        <v>34</v>
      </c>
      <c r="D216" s="5"/>
      <c r="E216" s="5"/>
      <c r="F216" s="5"/>
      <c r="G216" s="5"/>
      <c r="H216" s="12" t="str">
        <f>IF(OR(D216="",E216=""),"",IF(IFERROR(INDEX(Stats!$D:$D,MATCH($C216,Stats!$A:$A,0)),FALSE),ROUND(D216+(E216-D216)*(1+G216)*((1-1)/(MaxLevel-1))^(2^F216),0),D216+(E216-D216)*(1+G216)*((1-1)/(MaxLevel-1))^(2^F216)))</f>
        <v/>
      </c>
      <c r="I216" s="12" t="str">
        <f>IF(OR(D216="",E216=""),"",IF(IFERROR(INDEX(Stats!$D:$D,MATCH($C216,Stats!$A:$A,0)),FALSE),ROUND(D216+(E216-D216)*(1+G216)*((2-1)/(MaxLevel-1))^(2^F216),0),D216+(E216-D216)*(1+G216)*((2-1)/(MaxLevel-1))^(2^F216)))</f>
        <v/>
      </c>
      <c r="J216" s="12" t="str">
        <f>IF(OR(D216="",E216=""),"",IF(IFERROR(INDEX(Stats!$D:$D,MATCH($C216,Stats!$A:$A,0)),FALSE),ROUND(D216+(E216-D216)*(1+G216)*((3-1)/(MaxLevel-1))^(2^F216),0),D216+(E216-D216)*(1+G216)*((3-1)/(MaxLevel-1))^(2^F216)))</f>
        <v/>
      </c>
      <c r="K216" s="12" t="str">
        <f>IF(OR(D216="",E216=""),"",IF(IFERROR(INDEX(Stats!$D:$D,MATCH($C216,Stats!$A:$A,0)),FALSE),ROUND(D216+(E216-D216)*(1+G216)*((4-1)/(MaxLevel-1))^(2^F216),0),D216+(E216-D216)*(1+G216)*((4-1)/(MaxLevel-1))^(2^F216)))</f>
        <v/>
      </c>
      <c r="L216" s="12" t="str">
        <f>IF(OR(D216="",E216=""),"",IF(IFERROR(INDEX(Stats!$D:$D,MATCH($C216,Stats!$A:$A,0)),FALSE),ROUND(D216+(E216-D216)*(1+G216)*((5-1)/(MaxLevel-1))^(2^F216),0),D216+(E216-D216)*(1+G216)*((5-1)/(MaxLevel-1))^(2^F216)))</f>
        <v/>
      </c>
      <c r="M216" s="12" t="str">
        <f>IF(OR(D216="",E216=""),"",IF(IFERROR(INDEX(Stats!$D:$D,MATCH($C216,Stats!$A:$A,0)),FALSE),ROUND(D216+(E216-D216)*(1+G216)*((6-1)/(MaxLevel-1))^(2^F216),0),D216+(E216-D216)*(1+G216)*((6-1)/(MaxLevel-1))^(2^F216)))</f>
        <v/>
      </c>
      <c r="N216" s="12" t="str">
        <f>IF(OR(D216="",E216=""),"",IF(IFERROR(INDEX(Stats!$D:$D,MATCH($C216,Stats!$A:$A,0)),FALSE),ROUND(D216+(E216-D216)*(1+G216)*((7-1)/(MaxLevel-1))^(2^F216),0),D216+(E216-D216)*(1+G216)*((7-1)/(MaxLevel-1))^(2^F216)))</f>
        <v/>
      </c>
      <c r="O216" s="12" t="str">
        <f>IF(OR(D216="",E216=""),"",IF(IFERROR(INDEX(Stats!$D:$D,MATCH($C216,Stats!$A:$A,0)),FALSE),ROUND(D216+(E216-D216)*(1+G216)*((8-1)/(MaxLevel-1))^(2^F216),0),D216+(E216-D216)*(1+G216)*((8-1)/(MaxLevel-1))^(2^F216)))</f>
        <v/>
      </c>
      <c r="P216" s="12" t="str">
        <f>IF(OR(D216="",E216=""),"",IF(IFERROR(INDEX(Stats!$D:$D,MATCH($C216,Stats!$A:$A,0)),FALSE),ROUND(D216+(E216-D216)*(1+G216)*((9-1)/(MaxLevel-1))^(2^F216),0),D216+(E216-D216)*(1+G216)*((9-1)/(MaxLevel-1))^(2^F216)))</f>
        <v/>
      </c>
      <c r="Q216" s="12" t="str">
        <f>IF(OR(D216="",E216=""),"",IF(IFERROR(INDEX(Stats!$D:$D,MATCH($C216,Stats!$A:$A,0)),FALSE),ROUND(D216+(E216-D216)*(1+G216)*((10-1)/(MaxLevel-1))^(2^F216),0),D216+(E216-D216)*(1+G216)*((10-1)/(MaxLevel-1))^(2^F216)))</f>
        <v/>
      </c>
    </row>
    <row r="217" spans="1:17" x14ac:dyDescent="0.25">
      <c r="A217" s="4" t="s">
        <v>185</v>
      </c>
      <c r="B217" s="19" t="s">
        <v>226</v>
      </c>
      <c r="C217" s="4" t="s">
        <v>36</v>
      </c>
      <c r="D217" s="5"/>
      <c r="E217" s="5"/>
      <c r="F217" s="5"/>
      <c r="G217" s="5"/>
      <c r="H217" s="12" t="str">
        <f>IF(OR(D217="",E217=""),"",IF(IFERROR(INDEX(Stats!$D:$D,MATCH($C217,Stats!$A:$A,0)),FALSE),ROUND(D217+(E217-D217)*(1+G217)*((1-1)/(MaxLevel-1))^(2^F217),0),D217+(E217-D217)*(1+G217)*((1-1)/(MaxLevel-1))^(2^F217)))</f>
        <v/>
      </c>
      <c r="I217" s="12" t="str">
        <f>IF(OR(D217="",E217=""),"",IF(IFERROR(INDEX(Stats!$D:$D,MATCH($C217,Stats!$A:$A,0)),FALSE),ROUND(D217+(E217-D217)*(1+G217)*((2-1)/(MaxLevel-1))^(2^F217),0),D217+(E217-D217)*(1+G217)*((2-1)/(MaxLevel-1))^(2^F217)))</f>
        <v/>
      </c>
      <c r="J217" s="12" t="str">
        <f>IF(OR(D217="",E217=""),"",IF(IFERROR(INDEX(Stats!$D:$D,MATCH($C217,Stats!$A:$A,0)),FALSE),ROUND(D217+(E217-D217)*(1+G217)*((3-1)/(MaxLevel-1))^(2^F217),0),D217+(E217-D217)*(1+G217)*((3-1)/(MaxLevel-1))^(2^F217)))</f>
        <v/>
      </c>
      <c r="K217" s="12" t="str">
        <f>IF(OR(D217="",E217=""),"",IF(IFERROR(INDEX(Stats!$D:$D,MATCH($C217,Stats!$A:$A,0)),FALSE),ROUND(D217+(E217-D217)*(1+G217)*((4-1)/(MaxLevel-1))^(2^F217),0),D217+(E217-D217)*(1+G217)*((4-1)/(MaxLevel-1))^(2^F217)))</f>
        <v/>
      </c>
      <c r="L217" s="12" t="str">
        <f>IF(OR(D217="",E217=""),"",IF(IFERROR(INDEX(Stats!$D:$D,MATCH($C217,Stats!$A:$A,0)),FALSE),ROUND(D217+(E217-D217)*(1+G217)*((5-1)/(MaxLevel-1))^(2^F217),0),D217+(E217-D217)*(1+G217)*((5-1)/(MaxLevel-1))^(2^F217)))</f>
        <v/>
      </c>
      <c r="M217" s="12" t="str">
        <f>IF(OR(D217="",E217=""),"",IF(IFERROR(INDEX(Stats!$D:$D,MATCH($C217,Stats!$A:$A,0)),FALSE),ROUND(D217+(E217-D217)*(1+G217)*((6-1)/(MaxLevel-1))^(2^F217),0),D217+(E217-D217)*(1+G217)*((6-1)/(MaxLevel-1))^(2^F217)))</f>
        <v/>
      </c>
      <c r="N217" s="12" t="str">
        <f>IF(OR(D217="",E217=""),"",IF(IFERROR(INDEX(Stats!$D:$D,MATCH($C217,Stats!$A:$A,0)),FALSE),ROUND(D217+(E217-D217)*(1+G217)*((7-1)/(MaxLevel-1))^(2^F217),0),D217+(E217-D217)*(1+G217)*((7-1)/(MaxLevel-1))^(2^F217)))</f>
        <v/>
      </c>
      <c r="O217" s="12" t="str">
        <f>IF(OR(D217="",E217=""),"",IF(IFERROR(INDEX(Stats!$D:$D,MATCH($C217,Stats!$A:$A,0)),FALSE),ROUND(D217+(E217-D217)*(1+G217)*((8-1)/(MaxLevel-1))^(2^F217),0),D217+(E217-D217)*(1+G217)*((8-1)/(MaxLevel-1))^(2^F217)))</f>
        <v/>
      </c>
      <c r="P217" s="12" t="str">
        <f>IF(OR(D217="",E217=""),"",IF(IFERROR(INDEX(Stats!$D:$D,MATCH($C217,Stats!$A:$A,0)),FALSE),ROUND(D217+(E217-D217)*(1+G217)*((9-1)/(MaxLevel-1))^(2^F217),0),D217+(E217-D217)*(1+G217)*((9-1)/(MaxLevel-1))^(2^F217)))</f>
        <v/>
      </c>
      <c r="Q217" s="12" t="str">
        <f>IF(OR(D217="",E217=""),"",IF(IFERROR(INDEX(Stats!$D:$D,MATCH($C217,Stats!$A:$A,0)),FALSE),ROUND(D217+(E217-D217)*(1+G217)*((10-1)/(MaxLevel-1))^(2^F217),0),D217+(E217-D217)*(1+G217)*((10-1)/(MaxLevel-1))^(2^F217)))</f>
        <v/>
      </c>
    </row>
    <row r="218" spans="1:17" x14ac:dyDescent="0.25">
      <c r="A218" s="4" t="s">
        <v>185</v>
      </c>
      <c r="B218" s="19" t="s">
        <v>226</v>
      </c>
      <c r="C218" s="4" t="s">
        <v>38</v>
      </c>
      <c r="D218" s="5"/>
      <c r="E218" s="5"/>
      <c r="F218" s="5"/>
      <c r="G218" s="5"/>
      <c r="H218" s="12" t="str">
        <f>IF(OR(D218="",E218=""),"",IF(IFERROR(INDEX(Stats!$D:$D,MATCH($C218,Stats!$A:$A,0)),FALSE),ROUND(D218+(E218-D218)*(1+G218)*((1-1)/(MaxLevel-1))^(2^F218),0),D218+(E218-D218)*(1+G218)*((1-1)/(MaxLevel-1))^(2^F218)))</f>
        <v/>
      </c>
      <c r="I218" s="12" t="str">
        <f>IF(OR(D218="",E218=""),"",IF(IFERROR(INDEX(Stats!$D:$D,MATCH($C218,Stats!$A:$A,0)),FALSE),ROUND(D218+(E218-D218)*(1+G218)*((2-1)/(MaxLevel-1))^(2^F218),0),D218+(E218-D218)*(1+G218)*((2-1)/(MaxLevel-1))^(2^F218)))</f>
        <v/>
      </c>
      <c r="J218" s="12" t="str">
        <f>IF(OR(D218="",E218=""),"",IF(IFERROR(INDEX(Stats!$D:$D,MATCH($C218,Stats!$A:$A,0)),FALSE),ROUND(D218+(E218-D218)*(1+G218)*((3-1)/(MaxLevel-1))^(2^F218),0),D218+(E218-D218)*(1+G218)*((3-1)/(MaxLevel-1))^(2^F218)))</f>
        <v/>
      </c>
      <c r="K218" s="12" t="str">
        <f>IF(OR(D218="",E218=""),"",IF(IFERROR(INDEX(Stats!$D:$D,MATCH($C218,Stats!$A:$A,0)),FALSE),ROUND(D218+(E218-D218)*(1+G218)*((4-1)/(MaxLevel-1))^(2^F218),0),D218+(E218-D218)*(1+G218)*((4-1)/(MaxLevel-1))^(2^F218)))</f>
        <v/>
      </c>
      <c r="L218" s="12" t="str">
        <f>IF(OR(D218="",E218=""),"",IF(IFERROR(INDEX(Stats!$D:$D,MATCH($C218,Stats!$A:$A,0)),FALSE),ROUND(D218+(E218-D218)*(1+G218)*((5-1)/(MaxLevel-1))^(2^F218),0),D218+(E218-D218)*(1+G218)*((5-1)/(MaxLevel-1))^(2^F218)))</f>
        <v/>
      </c>
      <c r="M218" s="12" t="str">
        <f>IF(OR(D218="",E218=""),"",IF(IFERROR(INDEX(Stats!$D:$D,MATCH($C218,Stats!$A:$A,0)),FALSE),ROUND(D218+(E218-D218)*(1+G218)*((6-1)/(MaxLevel-1))^(2^F218),0),D218+(E218-D218)*(1+G218)*((6-1)/(MaxLevel-1))^(2^F218)))</f>
        <v/>
      </c>
      <c r="N218" s="12" t="str">
        <f>IF(OR(D218="",E218=""),"",IF(IFERROR(INDEX(Stats!$D:$D,MATCH($C218,Stats!$A:$A,0)),FALSE),ROUND(D218+(E218-D218)*(1+G218)*((7-1)/(MaxLevel-1))^(2^F218),0),D218+(E218-D218)*(1+G218)*((7-1)/(MaxLevel-1))^(2^F218)))</f>
        <v/>
      </c>
      <c r="O218" s="12" t="str">
        <f>IF(OR(D218="",E218=""),"",IF(IFERROR(INDEX(Stats!$D:$D,MATCH($C218,Stats!$A:$A,0)),FALSE),ROUND(D218+(E218-D218)*(1+G218)*((8-1)/(MaxLevel-1))^(2^F218),0),D218+(E218-D218)*(1+G218)*((8-1)/(MaxLevel-1))^(2^F218)))</f>
        <v/>
      </c>
      <c r="P218" s="12" t="str">
        <f>IF(OR(D218="",E218=""),"",IF(IFERROR(INDEX(Stats!$D:$D,MATCH($C218,Stats!$A:$A,0)),FALSE),ROUND(D218+(E218-D218)*(1+G218)*((9-1)/(MaxLevel-1))^(2^F218),0),D218+(E218-D218)*(1+G218)*((9-1)/(MaxLevel-1))^(2^F218)))</f>
        <v/>
      </c>
      <c r="Q218" s="12" t="str">
        <f>IF(OR(D218="",E218=""),"",IF(IFERROR(INDEX(Stats!$D:$D,MATCH($C218,Stats!$A:$A,0)),FALSE),ROUND(D218+(E218-D218)*(1+G218)*((10-1)/(MaxLevel-1))^(2^F218),0),D218+(E218-D218)*(1+G218)*((10-1)/(MaxLevel-1))^(2^F218)))</f>
        <v/>
      </c>
    </row>
    <row r="219" spans="1:17" x14ac:dyDescent="0.25">
      <c r="A219" s="4" t="s">
        <v>185</v>
      </c>
      <c r="B219" s="19" t="s">
        <v>226</v>
      </c>
      <c r="C219" s="4" t="s">
        <v>40</v>
      </c>
      <c r="D219" s="5"/>
      <c r="E219" s="5"/>
      <c r="F219" s="5"/>
      <c r="G219" s="5"/>
      <c r="H219" s="12" t="str">
        <f>IF(OR(D219="",E219=""),"",IF(IFERROR(INDEX(Stats!$D:$D,MATCH($C219,Stats!$A:$A,0)),FALSE),ROUND(D219+(E219-D219)*(1+G219)*((1-1)/(MaxLevel-1))^(2^F219),0),D219+(E219-D219)*(1+G219)*((1-1)/(MaxLevel-1))^(2^F219)))</f>
        <v/>
      </c>
      <c r="I219" s="12" t="str">
        <f>IF(OR(D219="",E219=""),"",IF(IFERROR(INDEX(Stats!$D:$D,MATCH($C219,Stats!$A:$A,0)),FALSE),ROUND(D219+(E219-D219)*(1+G219)*((2-1)/(MaxLevel-1))^(2^F219),0),D219+(E219-D219)*(1+G219)*((2-1)/(MaxLevel-1))^(2^F219)))</f>
        <v/>
      </c>
      <c r="J219" s="12" t="str">
        <f>IF(OR(D219="",E219=""),"",IF(IFERROR(INDEX(Stats!$D:$D,MATCH($C219,Stats!$A:$A,0)),FALSE),ROUND(D219+(E219-D219)*(1+G219)*((3-1)/(MaxLevel-1))^(2^F219),0),D219+(E219-D219)*(1+G219)*((3-1)/(MaxLevel-1))^(2^F219)))</f>
        <v/>
      </c>
      <c r="K219" s="12" t="str">
        <f>IF(OR(D219="",E219=""),"",IF(IFERROR(INDEX(Stats!$D:$D,MATCH($C219,Stats!$A:$A,0)),FALSE),ROUND(D219+(E219-D219)*(1+G219)*((4-1)/(MaxLevel-1))^(2^F219),0),D219+(E219-D219)*(1+G219)*((4-1)/(MaxLevel-1))^(2^F219)))</f>
        <v/>
      </c>
      <c r="L219" s="12" t="str">
        <f>IF(OR(D219="",E219=""),"",IF(IFERROR(INDEX(Stats!$D:$D,MATCH($C219,Stats!$A:$A,0)),FALSE),ROUND(D219+(E219-D219)*(1+G219)*((5-1)/(MaxLevel-1))^(2^F219),0),D219+(E219-D219)*(1+G219)*((5-1)/(MaxLevel-1))^(2^F219)))</f>
        <v/>
      </c>
      <c r="M219" s="12" t="str">
        <f>IF(OR(D219="",E219=""),"",IF(IFERROR(INDEX(Stats!$D:$D,MATCH($C219,Stats!$A:$A,0)),FALSE),ROUND(D219+(E219-D219)*(1+G219)*((6-1)/(MaxLevel-1))^(2^F219),0),D219+(E219-D219)*(1+G219)*((6-1)/(MaxLevel-1))^(2^F219)))</f>
        <v/>
      </c>
      <c r="N219" s="12" t="str">
        <f>IF(OR(D219="",E219=""),"",IF(IFERROR(INDEX(Stats!$D:$D,MATCH($C219,Stats!$A:$A,0)),FALSE),ROUND(D219+(E219-D219)*(1+G219)*((7-1)/(MaxLevel-1))^(2^F219),0),D219+(E219-D219)*(1+G219)*((7-1)/(MaxLevel-1))^(2^F219)))</f>
        <v/>
      </c>
      <c r="O219" s="12" t="str">
        <f>IF(OR(D219="",E219=""),"",IF(IFERROR(INDEX(Stats!$D:$D,MATCH($C219,Stats!$A:$A,0)),FALSE),ROUND(D219+(E219-D219)*(1+G219)*((8-1)/(MaxLevel-1))^(2^F219),0),D219+(E219-D219)*(1+G219)*((8-1)/(MaxLevel-1))^(2^F219)))</f>
        <v/>
      </c>
      <c r="P219" s="12" t="str">
        <f>IF(OR(D219="",E219=""),"",IF(IFERROR(INDEX(Stats!$D:$D,MATCH($C219,Stats!$A:$A,0)),FALSE),ROUND(D219+(E219-D219)*(1+G219)*((9-1)/(MaxLevel-1))^(2^F219),0),D219+(E219-D219)*(1+G219)*((9-1)/(MaxLevel-1))^(2^F219)))</f>
        <v/>
      </c>
      <c r="Q219" s="12" t="str">
        <f>IF(OR(D219="",E219=""),"",IF(IFERROR(INDEX(Stats!$D:$D,MATCH($C219,Stats!$A:$A,0)),FALSE),ROUND(D219+(E219-D219)*(1+G219)*((10-1)/(MaxLevel-1))^(2^F219),0),D219+(E219-D219)*(1+G219)*((10-1)/(MaxLevel-1))^(2^F219)))</f>
        <v/>
      </c>
    </row>
    <row r="220" spans="1:17" x14ac:dyDescent="0.25">
      <c r="A220" s="4" t="s">
        <v>185</v>
      </c>
      <c r="B220" s="19" t="s">
        <v>226</v>
      </c>
      <c r="C220" s="4" t="s">
        <v>42</v>
      </c>
      <c r="D220" s="5"/>
      <c r="E220" s="5"/>
      <c r="F220" s="5"/>
      <c r="G220" s="5"/>
      <c r="H220" s="12" t="str">
        <f>IF(OR(D220="",E220=""),"",IF(IFERROR(INDEX(Stats!$D:$D,MATCH($C220,Stats!$A:$A,0)),FALSE),ROUND(D220+(E220-D220)*(1+G220)*((1-1)/(MaxLevel-1))^(2^F220),0),D220+(E220-D220)*(1+G220)*((1-1)/(MaxLevel-1))^(2^F220)))</f>
        <v/>
      </c>
      <c r="I220" s="12" t="str">
        <f>IF(OR(D220="",E220=""),"",IF(IFERROR(INDEX(Stats!$D:$D,MATCH($C220,Stats!$A:$A,0)),FALSE),ROUND(D220+(E220-D220)*(1+G220)*((2-1)/(MaxLevel-1))^(2^F220),0),D220+(E220-D220)*(1+G220)*((2-1)/(MaxLevel-1))^(2^F220)))</f>
        <v/>
      </c>
      <c r="J220" s="12" t="str">
        <f>IF(OR(D220="",E220=""),"",IF(IFERROR(INDEX(Stats!$D:$D,MATCH($C220,Stats!$A:$A,0)),FALSE),ROUND(D220+(E220-D220)*(1+G220)*((3-1)/(MaxLevel-1))^(2^F220),0),D220+(E220-D220)*(1+G220)*((3-1)/(MaxLevel-1))^(2^F220)))</f>
        <v/>
      </c>
      <c r="K220" s="12" t="str">
        <f>IF(OR(D220="",E220=""),"",IF(IFERROR(INDEX(Stats!$D:$D,MATCH($C220,Stats!$A:$A,0)),FALSE),ROUND(D220+(E220-D220)*(1+G220)*((4-1)/(MaxLevel-1))^(2^F220),0),D220+(E220-D220)*(1+G220)*((4-1)/(MaxLevel-1))^(2^F220)))</f>
        <v/>
      </c>
      <c r="L220" s="12" t="str">
        <f>IF(OR(D220="",E220=""),"",IF(IFERROR(INDEX(Stats!$D:$D,MATCH($C220,Stats!$A:$A,0)),FALSE),ROUND(D220+(E220-D220)*(1+G220)*((5-1)/(MaxLevel-1))^(2^F220),0),D220+(E220-D220)*(1+G220)*((5-1)/(MaxLevel-1))^(2^F220)))</f>
        <v/>
      </c>
      <c r="M220" s="12" t="str">
        <f>IF(OR(D220="",E220=""),"",IF(IFERROR(INDEX(Stats!$D:$D,MATCH($C220,Stats!$A:$A,0)),FALSE),ROUND(D220+(E220-D220)*(1+G220)*((6-1)/(MaxLevel-1))^(2^F220),0),D220+(E220-D220)*(1+G220)*((6-1)/(MaxLevel-1))^(2^F220)))</f>
        <v/>
      </c>
      <c r="N220" s="12" t="str">
        <f>IF(OR(D220="",E220=""),"",IF(IFERROR(INDEX(Stats!$D:$D,MATCH($C220,Stats!$A:$A,0)),FALSE),ROUND(D220+(E220-D220)*(1+G220)*((7-1)/(MaxLevel-1))^(2^F220),0),D220+(E220-D220)*(1+G220)*((7-1)/(MaxLevel-1))^(2^F220)))</f>
        <v/>
      </c>
      <c r="O220" s="12" t="str">
        <f>IF(OR(D220="",E220=""),"",IF(IFERROR(INDEX(Stats!$D:$D,MATCH($C220,Stats!$A:$A,0)),FALSE),ROUND(D220+(E220-D220)*(1+G220)*((8-1)/(MaxLevel-1))^(2^F220),0),D220+(E220-D220)*(1+G220)*((8-1)/(MaxLevel-1))^(2^F220)))</f>
        <v/>
      </c>
      <c r="P220" s="12" t="str">
        <f>IF(OR(D220="",E220=""),"",IF(IFERROR(INDEX(Stats!$D:$D,MATCH($C220,Stats!$A:$A,0)),FALSE),ROUND(D220+(E220-D220)*(1+G220)*((9-1)/(MaxLevel-1))^(2^F220),0),D220+(E220-D220)*(1+G220)*((9-1)/(MaxLevel-1))^(2^F220)))</f>
        <v/>
      </c>
      <c r="Q220" s="12" t="str">
        <f>IF(OR(D220="",E220=""),"",IF(IFERROR(INDEX(Stats!$D:$D,MATCH($C220,Stats!$A:$A,0)),FALSE),ROUND(D220+(E220-D220)*(1+G220)*((10-1)/(MaxLevel-1))^(2^F220),0),D220+(E220-D220)*(1+G220)*((10-1)/(MaxLevel-1))^(2^F220)))</f>
        <v/>
      </c>
    </row>
    <row r="221" spans="1:17" x14ac:dyDescent="0.25">
      <c r="A221" s="4" t="s">
        <v>185</v>
      </c>
      <c r="B221" s="19" t="s">
        <v>226</v>
      </c>
      <c r="C221" s="4" t="s">
        <v>44</v>
      </c>
      <c r="D221" s="5"/>
      <c r="E221" s="5"/>
      <c r="F221" s="5"/>
      <c r="G221" s="5"/>
      <c r="H221" s="12" t="str">
        <f>IF(OR(D221="",E221=""),"",IF(IFERROR(INDEX(Stats!$D:$D,MATCH($C221,Stats!$A:$A,0)),FALSE),ROUND(D221+(E221-D221)*(1+G221)*((1-1)/(MaxLevel-1))^(2^F221),0),D221+(E221-D221)*(1+G221)*((1-1)/(MaxLevel-1))^(2^F221)))</f>
        <v/>
      </c>
      <c r="I221" s="12" t="str">
        <f>IF(OR(D221="",E221=""),"",IF(IFERROR(INDEX(Stats!$D:$D,MATCH($C221,Stats!$A:$A,0)),FALSE),ROUND(D221+(E221-D221)*(1+G221)*((2-1)/(MaxLevel-1))^(2^F221),0),D221+(E221-D221)*(1+G221)*((2-1)/(MaxLevel-1))^(2^F221)))</f>
        <v/>
      </c>
      <c r="J221" s="12" t="str">
        <f>IF(OR(D221="",E221=""),"",IF(IFERROR(INDEX(Stats!$D:$D,MATCH($C221,Stats!$A:$A,0)),FALSE),ROUND(D221+(E221-D221)*(1+G221)*((3-1)/(MaxLevel-1))^(2^F221),0),D221+(E221-D221)*(1+G221)*((3-1)/(MaxLevel-1))^(2^F221)))</f>
        <v/>
      </c>
      <c r="K221" s="12" t="str">
        <f>IF(OR(D221="",E221=""),"",IF(IFERROR(INDEX(Stats!$D:$D,MATCH($C221,Stats!$A:$A,0)),FALSE),ROUND(D221+(E221-D221)*(1+G221)*((4-1)/(MaxLevel-1))^(2^F221),0),D221+(E221-D221)*(1+G221)*((4-1)/(MaxLevel-1))^(2^F221)))</f>
        <v/>
      </c>
      <c r="L221" s="12" t="str">
        <f>IF(OR(D221="",E221=""),"",IF(IFERROR(INDEX(Stats!$D:$D,MATCH($C221,Stats!$A:$A,0)),FALSE),ROUND(D221+(E221-D221)*(1+G221)*((5-1)/(MaxLevel-1))^(2^F221),0),D221+(E221-D221)*(1+G221)*((5-1)/(MaxLevel-1))^(2^F221)))</f>
        <v/>
      </c>
      <c r="M221" s="12" t="str">
        <f>IF(OR(D221="",E221=""),"",IF(IFERROR(INDEX(Stats!$D:$D,MATCH($C221,Stats!$A:$A,0)),FALSE),ROUND(D221+(E221-D221)*(1+G221)*((6-1)/(MaxLevel-1))^(2^F221),0),D221+(E221-D221)*(1+G221)*((6-1)/(MaxLevel-1))^(2^F221)))</f>
        <v/>
      </c>
      <c r="N221" s="12" t="str">
        <f>IF(OR(D221="",E221=""),"",IF(IFERROR(INDEX(Stats!$D:$D,MATCH($C221,Stats!$A:$A,0)),FALSE),ROUND(D221+(E221-D221)*(1+G221)*((7-1)/(MaxLevel-1))^(2^F221),0),D221+(E221-D221)*(1+G221)*((7-1)/(MaxLevel-1))^(2^F221)))</f>
        <v/>
      </c>
      <c r="O221" s="12" t="str">
        <f>IF(OR(D221="",E221=""),"",IF(IFERROR(INDEX(Stats!$D:$D,MATCH($C221,Stats!$A:$A,0)),FALSE),ROUND(D221+(E221-D221)*(1+G221)*((8-1)/(MaxLevel-1))^(2^F221),0),D221+(E221-D221)*(1+G221)*((8-1)/(MaxLevel-1))^(2^F221)))</f>
        <v/>
      </c>
      <c r="P221" s="12" t="str">
        <f>IF(OR(D221="",E221=""),"",IF(IFERROR(INDEX(Stats!$D:$D,MATCH($C221,Stats!$A:$A,0)),FALSE),ROUND(D221+(E221-D221)*(1+G221)*((9-1)/(MaxLevel-1))^(2^F221),0),D221+(E221-D221)*(1+G221)*((9-1)/(MaxLevel-1))^(2^F221)))</f>
        <v/>
      </c>
      <c r="Q221" s="12" t="str">
        <f>IF(OR(D221="",E221=""),"",IF(IFERROR(INDEX(Stats!$D:$D,MATCH($C221,Stats!$A:$A,0)),FALSE),ROUND(D221+(E221-D221)*(1+G221)*((10-1)/(MaxLevel-1))^(2^F221),0),D221+(E221-D221)*(1+G221)*((10-1)/(MaxLevel-1))^(2^F221)))</f>
        <v/>
      </c>
    </row>
    <row r="222" spans="1:17" x14ac:dyDescent="0.25">
      <c r="A222" s="4" t="s">
        <v>185</v>
      </c>
      <c r="B222" s="19" t="s">
        <v>226</v>
      </c>
      <c r="C222" s="4" t="s">
        <v>46</v>
      </c>
      <c r="D222" s="5">
        <v>300</v>
      </c>
      <c r="E222" s="5">
        <v>320</v>
      </c>
      <c r="F222" s="5">
        <v>0</v>
      </c>
      <c r="G222" s="5">
        <v>0</v>
      </c>
      <c r="H222" s="12">
        <f>IF(OR(D222="",E222=""),"",IF(IFERROR(INDEX(Stats!$D:$D,MATCH($C222,Stats!$A:$A,0)),FALSE),ROUND(D222+(E222-D222)*(1+G222)*((1-1)/(MaxLevel-1))^(2^F222),0),D222+(E222-D222)*(1+G222)*((1-1)/(MaxLevel-1))^(2^F222)))</f>
        <v>300</v>
      </c>
      <c r="I222" s="12">
        <f>IF(OR(D222="",E222=""),"",IF(IFERROR(INDEX(Stats!$D:$D,MATCH($C222,Stats!$A:$A,0)),FALSE),ROUND(D222+(E222-D222)*(1+G222)*((2-1)/(MaxLevel-1))^(2^F222),0),D222+(E222-D222)*(1+G222)*((2-1)/(MaxLevel-1))^(2^F222)))</f>
        <v>302.22222222222223</v>
      </c>
      <c r="J222" s="12">
        <f>IF(OR(D222="",E222=""),"",IF(IFERROR(INDEX(Stats!$D:$D,MATCH($C222,Stats!$A:$A,0)),FALSE),ROUND(D222+(E222-D222)*(1+G222)*((3-1)/(MaxLevel-1))^(2^F222),0),D222+(E222-D222)*(1+G222)*((3-1)/(MaxLevel-1))^(2^F222)))</f>
        <v>304.44444444444446</v>
      </c>
      <c r="K222" s="12">
        <f>IF(OR(D222="",E222=""),"",IF(IFERROR(INDEX(Stats!$D:$D,MATCH($C222,Stats!$A:$A,0)),FALSE),ROUND(D222+(E222-D222)*(1+G222)*((4-1)/(MaxLevel-1))^(2^F222),0),D222+(E222-D222)*(1+G222)*((4-1)/(MaxLevel-1))^(2^F222)))</f>
        <v>306.66666666666669</v>
      </c>
      <c r="L222" s="12">
        <f>IF(OR(D222="",E222=""),"",IF(IFERROR(INDEX(Stats!$D:$D,MATCH($C222,Stats!$A:$A,0)),FALSE),ROUND(D222+(E222-D222)*(1+G222)*((5-1)/(MaxLevel-1))^(2^F222),0),D222+(E222-D222)*(1+G222)*((5-1)/(MaxLevel-1))^(2^F222)))</f>
        <v>308.88888888888891</v>
      </c>
      <c r="M222" s="12">
        <f>IF(OR(D222="",E222=""),"",IF(IFERROR(INDEX(Stats!$D:$D,MATCH($C222,Stats!$A:$A,0)),FALSE),ROUND(D222+(E222-D222)*(1+G222)*((6-1)/(MaxLevel-1))^(2^F222),0),D222+(E222-D222)*(1+G222)*((6-1)/(MaxLevel-1))^(2^F222)))</f>
        <v>311.11111111111109</v>
      </c>
      <c r="N222" s="12">
        <f>IF(OR(D222="",E222=""),"",IF(IFERROR(INDEX(Stats!$D:$D,MATCH($C222,Stats!$A:$A,0)),FALSE),ROUND(D222+(E222-D222)*(1+G222)*((7-1)/(MaxLevel-1))^(2^F222),0),D222+(E222-D222)*(1+G222)*((7-1)/(MaxLevel-1))^(2^F222)))</f>
        <v>313.33333333333331</v>
      </c>
      <c r="O222" s="12">
        <f>IF(OR(D222="",E222=""),"",IF(IFERROR(INDEX(Stats!$D:$D,MATCH($C222,Stats!$A:$A,0)),FALSE),ROUND(D222+(E222-D222)*(1+G222)*((8-1)/(MaxLevel-1))^(2^F222),0),D222+(E222-D222)*(1+G222)*((8-1)/(MaxLevel-1))^(2^F222)))</f>
        <v>315.55555555555554</v>
      </c>
      <c r="P222" s="12">
        <f>IF(OR(D222="",E222=""),"",IF(IFERROR(INDEX(Stats!$D:$D,MATCH($C222,Stats!$A:$A,0)),FALSE),ROUND(D222+(E222-D222)*(1+G222)*((9-1)/(MaxLevel-1))^(2^F222),0),D222+(E222-D222)*(1+G222)*((9-1)/(MaxLevel-1))^(2^F222)))</f>
        <v>317.77777777777777</v>
      </c>
      <c r="Q222" s="12">
        <f>IF(OR(D222="",E222=""),"",IF(IFERROR(INDEX(Stats!$D:$D,MATCH($C222,Stats!$A:$A,0)),FALSE),ROUND(D222+(E222-D222)*(1+G222)*((10-1)/(MaxLevel-1))^(2^F222),0),D222+(E222-D222)*(1+G222)*((10-1)/(MaxLevel-1))^(2^F222)))</f>
        <v>320</v>
      </c>
    </row>
    <row r="223" spans="1:17" x14ac:dyDescent="0.25">
      <c r="A223" s="4" t="s">
        <v>185</v>
      </c>
      <c r="B223" s="19" t="s">
        <v>226</v>
      </c>
      <c r="C223" s="4" t="s">
        <v>48</v>
      </c>
      <c r="D223" s="5"/>
      <c r="E223" s="5"/>
      <c r="F223" s="5"/>
      <c r="G223" s="5"/>
      <c r="H223" s="12" t="str">
        <f>IF(OR(D223="",E223=""),"",IF(IFERROR(INDEX(Stats!$D:$D,MATCH($C223,Stats!$A:$A,0)),FALSE),ROUND(D223+(E223-D223)*(1+G223)*((1-1)/(MaxLevel-1))^(2^F223),0),D223+(E223-D223)*(1+G223)*((1-1)/(MaxLevel-1))^(2^F223)))</f>
        <v/>
      </c>
      <c r="I223" s="12" t="str">
        <f>IF(OR(D223="",E223=""),"",IF(IFERROR(INDEX(Stats!$D:$D,MATCH($C223,Stats!$A:$A,0)),FALSE),ROUND(D223+(E223-D223)*(1+G223)*((2-1)/(MaxLevel-1))^(2^F223),0),D223+(E223-D223)*(1+G223)*((2-1)/(MaxLevel-1))^(2^F223)))</f>
        <v/>
      </c>
      <c r="J223" s="12" t="str">
        <f>IF(OR(D223="",E223=""),"",IF(IFERROR(INDEX(Stats!$D:$D,MATCH($C223,Stats!$A:$A,0)),FALSE),ROUND(D223+(E223-D223)*(1+G223)*((3-1)/(MaxLevel-1))^(2^F223),0),D223+(E223-D223)*(1+G223)*((3-1)/(MaxLevel-1))^(2^F223)))</f>
        <v/>
      </c>
      <c r="K223" s="12" t="str">
        <f>IF(OR(D223="",E223=""),"",IF(IFERROR(INDEX(Stats!$D:$D,MATCH($C223,Stats!$A:$A,0)),FALSE),ROUND(D223+(E223-D223)*(1+G223)*((4-1)/(MaxLevel-1))^(2^F223),0),D223+(E223-D223)*(1+G223)*((4-1)/(MaxLevel-1))^(2^F223)))</f>
        <v/>
      </c>
      <c r="L223" s="12" t="str">
        <f>IF(OR(D223="",E223=""),"",IF(IFERROR(INDEX(Stats!$D:$D,MATCH($C223,Stats!$A:$A,0)),FALSE),ROUND(D223+(E223-D223)*(1+G223)*((5-1)/(MaxLevel-1))^(2^F223),0),D223+(E223-D223)*(1+G223)*((5-1)/(MaxLevel-1))^(2^F223)))</f>
        <v/>
      </c>
      <c r="M223" s="12" t="str">
        <f>IF(OR(D223="",E223=""),"",IF(IFERROR(INDEX(Stats!$D:$D,MATCH($C223,Stats!$A:$A,0)),FALSE),ROUND(D223+(E223-D223)*(1+G223)*((6-1)/(MaxLevel-1))^(2^F223),0),D223+(E223-D223)*(1+G223)*((6-1)/(MaxLevel-1))^(2^F223)))</f>
        <v/>
      </c>
      <c r="N223" s="12" t="str">
        <f>IF(OR(D223="",E223=""),"",IF(IFERROR(INDEX(Stats!$D:$D,MATCH($C223,Stats!$A:$A,0)),FALSE),ROUND(D223+(E223-D223)*(1+G223)*((7-1)/(MaxLevel-1))^(2^F223),0),D223+(E223-D223)*(1+G223)*((7-1)/(MaxLevel-1))^(2^F223)))</f>
        <v/>
      </c>
      <c r="O223" s="12" t="str">
        <f>IF(OR(D223="",E223=""),"",IF(IFERROR(INDEX(Stats!$D:$D,MATCH($C223,Stats!$A:$A,0)),FALSE),ROUND(D223+(E223-D223)*(1+G223)*((8-1)/(MaxLevel-1))^(2^F223),0),D223+(E223-D223)*(1+G223)*((8-1)/(MaxLevel-1))^(2^F223)))</f>
        <v/>
      </c>
      <c r="P223" s="12" t="str">
        <f>IF(OR(D223="",E223=""),"",IF(IFERROR(INDEX(Stats!$D:$D,MATCH($C223,Stats!$A:$A,0)),FALSE),ROUND(D223+(E223-D223)*(1+G223)*((9-1)/(MaxLevel-1))^(2^F223),0),D223+(E223-D223)*(1+G223)*((9-1)/(MaxLevel-1))^(2^F223)))</f>
        <v/>
      </c>
      <c r="Q223" s="12" t="str">
        <f>IF(OR(D223="",E223=""),"",IF(IFERROR(INDEX(Stats!$D:$D,MATCH($C223,Stats!$A:$A,0)),FALSE),ROUND(D223+(E223-D223)*(1+G223)*((10-1)/(MaxLevel-1))^(2^F223),0),D223+(E223-D223)*(1+G223)*((10-1)/(MaxLevel-1))^(2^F223)))</f>
        <v/>
      </c>
    </row>
    <row r="224" spans="1:17" x14ac:dyDescent="0.25">
      <c r="A224" s="4" t="s">
        <v>185</v>
      </c>
      <c r="B224" s="19" t="s">
        <v>226</v>
      </c>
      <c r="C224" s="4" t="s">
        <v>50</v>
      </c>
      <c r="D224" s="5"/>
      <c r="E224" s="5"/>
      <c r="F224" s="5"/>
      <c r="G224" s="5"/>
      <c r="H224" s="12" t="str">
        <f>IF(OR(D224="",E224=""),"",IF(IFERROR(INDEX(Stats!$D:$D,MATCH($C224,Stats!$A:$A,0)),FALSE),ROUND(D224+(E224-D224)*(1+G224)*((1-1)/(MaxLevel-1))^(2^F224),0),D224+(E224-D224)*(1+G224)*((1-1)/(MaxLevel-1))^(2^F224)))</f>
        <v/>
      </c>
      <c r="I224" s="12" t="str">
        <f>IF(OR(D224="",E224=""),"",IF(IFERROR(INDEX(Stats!$D:$D,MATCH($C224,Stats!$A:$A,0)),FALSE),ROUND(D224+(E224-D224)*(1+G224)*((2-1)/(MaxLevel-1))^(2^F224),0),D224+(E224-D224)*(1+G224)*((2-1)/(MaxLevel-1))^(2^F224)))</f>
        <v/>
      </c>
      <c r="J224" s="12" t="str">
        <f>IF(OR(D224="",E224=""),"",IF(IFERROR(INDEX(Stats!$D:$D,MATCH($C224,Stats!$A:$A,0)),FALSE),ROUND(D224+(E224-D224)*(1+G224)*((3-1)/(MaxLevel-1))^(2^F224),0),D224+(E224-D224)*(1+G224)*((3-1)/(MaxLevel-1))^(2^F224)))</f>
        <v/>
      </c>
      <c r="K224" s="12" t="str">
        <f>IF(OR(D224="",E224=""),"",IF(IFERROR(INDEX(Stats!$D:$D,MATCH($C224,Stats!$A:$A,0)),FALSE),ROUND(D224+(E224-D224)*(1+G224)*((4-1)/(MaxLevel-1))^(2^F224),0),D224+(E224-D224)*(1+G224)*((4-1)/(MaxLevel-1))^(2^F224)))</f>
        <v/>
      </c>
      <c r="L224" s="12" t="str">
        <f>IF(OR(D224="",E224=""),"",IF(IFERROR(INDEX(Stats!$D:$D,MATCH($C224,Stats!$A:$A,0)),FALSE),ROUND(D224+(E224-D224)*(1+G224)*((5-1)/(MaxLevel-1))^(2^F224),0),D224+(E224-D224)*(1+G224)*((5-1)/(MaxLevel-1))^(2^F224)))</f>
        <v/>
      </c>
      <c r="M224" s="12" t="str">
        <f>IF(OR(D224="",E224=""),"",IF(IFERROR(INDEX(Stats!$D:$D,MATCH($C224,Stats!$A:$A,0)),FALSE),ROUND(D224+(E224-D224)*(1+G224)*((6-1)/(MaxLevel-1))^(2^F224),0),D224+(E224-D224)*(1+G224)*((6-1)/(MaxLevel-1))^(2^F224)))</f>
        <v/>
      </c>
      <c r="N224" s="12" t="str">
        <f>IF(OR(D224="",E224=""),"",IF(IFERROR(INDEX(Stats!$D:$D,MATCH($C224,Stats!$A:$A,0)),FALSE),ROUND(D224+(E224-D224)*(1+G224)*((7-1)/(MaxLevel-1))^(2^F224),0),D224+(E224-D224)*(1+G224)*((7-1)/(MaxLevel-1))^(2^F224)))</f>
        <v/>
      </c>
      <c r="O224" s="12" t="str">
        <f>IF(OR(D224="",E224=""),"",IF(IFERROR(INDEX(Stats!$D:$D,MATCH($C224,Stats!$A:$A,0)),FALSE),ROUND(D224+(E224-D224)*(1+G224)*((8-1)/(MaxLevel-1))^(2^F224),0),D224+(E224-D224)*(1+G224)*((8-1)/(MaxLevel-1))^(2^F224)))</f>
        <v/>
      </c>
      <c r="P224" s="12" t="str">
        <f>IF(OR(D224="",E224=""),"",IF(IFERROR(INDEX(Stats!$D:$D,MATCH($C224,Stats!$A:$A,0)),FALSE),ROUND(D224+(E224-D224)*(1+G224)*((9-1)/(MaxLevel-1))^(2^F224),0),D224+(E224-D224)*(1+G224)*((9-1)/(MaxLevel-1))^(2^F224)))</f>
        <v/>
      </c>
      <c r="Q224" s="12" t="str">
        <f>IF(OR(D224="",E224=""),"",IF(IFERROR(INDEX(Stats!$D:$D,MATCH($C224,Stats!$A:$A,0)),FALSE),ROUND(D224+(E224-D224)*(1+G224)*((10-1)/(MaxLevel-1))^(2^F224),0),D224+(E224-D224)*(1+G224)*((10-1)/(MaxLevel-1))^(2^F224)))</f>
        <v/>
      </c>
    </row>
    <row r="225" spans="1:17" x14ac:dyDescent="0.25">
      <c r="A225" s="4" t="s">
        <v>185</v>
      </c>
      <c r="B225" s="19" t="s">
        <v>226</v>
      </c>
      <c r="C225" s="4" t="s">
        <v>52</v>
      </c>
      <c r="D225" s="5"/>
      <c r="E225" s="5"/>
      <c r="F225" s="5"/>
      <c r="G225" s="5"/>
      <c r="H225" s="12" t="str">
        <f>IF(OR(D225="",E225=""),"",IF(IFERROR(INDEX(Stats!$D:$D,MATCH($C225,Stats!$A:$A,0)),FALSE),ROUND(D225+(E225-D225)*(1+G225)*((1-1)/(MaxLevel-1))^(2^F225),0),D225+(E225-D225)*(1+G225)*((1-1)/(MaxLevel-1))^(2^F225)))</f>
        <v/>
      </c>
      <c r="I225" s="12" t="str">
        <f>IF(OR(D225="",E225=""),"",IF(IFERROR(INDEX(Stats!$D:$D,MATCH($C225,Stats!$A:$A,0)),FALSE),ROUND(D225+(E225-D225)*(1+G225)*((2-1)/(MaxLevel-1))^(2^F225),0),D225+(E225-D225)*(1+G225)*((2-1)/(MaxLevel-1))^(2^F225)))</f>
        <v/>
      </c>
      <c r="J225" s="12" t="str">
        <f>IF(OR(D225="",E225=""),"",IF(IFERROR(INDEX(Stats!$D:$D,MATCH($C225,Stats!$A:$A,0)),FALSE),ROUND(D225+(E225-D225)*(1+G225)*((3-1)/(MaxLevel-1))^(2^F225),0),D225+(E225-D225)*(1+G225)*((3-1)/(MaxLevel-1))^(2^F225)))</f>
        <v/>
      </c>
      <c r="K225" s="12" t="str">
        <f>IF(OR(D225="",E225=""),"",IF(IFERROR(INDEX(Stats!$D:$D,MATCH($C225,Stats!$A:$A,0)),FALSE),ROUND(D225+(E225-D225)*(1+G225)*((4-1)/(MaxLevel-1))^(2^F225),0),D225+(E225-D225)*(1+G225)*((4-1)/(MaxLevel-1))^(2^F225)))</f>
        <v/>
      </c>
      <c r="L225" s="12" t="str">
        <f>IF(OR(D225="",E225=""),"",IF(IFERROR(INDEX(Stats!$D:$D,MATCH($C225,Stats!$A:$A,0)),FALSE),ROUND(D225+(E225-D225)*(1+G225)*((5-1)/(MaxLevel-1))^(2^F225),0),D225+(E225-D225)*(1+G225)*((5-1)/(MaxLevel-1))^(2^F225)))</f>
        <v/>
      </c>
      <c r="M225" s="12" t="str">
        <f>IF(OR(D225="",E225=""),"",IF(IFERROR(INDEX(Stats!$D:$D,MATCH($C225,Stats!$A:$A,0)),FALSE),ROUND(D225+(E225-D225)*(1+G225)*((6-1)/(MaxLevel-1))^(2^F225),0),D225+(E225-D225)*(1+G225)*((6-1)/(MaxLevel-1))^(2^F225)))</f>
        <v/>
      </c>
      <c r="N225" s="12" t="str">
        <f>IF(OR(D225="",E225=""),"",IF(IFERROR(INDEX(Stats!$D:$D,MATCH($C225,Stats!$A:$A,0)),FALSE),ROUND(D225+(E225-D225)*(1+G225)*((7-1)/(MaxLevel-1))^(2^F225),0),D225+(E225-D225)*(1+G225)*((7-1)/(MaxLevel-1))^(2^F225)))</f>
        <v/>
      </c>
      <c r="O225" s="12" t="str">
        <f>IF(OR(D225="",E225=""),"",IF(IFERROR(INDEX(Stats!$D:$D,MATCH($C225,Stats!$A:$A,0)),FALSE),ROUND(D225+(E225-D225)*(1+G225)*((8-1)/(MaxLevel-1))^(2^F225),0),D225+(E225-D225)*(1+G225)*((8-1)/(MaxLevel-1))^(2^F225)))</f>
        <v/>
      </c>
      <c r="P225" s="12" t="str">
        <f>IF(OR(D225="",E225=""),"",IF(IFERROR(INDEX(Stats!$D:$D,MATCH($C225,Stats!$A:$A,0)),FALSE),ROUND(D225+(E225-D225)*(1+G225)*((9-1)/(MaxLevel-1))^(2^F225),0),D225+(E225-D225)*(1+G225)*((9-1)/(MaxLevel-1))^(2^F225)))</f>
        <v/>
      </c>
      <c r="Q225" s="12" t="str">
        <f>IF(OR(D225="",E225=""),"",IF(IFERROR(INDEX(Stats!$D:$D,MATCH($C225,Stats!$A:$A,0)),FALSE),ROUND(D225+(E225-D225)*(1+G225)*((10-1)/(MaxLevel-1))^(2^F225),0),D225+(E225-D225)*(1+G225)*((10-1)/(MaxLevel-1))^(2^F225)))</f>
        <v/>
      </c>
    </row>
    <row r="226" spans="1:17" x14ac:dyDescent="0.25">
      <c r="A226" s="4" t="s">
        <v>185</v>
      </c>
      <c r="B226" s="19" t="s">
        <v>226</v>
      </c>
      <c r="C226" s="4" t="s">
        <v>54</v>
      </c>
      <c r="D226" s="5"/>
      <c r="E226" s="5"/>
      <c r="F226" s="5"/>
      <c r="G226" s="5"/>
      <c r="H226" s="12" t="str">
        <f>IF(OR(D226="",E226=""),"",IF(IFERROR(INDEX(Stats!$D:$D,MATCH($C226,Stats!$A:$A,0)),FALSE),ROUND(D226+(E226-D226)*(1+G226)*((1-1)/(MaxLevel-1))^(2^F226),0),D226+(E226-D226)*(1+G226)*((1-1)/(MaxLevel-1))^(2^F226)))</f>
        <v/>
      </c>
      <c r="I226" s="12" t="str">
        <f>IF(OR(D226="",E226=""),"",IF(IFERROR(INDEX(Stats!$D:$D,MATCH($C226,Stats!$A:$A,0)),FALSE),ROUND(D226+(E226-D226)*(1+G226)*((2-1)/(MaxLevel-1))^(2^F226),0),D226+(E226-D226)*(1+G226)*((2-1)/(MaxLevel-1))^(2^F226)))</f>
        <v/>
      </c>
      <c r="J226" s="12" t="str">
        <f>IF(OR(D226="",E226=""),"",IF(IFERROR(INDEX(Stats!$D:$D,MATCH($C226,Stats!$A:$A,0)),FALSE),ROUND(D226+(E226-D226)*(1+G226)*((3-1)/(MaxLevel-1))^(2^F226),0),D226+(E226-D226)*(1+G226)*((3-1)/(MaxLevel-1))^(2^F226)))</f>
        <v/>
      </c>
      <c r="K226" s="12" t="str">
        <f>IF(OR(D226="",E226=""),"",IF(IFERROR(INDEX(Stats!$D:$D,MATCH($C226,Stats!$A:$A,0)),FALSE),ROUND(D226+(E226-D226)*(1+G226)*((4-1)/(MaxLevel-1))^(2^F226),0),D226+(E226-D226)*(1+G226)*((4-1)/(MaxLevel-1))^(2^F226)))</f>
        <v/>
      </c>
      <c r="L226" s="12" t="str">
        <f>IF(OR(D226="",E226=""),"",IF(IFERROR(INDEX(Stats!$D:$D,MATCH($C226,Stats!$A:$A,0)),FALSE),ROUND(D226+(E226-D226)*(1+G226)*((5-1)/(MaxLevel-1))^(2^F226),0),D226+(E226-D226)*(1+G226)*((5-1)/(MaxLevel-1))^(2^F226)))</f>
        <v/>
      </c>
      <c r="M226" s="12" t="str">
        <f>IF(OR(D226="",E226=""),"",IF(IFERROR(INDEX(Stats!$D:$D,MATCH($C226,Stats!$A:$A,0)),FALSE),ROUND(D226+(E226-D226)*(1+G226)*((6-1)/(MaxLevel-1))^(2^F226),0),D226+(E226-D226)*(1+G226)*((6-1)/(MaxLevel-1))^(2^F226)))</f>
        <v/>
      </c>
      <c r="N226" s="12" t="str">
        <f>IF(OR(D226="",E226=""),"",IF(IFERROR(INDEX(Stats!$D:$D,MATCH($C226,Stats!$A:$A,0)),FALSE),ROUND(D226+(E226-D226)*(1+G226)*((7-1)/(MaxLevel-1))^(2^F226),0),D226+(E226-D226)*(1+G226)*((7-1)/(MaxLevel-1))^(2^F226)))</f>
        <v/>
      </c>
      <c r="O226" s="12" t="str">
        <f>IF(OR(D226="",E226=""),"",IF(IFERROR(INDEX(Stats!$D:$D,MATCH($C226,Stats!$A:$A,0)),FALSE),ROUND(D226+(E226-D226)*(1+G226)*((8-1)/(MaxLevel-1))^(2^F226),0),D226+(E226-D226)*(1+G226)*((8-1)/(MaxLevel-1))^(2^F226)))</f>
        <v/>
      </c>
      <c r="P226" s="12" t="str">
        <f>IF(OR(D226="",E226=""),"",IF(IFERROR(INDEX(Stats!$D:$D,MATCH($C226,Stats!$A:$A,0)),FALSE),ROUND(D226+(E226-D226)*(1+G226)*((9-1)/(MaxLevel-1))^(2^F226),0),D226+(E226-D226)*(1+G226)*((9-1)/(MaxLevel-1))^(2^F226)))</f>
        <v/>
      </c>
      <c r="Q226" s="12" t="str">
        <f>IF(OR(D226="",E226=""),"",IF(IFERROR(INDEX(Stats!$D:$D,MATCH($C226,Stats!$A:$A,0)),FALSE),ROUND(D226+(E226-D226)*(1+G226)*((10-1)/(MaxLevel-1))^(2^F226),0),D226+(E226-D226)*(1+G226)*((10-1)/(MaxLevel-1))^(2^F226)))</f>
        <v/>
      </c>
    </row>
    <row r="227" spans="1:17" x14ac:dyDescent="0.25">
      <c r="A227" s="4" t="s">
        <v>185</v>
      </c>
      <c r="B227" s="19" t="s">
        <v>226</v>
      </c>
      <c r="C227" s="4" t="s">
        <v>56</v>
      </c>
      <c r="D227" s="5"/>
      <c r="E227" s="5"/>
      <c r="F227" s="5"/>
      <c r="G227" s="5"/>
      <c r="H227" s="12" t="str">
        <f>IF(OR(D227="",E227=""),"",IF(IFERROR(INDEX(Stats!$D:$D,MATCH($C227,Stats!$A:$A,0)),FALSE),ROUND(D227+(E227-D227)*(1+G227)*((1-1)/(MaxLevel-1))^(2^F227),0),D227+(E227-D227)*(1+G227)*((1-1)/(MaxLevel-1))^(2^F227)))</f>
        <v/>
      </c>
      <c r="I227" s="12" t="str">
        <f>IF(OR(D227="",E227=""),"",IF(IFERROR(INDEX(Stats!$D:$D,MATCH($C227,Stats!$A:$A,0)),FALSE),ROUND(D227+(E227-D227)*(1+G227)*((2-1)/(MaxLevel-1))^(2^F227),0),D227+(E227-D227)*(1+G227)*((2-1)/(MaxLevel-1))^(2^F227)))</f>
        <v/>
      </c>
      <c r="J227" s="12" t="str">
        <f>IF(OR(D227="",E227=""),"",IF(IFERROR(INDEX(Stats!$D:$D,MATCH($C227,Stats!$A:$A,0)),FALSE),ROUND(D227+(E227-D227)*(1+G227)*((3-1)/(MaxLevel-1))^(2^F227),0),D227+(E227-D227)*(1+G227)*((3-1)/(MaxLevel-1))^(2^F227)))</f>
        <v/>
      </c>
      <c r="K227" s="12" t="str">
        <f>IF(OR(D227="",E227=""),"",IF(IFERROR(INDEX(Stats!$D:$D,MATCH($C227,Stats!$A:$A,0)),FALSE),ROUND(D227+(E227-D227)*(1+G227)*((4-1)/(MaxLevel-1))^(2^F227),0),D227+(E227-D227)*(1+G227)*((4-1)/(MaxLevel-1))^(2^F227)))</f>
        <v/>
      </c>
      <c r="L227" s="12" t="str">
        <f>IF(OR(D227="",E227=""),"",IF(IFERROR(INDEX(Stats!$D:$D,MATCH($C227,Stats!$A:$A,0)),FALSE),ROUND(D227+(E227-D227)*(1+G227)*((5-1)/(MaxLevel-1))^(2^F227),0),D227+(E227-D227)*(1+G227)*((5-1)/(MaxLevel-1))^(2^F227)))</f>
        <v/>
      </c>
      <c r="M227" s="12" t="str">
        <f>IF(OR(D227="",E227=""),"",IF(IFERROR(INDEX(Stats!$D:$D,MATCH($C227,Stats!$A:$A,0)),FALSE),ROUND(D227+(E227-D227)*(1+G227)*((6-1)/(MaxLevel-1))^(2^F227),0),D227+(E227-D227)*(1+G227)*((6-1)/(MaxLevel-1))^(2^F227)))</f>
        <v/>
      </c>
      <c r="N227" s="12" t="str">
        <f>IF(OR(D227="",E227=""),"",IF(IFERROR(INDEX(Stats!$D:$D,MATCH($C227,Stats!$A:$A,0)),FALSE),ROUND(D227+(E227-D227)*(1+G227)*((7-1)/(MaxLevel-1))^(2^F227),0),D227+(E227-D227)*(1+G227)*((7-1)/(MaxLevel-1))^(2^F227)))</f>
        <v/>
      </c>
      <c r="O227" s="12" t="str">
        <f>IF(OR(D227="",E227=""),"",IF(IFERROR(INDEX(Stats!$D:$D,MATCH($C227,Stats!$A:$A,0)),FALSE),ROUND(D227+(E227-D227)*(1+G227)*((8-1)/(MaxLevel-1))^(2^F227),0),D227+(E227-D227)*(1+G227)*((8-1)/(MaxLevel-1))^(2^F227)))</f>
        <v/>
      </c>
      <c r="P227" s="12" t="str">
        <f>IF(OR(D227="",E227=""),"",IF(IFERROR(INDEX(Stats!$D:$D,MATCH($C227,Stats!$A:$A,0)),FALSE),ROUND(D227+(E227-D227)*(1+G227)*((9-1)/(MaxLevel-1))^(2^F227),0),D227+(E227-D227)*(1+G227)*((9-1)/(MaxLevel-1))^(2^F227)))</f>
        <v/>
      </c>
      <c r="Q227" s="12" t="str">
        <f>IF(OR(D227="",E227=""),"",IF(IFERROR(INDEX(Stats!$D:$D,MATCH($C227,Stats!$A:$A,0)),FALSE),ROUND(D227+(E227-D227)*(1+G227)*((10-1)/(MaxLevel-1))^(2^F227),0),D227+(E227-D227)*(1+G227)*((10-1)/(MaxLevel-1))^(2^F227)))</f>
        <v/>
      </c>
    </row>
    <row r="228" spans="1:17" x14ac:dyDescent="0.25">
      <c r="A228" s="4" t="s">
        <v>185</v>
      </c>
      <c r="B228" s="19" t="s">
        <v>226</v>
      </c>
      <c r="C228" s="4" t="s">
        <v>58</v>
      </c>
      <c r="D228" s="5"/>
      <c r="E228" s="5"/>
      <c r="F228" s="5"/>
      <c r="G228" s="5"/>
      <c r="H228" s="12" t="str">
        <f>IF(OR(D228="",E228=""),"",IF(IFERROR(INDEX(Stats!$D:$D,MATCH($C228,Stats!$A:$A,0)),FALSE),ROUND(D228+(E228-D228)*(1+G228)*((1-1)/(MaxLevel-1))^(2^F228),0),D228+(E228-D228)*(1+G228)*((1-1)/(MaxLevel-1))^(2^F228)))</f>
        <v/>
      </c>
      <c r="I228" s="12" t="str">
        <f>IF(OR(D228="",E228=""),"",IF(IFERROR(INDEX(Stats!$D:$D,MATCH($C228,Stats!$A:$A,0)),FALSE),ROUND(D228+(E228-D228)*(1+G228)*((2-1)/(MaxLevel-1))^(2^F228),0),D228+(E228-D228)*(1+G228)*((2-1)/(MaxLevel-1))^(2^F228)))</f>
        <v/>
      </c>
      <c r="J228" s="12" t="str">
        <f>IF(OR(D228="",E228=""),"",IF(IFERROR(INDEX(Stats!$D:$D,MATCH($C228,Stats!$A:$A,0)),FALSE),ROUND(D228+(E228-D228)*(1+G228)*((3-1)/(MaxLevel-1))^(2^F228),0),D228+(E228-D228)*(1+G228)*((3-1)/(MaxLevel-1))^(2^F228)))</f>
        <v/>
      </c>
      <c r="K228" s="12" t="str">
        <f>IF(OR(D228="",E228=""),"",IF(IFERROR(INDEX(Stats!$D:$D,MATCH($C228,Stats!$A:$A,0)),FALSE),ROUND(D228+(E228-D228)*(1+G228)*((4-1)/(MaxLevel-1))^(2^F228),0),D228+(E228-D228)*(1+G228)*((4-1)/(MaxLevel-1))^(2^F228)))</f>
        <v/>
      </c>
      <c r="L228" s="12" t="str">
        <f>IF(OR(D228="",E228=""),"",IF(IFERROR(INDEX(Stats!$D:$D,MATCH($C228,Stats!$A:$A,0)),FALSE),ROUND(D228+(E228-D228)*(1+G228)*((5-1)/(MaxLevel-1))^(2^F228),0),D228+(E228-D228)*(1+G228)*((5-1)/(MaxLevel-1))^(2^F228)))</f>
        <v/>
      </c>
      <c r="M228" s="12" t="str">
        <f>IF(OR(D228="",E228=""),"",IF(IFERROR(INDEX(Stats!$D:$D,MATCH($C228,Stats!$A:$A,0)),FALSE),ROUND(D228+(E228-D228)*(1+G228)*((6-1)/(MaxLevel-1))^(2^F228),0),D228+(E228-D228)*(1+G228)*((6-1)/(MaxLevel-1))^(2^F228)))</f>
        <v/>
      </c>
      <c r="N228" s="12" t="str">
        <f>IF(OR(D228="",E228=""),"",IF(IFERROR(INDEX(Stats!$D:$D,MATCH($C228,Stats!$A:$A,0)),FALSE),ROUND(D228+(E228-D228)*(1+G228)*((7-1)/(MaxLevel-1))^(2^F228),0),D228+(E228-D228)*(1+G228)*((7-1)/(MaxLevel-1))^(2^F228)))</f>
        <v/>
      </c>
      <c r="O228" s="12" t="str">
        <f>IF(OR(D228="",E228=""),"",IF(IFERROR(INDEX(Stats!$D:$D,MATCH($C228,Stats!$A:$A,0)),FALSE),ROUND(D228+(E228-D228)*(1+G228)*((8-1)/(MaxLevel-1))^(2^F228),0),D228+(E228-D228)*(1+G228)*((8-1)/(MaxLevel-1))^(2^F228)))</f>
        <v/>
      </c>
      <c r="P228" s="12" t="str">
        <f>IF(OR(D228="",E228=""),"",IF(IFERROR(INDEX(Stats!$D:$D,MATCH($C228,Stats!$A:$A,0)),FALSE),ROUND(D228+(E228-D228)*(1+G228)*((9-1)/(MaxLevel-1))^(2^F228),0),D228+(E228-D228)*(1+G228)*((9-1)/(MaxLevel-1))^(2^F228)))</f>
        <v/>
      </c>
      <c r="Q228" s="12" t="str">
        <f>IF(OR(D228="",E228=""),"",IF(IFERROR(INDEX(Stats!$D:$D,MATCH($C228,Stats!$A:$A,0)),FALSE),ROUND(D228+(E228-D228)*(1+G228)*((10-1)/(MaxLevel-1))^(2^F228),0),D228+(E228-D228)*(1+G228)*((10-1)/(MaxLevel-1))^(2^F228)))</f>
        <v/>
      </c>
    </row>
    <row r="229" spans="1:17" x14ac:dyDescent="0.25">
      <c r="A229" s="4" t="s">
        <v>185</v>
      </c>
      <c r="B229" s="19" t="s">
        <v>226</v>
      </c>
      <c r="C229" s="4" t="s">
        <v>60</v>
      </c>
      <c r="D229" s="5"/>
      <c r="E229" s="5"/>
      <c r="F229" s="5"/>
      <c r="G229" s="5"/>
      <c r="H229" s="12" t="str">
        <f>IF(OR(D229="",E229=""),"",IF(IFERROR(INDEX(Stats!$D:$D,MATCH($C229,Stats!$A:$A,0)),FALSE),ROUND(D229+(E229-D229)*(1+G229)*((1-1)/(MaxLevel-1))^(2^F229),0),D229+(E229-D229)*(1+G229)*((1-1)/(MaxLevel-1))^(2^F229)))</f>
        <v/>
      </c>
      <c r="I229" s="12" t="str">
        <f>IF(OR(D229="",E229=""),"",IF(IFERROR(INDEX(Stats!$D:$D,MATCH($C229,Stats!$A:$A,0)),FALSE),ROUND(D229+(E229-D229)*(1+G229)*((2-1)/(MaxLevel-1))^(2^F229),0),D229+(E229-D229)*(1+G229)*((2-1)/(MaxLevel-1))^(2^F229)))</f>
        <v/>
      </c>
      <c r="J229" s="12" t="str">
        <f>IF(OR(D229="",E229=""),"",IF(IFERROR(INDEX(Stats!$D:$D,MATCH($C229,Stats!$A:$A,0)),FALSE),ROUND(D229+(E229-D229)*(1+G229)*((3-1)/(MaxLevel-1))^(2^F229),0),D229+(E229-D229)*(1+G229)*((3-1)/(MaxLevel-1))^(2^F229)))</f>
        <v/>
      </c>
      <c r="K229" s="12" t="str">
        <f>IF(OR(D229="",E229=""),"",IF(IFERROR(INDEX(Stats!$D:$D,MATCH($C229,Stats!$A:$A,0)),FALSE),ROUND(D229+(E229-D229)*(1+G229)*((4-1)/(MaxLevel-1))^(2^F229),0),D229+(E229-D229)*(1+G229)*((4-1)/(MaxLevel-1))^(2^F229)))</f>
        <v/>
      </c>
      <c r="L229" s="12" t="str">
        <f>IF(OR(D229="",E229=""),"",IF(IFERROR(INDEX(Stats!$D:$D,MATCH($C229,Stats!$A:$A,0)),FALSE),ROUND(D229+(E229-D229)*(1+G229)*((5-1)/(MaxLevel-1))^(2^F229),0),D229+(E229-D229)*(1+G229)*((5-1)/(MaxLevel-1))^(2^F229)))</f>
        <v/>
      </c>
      <c r="M229" s="12" t="str">
        <f>IF(OR(D229="",E229=""),"",IF(IFERROR(INDEX(Stats!$D:$D,MATCH($C229,Stats!$A:$A,0)),FALSE),ROUND(D229+(E229-D229)*(1+G229)*((6-1)/(MaxLevel-1))^(2^F229),0),D229+(E229-D229)*(1+G229)*((6-1)/(MaxLevel-1))^(2^F229)))</f>
        <v/>
      </c>
      <c r="N229" s="12" t="str">
        <f>IF(OR(D229="",E229=""),"",IF(IFERROR(INDEX(Stats!$D:$D,MATCH($C229,Stats!$A:$A,0)),FALSE),ROUND(D229+(E229-D229)*(1+G229)*((7-1)/(MaxLevel-1))^(2^F229),0),D229+(E229-D229)*(1+G229)*((7-1)/(MaxLevel-1))^(2^F229)))</f>
        <v/>
      </c>
      <c r="O229" s="12" t="str">
        <f>IF(OR(D229="",E229=""),"",IF(IFERROR(INDEX(Stats!$D:$D,MATCH($C229,Stats!$A:$A,0)),FALSE),ROUND(D229+(E229-D229)*(1+G229)*((8-1)/(MaxLevel-1))^(2^F229),0),D229+(E229-D229)*(1+G229)*((8-1)/(MaxLevel-1))^(2^F229)))</f>
        <v/>
      </c>
      <c r="P229" s="12" t="str">
        <f>IF(OR(D229="",E229=""),"",IF(IFERROR(INDEX(Stats!$D:$D,MATCH($C229,Stats!$A:$A,0)),FALSE),ROUND(D229+(E229-D229)*(1+G229)*((9-1)/(MaxLevel-1))^(2^F229),0),D229+(E229-D229)*(1+G229)*((9-1)/(MaxLevel-1))^(2^F229)))</f>
        <v/>
      </c>
      <c r="Q229" s="12" t="str">
        <f>IF(OR(D229="",E229=""),"",IF(IFERROR(INDEX(Stats!$D:$D,MATCH($C229,Stats!$A:$A,0)),FALSE),ROUND(D229+(E229-D229)*(1+G229)*((10-1)/(MaxLevel-1))^(2^F229),0),D229+(E229-D229)*(1+G229)*((10-1)/(MaxLevel-1))^(2^F229)))</f>
        <v/>
      </c>
    </row>
    <row r="230" spans="1:17" x14ac:dyDescent="0.25">
      <c r="A230" s="4" t="s">
        <v>185</v>
      </c>
      <c r="B230" s="19" t="s">
        <v>227</v>
      </c>
      <c r="C230" s="4" t="s">
        <v>24</v>
      </c>
      <c r="D230" s="5">
        <v>0</v>
      </c>
      <c r="E230" s="5">
        <v>10000</v>
      </c>
      <c r="F230" s="5">
        <v>1</v>
      </c>
      <c r="G230" s="5">
        <v>0</v>
      </c>
      <c r="H230" s="12">
        <f>IF(OR(D230="",E230=""),"",IF(IFERROR(INDEX(Stats!$D:$D,MATCH($C230,Stats!$A:$A,0)),FALSE),ROUND(D230+(E230-D230)*(1+G230)*((1-1)/(MaxLevel-1))^(2^F230),0),D230+(E230-D230)*(1+G230)*((1-1)/(MaxLevel-1))^(2^F230)))</f>
        <v>0</v>
      </c>
      <c r="I230" s="12">
        <f>IF(OR(D230="",E230=""),"",IF(IFERROR(INDEX(Stats!$D:$D,MATCH($C230,Stats!$A:$A,0)),FALSE),ROUND(D230+(E230-D230)*(1+G230)*((2-1)/(MaxLevel-1))^(2^F230),0),D230+(E230-D230)*(1+G230)*((2-1)/(MaxLevel-1))^(2^F230)))</f>
        <v>123</v>
      </c>
      <c r="J230" s="12">
        <f>IF(OR(D230="",E230=""),"",IF(IFERROR(INDEX(Stats!$D:$D,MATCH($C230,Stats!$A:$A,0)),FALSE),ROUND(D230+(E230-D230)*(1+G230)*((3-1)/(MaxLevel-1))^(2^F230),0),D230+(E230-D230)*(1+G230)*((3-1)/(MaxLevel-1))^(2^F230)))</f>
        <v>494</v>
      </c>
      <c r="K230" s="12">
        <f>IF(OR(D230="",E230=""),"",IF(IFERROR(INDEX(Stats!$D:$D,MATCH($C230,Stats!$A:$A,0)),FALSE),ROUND(D230+(E230-D230)*(1+G230)*((4-1)/(MaxLevel-1))^(2^F230),0),D230+(E230-D230)*(1+G230)*((4-1)/(MaxLevel-1))^(2^F230)))</f>
        <v>1111</v>
      </c>
      <c r="L230" s="12">
        <f>IF(OR(D230="",E230=""),"",IF(IFERROR(INDEX(Stats!$D:$D,MATCH($C230,Stats!$A:$A,0)),FALSE),ROUND(D230+(E230-D230)*(1+G230)*((5-1)/(MaxLevel-1))^(2^F230),0),D230+(E230-D230)*(1+G230)*((5-1)/(MaxLevel-1))^(2^F230)))</f>
        <v>1975</v>
      </c>
      <c r="M230" s="12">
        <f>IF(OR(D230="",E230=""),"",IF(IFERROR(INDEX(Stats!$D:$D,MATCH($C230,Stats!$A:$A,0)),FALSE),ROUND(D230+(E230-D230)*(1+G230)*((6-1)/(MaxLevel-1))^(2^F230),0),D230+(E230-D230)*(1+G230)*((6-1)/(MaxLevel-1))^(2^F230)))</f>
        <v>3086</v>
      </c>
      <c r="N230" s="12">
        <f>IF(OR(D230="",E230=""),"",IF(IFERROR(INDEX(Stats!$D:$D,MATCH($C230,Stats!$A:$A,0)),FALSE),ROUND(D230+(E230-D230)*(1+G230)*((7-1)/(MaxLevel-1))^(2^F230),0),D230+(E230-D230)*(1+G230)*((7-1)/(MaxLevel-1))^(2^F230)))</f>
        <v>4444</v>
      </c>
      <c r="O230" s="12">
        <f>IF(OR(D230="",E230=""),"",IF(IFERROR(INDEX(Stats!$D:$D,MATCH($C230,Stats!$A:$A,0)),FALSE),ROUND(D230+(E230-D230)*(1+G230)*((8-1)/(MaxLevel-1))^(2^F230),0),D230+(E230-D230)*(1+G230)*((8-1)/(MaxLevel-1))^(2^F230)))</f>
        <v>6049</v>
      </c>
      <c r="P230" s="12">
        <f>IF(OR(D230="",E230=""),"",IF(IFERROR(INDEX(Stats!$D:$D,MATCH($C230,Stats!$A:$A,0)),FALSE),ROUND(D230+(E230-D230)*(1+G230)*((9-1)/(MaxLevel-1))^(2^F230),0),D230+(E230-D230)*(1+G230)*((9-1)/(MaxLevel-1))^(2^F230)))</f>
        <v>7901</v>
      </c>
      <c r="Q230" s="12">
        <f>IF(OR(D230="",E230=""),"",IF(IFERROR(INDEX(Stats!$D:$D,MATCH($C230,Stats!$A:$A,0)),FALSE),ROUND(D230+(E230-D230)*(1+G230)*((10-1)/(MaxLevel-1))^(2^F230),0),D230+(E230-D230)*(1+G230)*((10-1)/(MaxLevel-1))^(2^F230)))</f>
        <v>10000</v>
      </c>
    </row>
    <row r="231" spans="1:17" x14ac:dyDescent="0.25">
      <c r="A231" s="4" t="s">
        <v>185</v>
      </c>
      <c r="B231" s="19" t="s">
        <v>227</v>
      </c>
      <c r="C231" s="4" t="s">
        <v>26</v>
      </c>
      <c r="D231" s="5">
        <v>25</v>
      </c>
      <c r="E231" s="5">
        <v>150</v>
      </c>
      <c r="F231" s="5">
        <v>0</v>
      </c>
      <c r="G231" s="5">
        <v>0</v>
      </c>
      <c r="H231" s="12">
        <f>IF(OR(D231="",E231=""),"",IF(IFERROR(INDEX(Stats!$D:$D,MATCH($C231,Stats!$A:$A,0)),FALSE),ROUND(D231+(E231-D231)*(1+G231)*((1-1)/(MaxLevel-1))^(2^F231),0),D231+(E231-D231)*(1+G231)*((1-1)/(MaxLevel-1))^(2^F231)))</f>
        <v>25</v>
      </c>
      <c r="I231" s="12">
        <f>IF(OR(D231="",E231=""),"",IF(IFERROR(INDEX(Stats!$D:$D,MATCH($C231,Stats!$A:$A,0)),FALSE),ROUND(D231+(E231-D231)*(1+G231)*((2-1)/(MaxLevel-1))^(2^F231),0),D231+(E231-D231)*(1+G231)*((2-1)/(MaxLevel-1))^(2^F231)))</f>
        <v>39</v>
      </c>
      <c r="J231" s="12">
        <f>IF(OR(D231="",E231=""),"",IF(IFERROR(INDEX(Stats!$D:$D,MATCH($C231,Stats!$A:$A,0)),FALSE),ROUND(D231+(E231-D231)*(1+G231)*((3-1)/(MaxLevel-1))^(2^F231),0),D231+(E231-D231)*(1+G231)*((3-1)/(MaxLevel-1))^(2^F231)))</f>
        <v>53</v>
      </c>
      <c r="K231" s="12">
        <f>IF(OR(D231="",E231=""),"",IF(IFERROR(INDEX(Stats!$D:$D,MATCH($C231,Stats!$A:$A,0)),FALSE),ROUND(D231+(E231-D231)*(1+G231)*((4-1)/(MaxLevel-1))^(2^F231),0),D231+(E231-D231)*(1+G231)*((4-1)/(MaxLevel-1))^(2^F231)))</f>
        <v>67</v>
      </c>
      <c r="L231" s="12">
        <f>IF(OR(D231="",E231=""),"",IF(IFERROR(INDEX(Stats!$D:$D,MATCH($C231,Stats!$A:$A,0)),FALSE),ROUND(D231+(E231-D231)*(1+G231)*((5-1)/(MaxLevel-1))^(2^F231),0),D231+(E231-D231)*(1+G231)*((5-1)/(MaxLevel-1))^(2^F231)))</f>
        <v>81</v>
      </c>
      <c r="M231" s="12">
        <f>IF(OR(D231="",E231=""),"",IF(IFERROR(INDEX(Stats!$D:$D,MATCH($C231,Stats!$A:$A,0)),FALSE),ROUND(D231+(E231-D231)*(1+G231)*((6-1)/(MaxLevel-1))^(2^F231),0),D231+(E231-D231)*(1+G231)*((6-1)/(MaxLevel-1))^(2^F231)))</f>
        <v>94</v>
      </c>
      <c r="N231" s="12">
        <f>IF(OR(D231="",E231=""),"",IF(IFERROR(INDEX(Stats!$D:$D,MATCH($C231,Stats!$A:$A,0)),FALSE),ROUND(D231+(E231-D231)*(1+G231)*((7-1)/(MaxLevel-1))^(2^F231),0),D231+(E231-D231)*(1+G231)*((7-1)/(MaxLevel-1))^(2^F231)))</f>
        <v>108</v>
      </c>
      <c r="O231" s="12">
        <f>IF(OR(D231="",E231=""),"",IF(IFERROR(INDEX(Stats!$D:$D,MATCH($C231,Stats!$A:$A,0)),FALSE),ROUND(D231+(E231-D231)*(1+G231)*((8-1)/(MaxLevel-1))^(2^F231),0),D231+(E231-D231)*(1+G231)*((8-1)/(MaxLevel-1))^(2^F231)))</f>
        <v>122</v>
      </c>
      <c r="P231" s="12">
        <f>IF(OR(D231="",E231=""),"",IF(IFERROR(INDEX(Stats!$D:$D,MATCH($C231,Stats!$A:$A,0)),FALSE),ROUND(D231+(E231-D231)*(1+G231)*((9-1)/(MaxLevel-1))^(2^F231),0),D231+(E231-D231)*(1+G231)*((9-1)/(MaxLevel-1))^(2^F231)))</f>
        <v>136</v>
      </c>
      <c r="Q231" s="12">
        <f>IF(OR(D231="",E231=""),"",IF(IFERROR(INDEX(Stats!$D:$D,MATCH($C231,Stats!$A:$A,0)),FALSE),ROUND(D231+(E231-D231)*(1+G231)*((10-1)/(MaxLevel-1))^(2^F231),0),D231+(E231-D231)*(1+G231)*((10-1)/(MaxLevel-1))^(2^F231)))</f>
        <v>150</v>
      </c>
    </row>
    <row r="232" spans="1:17" x14ac:dyDescent="0.25">
      <c r="A232" s="4" t="s">
        <v>185</v>
      </c>
      <c r="B232" s="19" t="s">
        <v>227</v>
      </c>
      <c r="C232" s="4" t="s">
        <v>28</v>
      </c>
      <c r="D232" s="5">
        <v>300</v>
      </c>
      <c r="E232" s="5">
        <v>1200</v>
      </c>
      <c r="F232" s="5">
        <v>0</v>
      </c>
      <c r="G232" s="5">
        <v>-0.1</v>
      </c>
      <c r="H232" s="12">
        <f>IF(OR(D232="",E232=""),"",IF(IFERROR(INDEX(Stats!$D:$D,MATCH($C232,Stats!$A:$A,0)),FALSE),ROUND(D232+(E232-D232)*(1+G232)*((1-1)/(MaxLevel-1))^(2^F232),0),D232+(E232-D232)*(1+G232)*((1-1)/(MaxLevel-1))^(2^F232)))</f>
        <v>300</v>
      </c>
      <c r="I232" s="12">
        <f>IF(OR(D232="",E232=""),"",IF(IFERROR(INDEX(Stats!$D:$D,MATCH($C232,Stats!$A:$A,0)),FALSE),ROUND(D232+(E232-D232)*(1+G232)*((2-1)/(MaxLevel-1))^(2^F232),0),D232+(E232-D232)*(1+G232)*((2-1)/(MaxLevel-1))^(2^F232)))</f>
        <v>390</v>
      </c>
      <c r="J232" s="12">
        <f>IF(OR(D232="",E232=""),"",IF(IFERROR(INDEX(Stats!$D:$D,MATCH($C232,Stats!$A:$A,0)),FALSE),ROUND(D232+(E232-D232)*(1+G232)*((3-1)/(MaxLevel-1))^(2^F232),0),D232+(E232-D232)*(1+G232)*((3-1)/(MaxLevel-1))^(2^F232)))</f>
        <v>480</v>
      </c>
      <c r="K232" s="12">
        <f>IF(OR(D232="",E232=""),"",IF(IFERROR(INDEX(Stats!$D:$D,MATCH($C232,Stats!$A:$A,0)),FALSE),ROUND(D232+(E232-D232)*(1+G232)*((4-1)/(MaxLevel-1))^(2^F232),0),D232+(E232-D232)*(1+G232)*((4-1)/(MaxLevel-1))^(2^F232)))</f>
        <v>570</v>
      </c>
      <c r="L232" s="12">
        <f>IF(OR(D232="",E232=""),"",IF(IFERROR(INDEX(Stats!$D:$D,MATCH($C232,Stats!$A:$A,0)),FALSE),ROUND(D232+(E232-D232)*(1+G232)*((5-1)/(MaxLevel-1))^(2^F232),0),D232+(E232-D232)*(1+G232)*((5-1)/(MaxLevel-1))^(2^F232)))</f>
        <v>660</v>
      </c>
      <c r="M232" s="12">
        <f>IF(OR(D232="",E232=""),"",IF(IFERROR(INDEX(Stats!$D:$D,MATCH($C232,Stats!$A:$A,0)),FALSE),ROUND(D232+(E232-D232)*(1+G232)*((6-1)/(MaxLevel-1))^(2^F232),0),D232+(E232-D232)*(1+G232)*((6-1)/(MaxLevel-1))^(2^F232)))</f>
        <v>750</v>
      </c>
      <c r="N232" s="12">
        <f>IF(OR(D232="",E232=""),"",IF(IFERROR(INDEX(Stats!$D:$D,MATCH($C232,Stats!$A:$A,0)),FALSE),ROUND(D232+(E232-D232)*(1+G232)*((7-1)/(MaxLevel-1))^(2^F232),0),D232+(E232-D232)*(1+G232)*((7-1)/(MaxLevel-1))^(2^F232)))</f>
        <v>840</v>
      </c>
      <c r="O232" s="12">
        <f>IF(OR(D232="",E232=""),"",IF(IFERROR(INDEX(Stats!$D:$D,MATCH($C232,Stats!$A:$A,0)),FALSE),ROUND(D232+(E232-D232)*(1+G232)*((8-1)/(MaxLevel-1))^(2^F232),0),D232+(E232-D232)*(1+G232)*((8-1)/(MaxLevel-1))^(2^F232)))</f>
        <v>930</v>
      </c>
      <c r="P232" s="12">
        <f>IF(OR(D232="",E232=""),"",IF(IFERROR(INDEX(Stats!$D:$D,MATCH($C232,Stats!$A:$A,0)),FALSE),ROUND(D232+(E232-D232)*(1+G232)*((9-1)/(MaxLevel-1))^(2^F232),0),D232+(E232-D232)*(1+G232)*((9-1)/(MaxLevel-1))^(2^F232)))</f>
        <v>1020</v>
      </c>
      <c r="Q232" s="12">
        <f>IF(OR(D232="",E232=""),"",IF(IFERROR(INDEX(Stats!$D:$D,MATCH($C232,Stats!$A:$A,0)),FALSE),ROUND(D232+(E232-D232)*(1+G232)*((10-1)/(MaxLevel-1))^(2^F232),0),D232+(E232-D232)*(1+G232)*((10-1)/(MaxLevel-1))^(2^F232)))</f>
        <v>1110</v>
      </c>
    </row>
    <row r="233" spans="1:17" x14ac:dyDescent="0.25">
      <c r="A233" s="4" t="s">
        <v>185</v>
      </c>
      <c r="B233" s="19" t="s">
        <v>227</v>
      </c>
      <c r="C233" s="4" t="s">
        <v>30</v>
      </c>
      <c r="D233" s="5">
        <v>25</v>
      </c>
      <c r="E233" s="5">
        <v>110</v>
      </c>
      <c r="F233" s="5">
        <v>0.5</v>
      </c>
      <c r="G233" s="5">
        <v>0</v>
      </c>
      <c r="H233" s="12">
        <f>IF(OR(D233="",E233=""),"",IF(IFERROR(INDEX(Stats!$D:$D,MATCH($C233,Stats!$A:$A,0)),FALSE),ROUND(D233+(E233-D233)*(1+G233)*((1-1)/(MaxLevel-1))^(2^F233),0),D233+(E233-D233)*(1+G233)*((1-1)/(MaxLevel-1))^(2^F233)))</f>
        <v>25</v>
      </c>
      <c r="I233" s="12">
        <f>IF(OR(D233="",E233=""),"",IF(IFERROR(INDEX(Stats!$D:$D,MATCH($C233,Stats!$A:$A,0)),FALSE),ROUND(D233+(E233-D233)*(1+G233)*((2-1)/(MaxLevel-1))^(2^F233),0),D233+(E233-D233)*(1+G233)*((2-1)/(MaxLevel-1))^(2^F233)))</f>
        <v>29</v>
      </c>
      <c r="J233" s="12">
        <f>IF(OR(D233="",E233=""),"",IF(IFERROR(INDEX(Stats!$D:$D,MATCH($C233,Stats!$A:$A,0)),FALSE),ROUND(D233+(E233-D233)*(1+G233)*((3-1)/(MaxLevel-1))^(2^F233),0),D233+(E233-D233)*(1+G233)*((3-1)/(MaxLevel-1))^(2^F233)))</f>
        <v>35</v>
      </c>
      <c r="K233" s="12">
        <f>IF(OR(D233="",E233=""),"",IF(IFERROR(INDEX(Stats!$D:$D,MATCH($C233,Stats!$A:$A,0)),FALSE),ROUND(D233+(E233-D233)*(1+G233)*((4-1)/(MaxLevel-1))^(2^F233),0),D233+(E233-D233)*(1+G233)*((4-1)/(MaxLevel-1))^(2^F233)))</f>
        <v>43</v>
      </c>
      <c r="L233" s="12">
        <f>IF(OR(D233="",E233=""),"",IF(IFERROR(INDEX(Stats!$D:$D,MATCH($C233,Stats!$A:$A,0)),FALSE),ROUND(D233+(E233-D233)*(1+G233)*((5-1)/(MaxLevel-1))^(2^F233),0),D233+(E233-D233)*(1+G233)*((5-1)/(MaxLevel-1))^(2^F233)))</f>
        <v>52</v>
      </c>
      <c r="M233" s="12">
        <f>IF(OR(D233="",E233=""),"",IF(IFERROR(INDEX(Stats!$D:$D,MATCH($C233,Stats!$A:$A,0)),FALSE),ROUND(D233+(E233-D233)*(1+G233)*((6-1)/(MaxLevel-1))^(2^F233),0),D233+(E233-D233)*(1+G233)*((6-1)/(MaxLevel-1))^(2^F233)))</f>
        <v>62</v>
      </c>
      <c r="N233" s="12">
        <f>IF(OR(D233="",E233=""),"",IF(IFERROR(INDEX(Stats!$D:$D,MATCH($C233,Stats!$A:$A,0)),FALSE),ROUND(D233+(E233-D233)*(1+G233)*((7-1)/(MaxLevel-1))^(2^F233),0),D233+(E233-D233)*(1+G233)*((7-1)/(MaxLevel-1))^(2^F233)))</f>
        <v>73</v>
      </c>
      <c r="O233" s="12">
        <f>IF(OR(D233="",E233=""),"",IF(IFERROR(INDEX(Stats!$D:$D,MATCH($C233,Stats!$A:$A,0)),FALSE),ROUND(D233+(E233-D233)*(1+G233)*((8-1)/(MaxLevel-1))^(2^F233),0),D233+(E233-D233)*(1+G233)*((8-1)/(MaxLevel-1))^(2^F233)))</f>
        <v>85</v>
      </c>
      <c r="P233" s="12">
        <f>IF(OR(D233="",E233=""),"",IF(IFERROR(INDEX(Stats!$D:$D,MATCH($C233,Stats!$A:$A,0)),FALSE),ROUND(D233+(E233-D233)*(1+G233)*((9-1)/(MaxLevel-1))^(2^F233),0),D233+(E233-D233)*(1+G233)*((9-1)/(MaxLevel-1))^(2^F233)))</f>
        <v>97</v>
      </c>
      <c r="Q233" s="12">
        <f>IF(OR(D233="",E233=""),"",IF(IFERROR(INDEX(Stats!$D:$D,MATCH($C233,Stats!$A:$A,0)),FALSE),ROUND(D233+(E233-D233)*(1+G233)*((10-1)/(MaxLevel-1))^(2^F233),0),D233+(E233-D233)*(1+G233)*((10-1)/(MaxLevel-1))^(2^F233)))</f>
        <v>110</v>
      </c>
    </row>
    <row r="234" spans="1:17" x14ac:dyDescent="0.25">
      <c r="A234" s="4" t="s">
        <v>185</v>
      </c>
      <c r="B234" s="19" t="s">
        <v>227</v>
      </c>
      <c r="C234" s="4" t="s">
        <v>32</v>
      </c>
      <c r="D234" s="5"/>
      <c r="E234" s="5"/>
      <c r="F234" s="5"/>
      <c r="G234" s="5"/>
      <c r="H234" s="12" t="str">
        <f>IF(OR(D234="",E234=""),"",IF(IFERROR(INDEX(Stats!$D:$D,MATCH($C234,Stats!$A:$A,0)),FALSE),ROUND(D234+(E234-D234)*(1+G234)*((1-1)/(MaxLevel-1))^(2^F234),0),D234+(E234-D234)*(1+G234)*((1-1)/(MaxLevel-1))^(2^F234)))</f>
        <v/>
      </c>
      <c r="I234" s="12" t="str">
        <f>IF(OR(D234="",E234=""),"",IF(IFERROR(INDEX(Stats!$D:$D,MATCH($C234,Stats!$A:$A,0)),FALSE),ROUND(D234+(E234-D234)*(1+G234)*((2-1)/(MaxLevel-1))^(2^F234),0),D234+(E234-D234)*(1+G234)*((2-1)/(MaxLevel-1))^(2^F234)))</f>
        <v/>
      </c>
      <c r="J234" s="12" t="str">
        <f>IF(OR(D234="",E234=""),"",IF(IFERROR(INDEX(Stats!$D:$D,MATCH($C234,Stats!$A:$A,0)),FALSE),ROUND(D234+(E234-D234)*(1+G234)*((3-1)/(MaxLevel-1))^(2^F234),0),D234+(E234-D234)*(1+G234)*((3-1)/(MaxLevel-1))^(2^F234)))</f>
        <v/>
      </c>
      <c r="K234" s="12" t="str">
        <f>IF(OR(D234="",E234=""),"",IF(IFERROR(INDEX(Stats!$D:$D,MATCH($C234,Stats!$A:$A,0)),FALSE),ROUND(D234+(E234-D234)*(1+G234)*((4-1)/(MaxLevel-1))^(2^F234),0),D234+(E234-D234)*(1+G234)*((4-1)/(MaxLevel-1))^(2^F234)))</f>
        <v/>
      </c>
      <c r="L234" s="12" t="str">
        <f>IF(OR(D234="",E234=""),"",IF(IFERROR(INDEX(Stats!$D:$D,MATCH($C234,Stats!$A:$A,0)),FALSE),ROUND(D234+(E234-D234)*(1+G234)*((5-1)/(MaxLevel-1))^(2^F234),0),D234+(E234-D234)*(1+G234)*((5-1)/(MaxLevel-1))^(2^F234)))</f>
        <v/>
      </c>
      <c r="M234" s="12" t="str">
        <f>IF(OR(D234="",E234=""),"",IF(IFERROR(INDEX(Stats!$D:$D,MATCH($C234,Stats!$A:$A,0)),FALSE),ROUND(D234+(E234-D234)*(1+G234)*((6-1)/(MaxLevel-1))^(2^F234),0),D234+(E234-D234)*(1+G234)*((6-1)/(MaxLevel-1))^(2^F234)))</f>
        <v/>
      </c>
      <c r="N234" s="12" t="str">
        <f>IF(OR(D234="",E234=""),"",IF(IFERROR(INDEX(Stats!$D:$D,MATCH($C234,Stats!$A:$A,0)),FALSE),ROUND(D234+(E234-D234)*(1+G234)*((7-1)/(MaxLevel-1))^(2^F234),0),D234+(E234-D234)*(1+G234)*((7-1)/(MaxLevel-1))^(2^F234)))</f>
        <v/>
      </c>
      <c r="O234" s="12" t="str">
        <f>IF(OR(D234="",E234=""),"",IF(IFERROR(INDEX(Stats!$D:$D,MATCH($C234,Stats!$A:$A,0)),FALSE),ROUND(D234+(E234-D234)*(1+G234)*((8-1)/(MaxLevel-1))^(2^F234),0),D234+(E234-D234)*(1+G234)*((8-1)/(MaxLevel-1))^(2^F234)))</f>
        <v/>
      </c>
      <c r="P234" s="12" t="str">
        <f>IF(OR(D234="",E234=""),"",IF(IFERROR(INDEX(Stats!$D:$D,MATCH($C234,Stats!$A:$A,0)),FALSE),ROUND(D234+(E234-D234)*(1+G234)*((9-1)/(MaxLevel-1))^(2^F234),0),D234+(E234-D234)*(1+G234)*((9-1)/(MaxLevel-1))^(2^F234)))</f>
        <v/>
      </c>
      <c r="Q234" s="12" t="str">
        <f>IF(OR(D234="",E234=""),"",IF(IFERROR(INDEX(Stats!$D:$D,MATCH($C234,Stats!$A:$A,0)),FALSE),ROUND(D234+(E234-D234)*(1+G234)*((10-1)/(MaxLevel-1))^(2^F234),0),D234+(E234-D234)*(1+G234)*((10-1)/(MaxLevel-1))^(2^F234)))</f>
        <v/>
      </c>
    </row>
    <row r="235" spans="1:17" x14ac:dyDescent="0.25">
      <c r="A235" s="4" t="s">
        <v>185</v>
      </c>
      <c r="B235" s="19" t="s">
        <v>227</v>
      </c>
      <c r="C235" s="4" t="s">
        <v>34</v>
      </c>
      <c r="D235" s="5"/>
      <c r="E235" s="5"/>
      <c r="F235" s="5"/>
      <c r="G235" s="5"/>
      <c r="H235" s="12" t="str">
        <f>IF(OR(D235="",E235=""),"",IF(IFERROR(INDEX(Stats!$D:$D,MATCH($C235,Stats!$A:$A,0)),FALSE),ROUND(D235+(E235-D235)*(1+G235)*((1-1)/(MaxLevel-1))^(2^F235),0),D235+(E235-D235)*(1+G235)*((1-1)/(MaxLevel-1))^(2^F235)))</f>
        <v/>
      </c>
      <c r="I235" s="12" t="str">
        <f>IF(OR(D235="",E235=""),"",IF(IFERROR(INDEX(Stats!$D:$D,MATCH($C235,Stats!$A:$A,0)),FALSE),ROUND(D235+(E235-D235)*(1+G235)*((2-1)/(MaxLevel-1))^(2^F235),0),D235+(E235-D235)*(1+G235)*((2-1)/(MaxLevel-1))^(2^F235)))</f>
        <v/>
      </c>
      <c r="J235" s="12" t="str">
        <f>IF(OR(D235="",E235=""),"",IF(IFERROR(INDEX(Stats!$D:$D,MATCH($C235,Stats!$A:$A,0)),FALSE),ROUND(D235+(E235-D235)*(1+G235)*((3-1)/(MaxLevel-1))^(2^F235),0),D235+(E235-D235)*(1+G235)*((3-1)/(MaxLevel-1))^(2^F235)))</f>
        <v/>
      </c>
      <c r="K235" s="12" t="str">
        <f>IF(OR(D235="",E235=""),"",IF(IFERROR(INDEX(Stats!$D:$D,MATCH($C235,Stats!$A:$A,0)),FALSE),ROUND(D235+(E235-D235)*(1+G235)*((4-1)/(MaxLevel-1))^(2^F235),0),D235+(E235-D235)*(1+G235)*((4-1)/(MaxLevel-1))^(2^F235)))</f>
        <v/>
      </c>
      <c r="L235" s="12" t="str">
        <f>IF(OR(D235="",E235=""),"",IF(IFERROR(INDEX(Stats!$D:$D,MATCH($C235,Stats!$A:$A,0)),FALSE),ROUND(D235+(E235-D235)*(1+G235)*((5-1)/(MaxLevel-1))^(2^F235),0),D235+(E235-D235)*(1+G235)*((5-1)/(MaxLevel-1))^(2^F235)))</f>
        <v/>
      </c>
      <c r="M235" s="12" t="str">
        <f>IF(OR(D235="",E235=""),"",IF(IFERROR(INDEX(Stats!$D:$D,MATCH($C235,Stats!$A:$A,0)),FALSE),ROUND(D235+(E235-D235)*(1+G235)*((6-1)/(MaxLevel-1))^(2^F235),0),D235+(E235-D235)*(1+G235)*((6-1)/(MaxLevel-1))^(2^F235)))</f>
        <v/>
      </c>
      <c r="N235" s="12" t="str">
        <f>IF(OR(D235="",E235=""),"",IF(IFERROR(INDEX(Stats!$D:$D,MATCH($C235,Stats!$A:$A,0)),FALSE),ROUND(D235+(E235-D235)*(1+G235)*((7-1)/(MaxLevel-1))^(2^F235),0),D235+(E235-D235)*(1+G235)*((7-1)/(MaxLevel-1))^(2^F235)))</f>
        <v/>
      </c>
      <c r="O235" s="12" t="str">
        <f>IF(OR(D235="",E235=""),"",IF(IFERROR(INDEX(Stats!$D:$D,MATCH($C235,Stats!$A:$A,0)),FALSE),ROUND(D235+(E235-D235)*(1+G235)*((8-1)/(MaxLevel-1))^(2^F235),0),D235+(E235-D235)*(1+G235)*((8-1)/(MaxLevel-1))^(2^F235)))</f>
        <v/>
      </c>
      <c r="P235" s="12" t="str">
        <f>IF(OR(D235="",E235=""),"",IF(IFERROR(INDEX(Stats!$D:$D,MATCH($C235,Stats!$A:$A,0)),FALSE),ROUND(D235+(E235-D235)*(1+G235)*((9-1)/(MaxLevel-1))^(2^F235),0),D235+(E235-D235)*(1+G235)*((9-1)/(MaxLevel-1))^(2^F235)))</f>
        <v/>
      </c>
      <c r="Q235" s="12" t="str">
        <f>IF(OR(D235="",E235=""),"",IF(IFERROR(INDEX(Stats!$D:$D,MATCH($C235,Stats!$A:$A,0)),FALSE),ROUND(D235+(E235-D235)*(1+G235)*((10-1)/(MaxLevel-1))^(2^F235),0),D235+(E235-D235)*(1+G235)*((10-1)/(MaxLevel-1))^(2^F235)))</f>
        <v/>
      </c>
    </row>
    <row r="236" spans="1:17" x14ac:dyDescent="0.25">
      <c r="A236" s="4" t="s">
        <v>185</v>
      </c>
      <c r="B236" s="19" t="s">
        <v>227</v>
      </c>
      <c r="C236" s="4" t="s">
        <v>36</v>
      </c>
      <c r="D236" s="5"/>
      <c r="E236" s="5"/>
      <c r="F236" s="5"/>
      <c r="G236" s="5"/>
      <c r="H236" s="12" t="str">
        <f>IF(OR(D236="",E236=""),"",IF(IFERROR(INDEX(Stats!$D:$D,MATCH($C236,Stats!$A:$A,0)),FALSE),ROUND(D236+(E236-D236)*(1+G236)*((1-1)/(MaxLevel-1))^(2^F236),0),D236+(E236-D236)*(1+G236)*((1-1)/(MaxLevel-1))^(2^F236)))</f>
        <v/>
      </c>
      <c r="I236" s="12" t="str">
        <f>IF(OR(D236="",E236=""),"",IF(IFERROR(INDEX(Stats!$D:$D,MATCH($C236,Stats!$A:$A,0)),FALSE),ROUND(D236+(E236-D236)*(1+G236)*((2-1)/(MaxLevel-1))^(2^F236),0),D236+(E236-D236)*(1+G236)*((2-1)/(MaxLevel-1))^(2^F236)))</f>
        <v/>
      </c>
      <c r="J236" s="12" t="str">
        <f>IF(OR(D236="",E236=""),"",IF(IFERROR(INDEX(Stats!$D:$D,MATCH($C236,Stats!$A:$A,0)),FALSE),ROUND(D236+(E236-D236)*(1+G236)*((3-1)/(MaxLevel-1))^(2^F236),0),D236+(E236-D236)*(1+G236)*((3-1)/(MaxLevel-1))^(2^F236)))</f>
        <v/>
      </c>
      <c r="K236" s="12" t="str">
        <f>IF(OR(D236="",E236=""),"",IF(IFERROR(INDEX(Stats!$D:$D,MATCH($C236,Stats!$A:$A,0)),FALSE),ROUND(D236+(E236-D236)*(1+G236)*((4-1)/(MaxLevel-1))^(2^F236),0),D236+(E236-D236)*(1+G236)*((4-1)/(MaxLevel-1))^(2^F236)))</f>
        <v/>
      </c>
      <c r="L236" s="12" t="str">
        <f>IF(OR(D236="",E236=""),"",IF(IFERROR(INDEX(Stats!$D:$D,MATCH($C236,Stats!$A:$A,0)),FALSE),ROUND(D236+(E236-D236)*(1+G236)*((5-1)/(MaxLevel-1))^(2^F236),0),D236+(E236-D236)*(1+G236)*((5-1)/(MaxLevel-1))^(2^F236)))</f>
        <v/>
      </c>
      <c r="M236" s="12" t="str">
        <f>IF(OR(D236="",E236=""),"",IF(IFERROR(INDEX(Stats!$D:$D,MATCH($C236,Stats!$A:$A,0)),FALSE),ROUND(D236+(E236-D236)*(1+G236)*((6-1)/(MaxLevel-1))^(2^F236),0),D236+(E236-D236)*(1+G236)*((6-1)/(MaxLevel-1))^(2^F236)))</f>
        <v/>
      </c>
      <c r="N236" s="12" t="str">
        <f>IF(OR(D236="",E236=""),"",IF(IFERROR(INDEX(Stats!$D:$D,MATCH($C236,Stats!$A:$A,0)),FALSE),ROUND(D236+(E236-D236)*(1+G236)*((7-1)/(MaxLevel-1))^(2^F236),0),D236+(E236-D236)*(1+G236)*((7-1)/(MaxLevel-1))^(2^F236)))</f>
        <v/>
      </c>
      <c r="O236" s="12" t="str">
        <f>IF(OR(D236="",E236=""),"",IF(IFERROR(INDEX(Stats!$D:$D,MATCH($C236,Stats!$A:$A,0)),FALSE),ROUND(D236+(E236-D236)*(1+G236)*((8-1)/(MaxLevel-1))^(2^F236),0),D236+(E236-D236)*(1+G236)*((8-1)/(MaxLevel-1))^(2^F236)))</f>
        <v/>
      </c>
      <c r="P236" s="12" t="str">
        <f>IF(OR(D236="",E236=""),"",IF(IFERROR(INDEX(Stats!$D:$D,MATCH($C236,Stats!$A:$A,0)),FALSE),ROUND(D236+(E236-D236)*(1+G236)*((9-1)/(MaxLevel-1))^(2^F236),0),D236+(E236-D236)*(1+G236)*((9-1)/(MaxLevel-1))^(2^F236)))</f>
        <v/>
      </c>
      <c r="Q236" s="12" t="str">
        <f>IF(OR(D236="",E236=""),"",IF(IFERROR(INDEX(Stats!$D:$D,MATCH($C236,Stats!$A:$A,0)),FALSE),ROUND(D236+(E236-D236)*(1+G236)*((10-1)/(MaxLevel-1))^(2^F236),0),D236+(E236-D236)*(1+G236)*((10-1)/(MaxLevel-1))^(2^F236)))</f>
        <v/>
      </c>
    </row>
    <row r="237" spans="1:17" x14ac:dyDescent="0.25">
      <c r="A237" s="4" t="s">
        <v>185</v>
      </c>
      <c r="B237" s="19" t="s">
        <v>227</v>
      </c>
      <c r="C237" s="4" t="s">
        <v>38</v>
      </c>
      <c r="D237" s="5"/>
      <c r="E237" s="5"/>
      <c r="F237" s="5"/>
      <c r="G237" s="5"/>
      <c r="H237" s="12" t="str">
        <f>IF(OR(D237="",E237=""),"",IF(IFERROR(INDEX(Stats!$D:$D,MATCH($C237,Stats!$A:$A,0)),FALSE),ROUND(D237+(E237-D237)*(1+G237)*((1-1)/(MaxLevel-1))^(2^F237),0),D237+(E237-D237)*(1+G237)*((1-1)/(MaxLevel-1))^(2^F237)))</f>
        <v/>
      </c>
      <c r="I237" s="12" t="str">
        <f>IF(OR(D237="",E237=""),"",IF(IFERROR(INDEX(Stats!$D:$D,MATCH($C237,Stats!$A:$A,0)),FALSE),ROUND(D237+(E237-D237)*(1+G237)*((2-1)/(MaxLevel-1))^(2^F237),0),D237+(E237-D237)*(1+G237)*((2-1)/(MaxLevel-1))^(2^F237)))</f>
        <v/>
      </c>
      <c r="J237" s="12" t="str">
        <f>IF(OR(D237="",E237=""),"",IF(IFERROR(INDEX(Stats!$D:$D,MATCH($C237,Stats!$A:$A,0)),FALSE),ROUND(D237+(E237-D237)*(1+G237)*((3-1)/(MaxLevel-1))^(2^F237),0),D237+(E237-D237)*(1+G237)*((3-1)/(MaxLevel-1))^(2^F237)))</f>
        <v/>
      </c>
      <c r="K237" s="12" t="str">
        <f>IF(OR(D237="",E237=""),"",IF(IFERROR(INDEX(Stats!$D:$D,MATCH($C237,Stats!$A:$A,0)),FALSE),ROUND(D237+(E237-D237)*(1+G237)*((4-1)/(MaxLevel-1))^(2^F237),0),D237+(E237-D237)*(1+G237)*((4-1)/(MaxLevel-1))^(2^F237)))</f>
        <v/>
      </c>
      <c r="L237" s="12" t="str">
        <f>IF(OR(D237="",E237=""),"",IF(IFERROR(INDEX(Stats!$D:$D,MATCH($C237,Stats!$A:$A,0)),FALSE),ROUND(D237+(E237-D237)*(1+G237)*((5-1)/(MaxLevel-1))^(2^F237),0),D237+(E237-D237)*(1+G237)*((5-1)/(MaxLevel-1))^(2^F237)))</f>
        <v/>
      </c>
      <c r="M237" s="12" t="str">
        <f>IF(OR(D237="",E237=""),"",IF(IFERROR(INDEX(Stats!$D:$D,MATCH($C237,Stats!$A:$A,0)),FALSE),ROUND(D237+(E237-D237)*(1+G237)*((6-1)/(MaxLevel-1))^(2^F237),0),D237+(E237-D237)*(1+G237)*((6-1)/(MaxLevel-1))^(2^F237)))</f>
        <v/>
      </c>
      <c r="N237" s="12" t="str">
        <f>IF(OR(D237="",E237=""),"",IF(IFERROR(INDEX(Stats!$D:$D,MATCH($C237,Stats!$A:$A,0)),FALSE),ROUND(D237+(E237-D237)*(1+G237)*((7-1)/(MaxLevel-1))^(2^F237),0),D237+(E237-D237)*(1+G237)*((7-1)/(MaxLevel-1))^(2^F237)))</f>
        <v/>
      </c>
      <c r="O237" s="12" t="str">
        <f>IF(OR(D237="",E237=""),"",IF(IFERROR(INDEX(Stats!$D:$D,MATCH($C237,Stats!$A:$A,0)),FALSE),ROUND(D237+(E237-D237)*(1+G237)*((8-1)/(MaxLevel-1))^(2^F237),0),D237+(E237-D237)*(1+G237)*((8-1)/(MaxLevel-1))^(2^F237)))</f>
        <v/>
      </c>
      <c r="P237" s="12" t="str">
        <f>IF(OR(D237="",E237=""),"",IF(IFERROR(INDEX(Stats!$D:$D,MATCH($C237,Stats!$A:$A,0)),FALSE),ROUND(D237+(E237-D237)*(1+G237)*((9-1)/(MaxLevel-1))^(2^F237),0),D237+(E237-D237)*(1+G237)*((9-1)/(MaxLevel-1))^(2^F237)))</f>
        <v/>
      </c>
      <c r="Q237" s="12" t="str">
        <f>IF(OR(D237="",E237=""),"",IF(IFERROR(INDEX(Stats!$D:$D,MATCH($C237,Stats!$A:$A,0)),FALSE),ROUND(D237+(E237-D237)*(1+G237)*((10-1)/(MaxLevel-1))^(2^F237),0),D237+(E237-D237)*(1+G237)*((10-1)/(MaxLevel-1))^(2^F237)))</f>
        <v/>
      </c>
    </row>
    <row r="238" spans="1:17" x14ac:dyDescent="0.25">
      <c r="A238" s="4" t="s">
        <v>185</v>
      </c>
      <c r="B238" s="19" t="s">
        <v>227</v>
      </c>
      <c r="C238" s="4" t="s">
        <v>40</v>
      </c>
      <c r="D238" s="5"/>
      <c r="E238" s="5"/>
      <c r="F238" s="5"/>
      <c r="G238" s="5"/>
      <c r="H238" s="12" t="str">
        <f>IF(OR(D238="",E238=""),"",IF(IFERROR(INDEX(Stats!$D:$D,MATCH($C238,Stats!$A:$A,0)),FALSE),ROUND(D238+(E238-D238)*(1+G238)*((1-1)/(MaxLevel-1))^(2^F238),0),D238+(E238-D238)*(1+G238)*((1-1)/(MaxLevel-1))^(2^F238)))</f>
        <v/>
      </c>
      <c r="I238" s="12" t="str">
        <f>IF(OR(D238="",E238=""),"",IF(IFERROR(INDEX(Stats!$D:$D,MATCH($C238,Stats!$A:$A,0)),FALSE),ROUND(D238+(E238-D238)*(1+G238)*((2-1)/(MaxLevel-1))^(2^F238),0),D238+(E238-D238)*(1+G238)*((2-1)/(MaxLevel-1))^(2^F238)))</f>
        <v/>
      </c>
      <c r="J238" s="12" t="str">
        <f>IF(OR(D238="",E238=""),"",IF(IFERROR(INDEX(Stats!$D:$D,MATCH($C238,Stats!$A:$A,0)),FALSE),ROUND(D238+(E238-D238)*(1+G238)*((3-1)/(MaxLevel-1))^(2^F238),0),D238+(E238-D238)*(1+G238)*((3-1)/(MaxLevel-1))^(2^F238)))</f>
        <v/>
      </c>
      <c r="K238" s="12" t="str">
        <f>IF(OR(D238="",E238=""),"",IF(IFERROR(INDEX(Stats!$D:$D,MATCH($C238,Stats!$A:$A,0)),FALSE),ROUND(D238+(E238-D238)*(1+G238)*((4-1)/(MaxLevel-1))^(2^F238),0),D238+(E238-D238)*(1+G238)*((4-1)/(MaxLevel-1))^(2^F238)))</f>
        <v/>
      </c>
      <c r="L238" s="12" t="str">
        <f>IF(OR(D238="",E238=""),"",IF(IFERROR(INDEX(Stats!$D:$D,MATCH($C238,Stats!$A:$A,0)),FALSE),ROUND(D238+(E238-D238)*(1+G238)*((5-1)/(MaxLevel-1))^(2^F238),0),D238+(E238-D238)*(1+G238)*((5-1)/(MaxLevel-1))^(2^F238)))</f>
        <v/>
      </c>
      <c r="M238" s="12" t="str">
        <f>IF(OR(D238="",E238=""),"",IF(IFERROR(INDEX(Stats!$D:$D,MATCH($C238,Stats!$A:$A,0)),FALSE),ROUND(D238+(E238-D238)*(1+G238)*((6-1)/(MaxLevel-1))^(2^F238),0),D238+(E238-D238)*(1+G238)*((6-1)/(MaxLevel-1))^(2^F238)))</f>
        <v/>
      </c>
      <c r="N238" s="12" t="str">
        <f>IF(OR(D238="",E238=""),"",IF(IFERROR(INDEX(Stats!$D:$D,MATCH($C238,Stats!$A:$A,0)),FALSE),ROUND(D238+(E238-D238)*(1+G238)*((7-1)/(MaxLevel-1))^(2^F238),0),D238+(E238-D238)*(1+G238)*((7-1)/(MaxLevel-1))^(2^F238)))</f>
        <v/>
      </c>
      <c r="O238" s="12" t="str">
        <f>IF(OR(D238="",E238=""),"",IF(IFERROR(INDEX(Stats!$D:$D,MATCH($C238,Stats!$A:$A,0)),FALSE),ROUND(D238+(E238-D238)*(1+G238)*((8-1)/(MaxLevel-1))^(2^F238),0),D238+(E238-D238)*(1+G238)*((8-1)/(MaxLevel-1))^(2^F238)))</f>
        <v/>
      </c>
      <c r="P238" s="12" t="str">
        <f>IF(OR(D238="",E238=""),"",IF(IFERROR(INDEX(Stats!$D:$D,MATCH($C238,Stats!$A:$A,0)),FALSE),ROUND(D238+(E238-D238)*(1+G238)*((9-1)/(MaxLevel-1))^(2^F238),0),D238+(E238-D238)*(1+G238)*((9-1)/(MaxLevel-1))^(2^F238)))</f>
        <v/>
      </c>
      <c r="Q238" s="12" t="str">
        <f>IF(OR(D238="",E238=""),"",IF(IFERROR(INDEX(Stats!$D:$D,MATCH($C238,Stats!$A:$A,0)),FALSE),ROUND(D238+(E238-D238)*(1+G238)*((10-1)/(MaxLevel-1))^(2^F238),0),D238+(E238-D238)*(1+G238)*((10-1)/(MaxLevel-1))^(2^F238)))</f>
        <v/>
      </c>
    </row>
    <row r="239" spans="1:17" x14ac:dyDescent="0.25">
      <c r="A239" s="4" t="s">
        <v>185</v>
      </c>
      <c r="B239" s="19" t="s">
        <v>227</v>
      </c>
      <c r="C239" s="4" t="s">
        <v>42</v>
      </c>
      <c r="D239" s="5"/>
      <c r="E239" s="5"/>
      <c r="F239" s="5"/>
      <c r="G239" s="5"/>
      <c r="H239" s="12" t="str">
        <f>IF(OR(D239="",E239=""),"",IF(IFERROR(INDEX(Stats!$D:$D,MATCH($C239,Stats!$A:$A,0)),FALSE),ROUND(D239+(E239-D239)*(1+G239)*((1-1)/(MaxLevel-1))^(2^F239),0),D239+(E239-D239)*(1+G239)*((1-1)/(MaxLevel-1))^(2^F239)))</f>
        <v/>
      </c>
      <c r="I239" s="12" t="str">
        <f>IF(OR(D239="",E239=""),"",IF(IFERROR(INDEX(Stats!$D:$D,MATCH($C239,Stats!$A:$A,0)),FALSE),ROUND(D239+(E239-D239)*(1+G239)*((2-1)/(MaxLevel-1))^(2^F239),0),D239+(E239-D239)*(1+G239)*((2-1)/(MaxLevel-1))^(2^F239)))</f>
        <v/>
      </c>
      <c r="J239" s="12" t="str">
        <f>IF(OR(D239="",E239=""),"",IF(IFERROR(INDEX(Stats!$D:$D,MATCH($C239,Stats!$A:$A,0)),FALSE),ROUND(D239+(E239-D239)*(1+G239)*((3-1)/(MaxLevel-1))^(2^F239),0),D239+(E239-D239)*(1+G239)*((3-1)/(MaxLevel-1))^(2^F239)))</f>
        <v/>
      </c>
      <c r="K239" s="12" t="str">
        <f>IF(OR(D239="",E239=""),"",IF(IFERROR(INDEX(Stats!$D:$D,MATCH($C239,Stats!$A:$A,0)),FALSE),ROUND(D239+(E239-D239)*(1+G239)*((4-1)/(MaxLevel-1))^(2^F239),0),D239+(E239-D239)*(1+G239)*((4-1)/(MaxLevel-1))^(2^F239)))</f>
        <v/>
      </c>
      <c r="L239" s="12" t="str">
        <f>IF(OR(D239="",E239=""),"",IF(IFERROR(INDEX(Stats!$D:$D,MATCH($C239,Stats!$A:$A,0)),FALSE),ROUND(D239+(E239-D239)*(1+G239)*((5-1)/(MaxLevel-1))^(2^F239),0),D239+(E239-D239)*(1+G239)*((5-1)/(MaxLevel-1))^(2^F239)))</f>
        <v/>
      </c>
      <c r="M239" s="12" t="str">
        <f>IF(OR(D239="",E239=""),"",IF(IFERROR(INDEX(Stats!$D:$D,MATCH($C239,Stats!$A:$A,0)),FALSE),ROUND(D239+(E239-D239)*(1+G239)*((6-1)/(MaxLevel-1))^(2^F239),0),D239+(E239-D239)*(1+G239)*((6-1)/(MaxLevel-1))^(2^F239)))</f>
        <v/>
      </c>
      <c r="N239" s="12" t="str">
        <f>IF(OR(D239="",E239=""),"",IF(IFERROR(INDEX(Stats!$D:$D,MATCH($C239,Stats!$A:$A,0)),FALSE),ROUND(D239+(E239-D239)*(1+G239)*((7-1)/(MaxLevel-1))^(2^F239),0),D239+(E239-D239)*(1+G239)*((7-1)/(MaxLevel-1))^(2^F239)))</f>
        <v/>
      </c>
      <c r="O239" s="12" t="str">
        <f>IF(OR(D239="",E239=""),"",IF(IFERROR(INDEX(Stats!$D:$D,MATCH($C239,Stats!$A:$A,0)),FALSE),ROUND(D239+(E239-D239)*(1+G239)*((8-1)/(MaxLevel-1))^(2^F239),0),D239+(E239-D239)*(1+G239)*((8-1)/(MaxLevel-1))^(2^F239)))</f>
        <v/>
      </c>
      <c r="P239" s="12" t="str">
        <f>IF(OR(D239="",E239=""),"",IF(IFERROR(INDEX(Stats!$D:$D,MATCH($C239,Stats!$A:$A,0)),FALSE),ROUND(D239+(E239-D239)*(1+G239)*((9-1)/(MaxLevel-1))^(2^F239),0),D239+(E239-D239)*(1+G239)*((9-1)/(MaxLevel-1))^(2^F239)))</f>
        <v/>
      </c>
      <c r="Q239" s="12" t="str">
        <f>IF(OR(D239="",E239=""),"",IF(IFERROR(INDEX(Stats!$D:$D,MATCH($C239,Stats!$A:$A,0)),FALSE),ROUND(D239+(E239-D239)*(1+G239)*((10-1)/(MaxLevel-1))^(2^F239),0),D239+(E239-D239)*(1+G239)*((10-1)/(MaxLevel-1))^(2^F239)))</f>
        <v/>
      </c>
    </row>
    <row r="240" spans="1:17" x14ac:dyDescent="0.25">
      <c r="A240" s="4" t="s">
        <v>185</v>
      </c>
      <c r="B240" s="19" t="s">
        <v>227</v>
      </c>
      <c r="C240" s="4" t="s">
        <v>44</v>
      </c>
      <c r="D240" s="5"/>
      <c r="E240" s="5"/>
      <c r="F240" s="5"/>
      <c r="G240" s="5"/>
      <c r="H240" s="12" t="str">
        <f>IF(OR(D240="",E240=""),"",IF(IFERROR(INDEX(Stats!$D:$D,MATCH($C240,Stats!$A:$A,0)),FALSE),ROUND(D240+(E240-D240)*(1+G240)*((1-1)/(MaxLevel-1))^(2^F240),0),D240+(E240-D240)*(1+G240)*((1-1)/(MaxLevel-1))^(2^F240)))</f>
        <v/>
      </c>
      <c r="I240" s="12" t="str">
        <f>IF(OR(D240="",E240=""),"",IF(IFERROR(INDEX(Stats!$D:$D,MATCH($C240,Stats!$A:$A,0)),FALSE),ROUND(D240+(E240-D240)*(1+G240)*((2-1)/(MaxLevel-1))^(2^F240),0),D240+(E240-D240)*(1+G240)*((2-1)/(MaxLevel-1))^(2^F240)))</f>
        <v/>
      </c>
      <c r="J240" s="12" t="str">
        <f>IF(OR(D240="",E240=""),"",IF(IFERROR(INDEX(Stats!$D:$D,MATCH($C240,Stats!$A:$A,0)),FALSE),ROUND(D240+(E240-D240)*(1+G240)*((3-1)/(MaxLevel-1))^(2^F240),0),D240+(E240-D240)*(1+G240)*((3-1)/(MaxLevel-1))^(2^F240)))</f>
        <v/>
      </c>
      <c r="K240" s="12" t="str">
        <f>IF(OR(D240="",E240=""),"",IF(IFERROR(INDEX(Stats!$D:$D,MATCH($C240,Stats!$A:$A,0)),FALSE),ROUND(D240+(E240-D240)*(1+G240)*((4-1)/(MaxLevel-1))^(2^F240),0),D240+(E240-D240)*(1+G240)*((4-1)/(MaxLevel-1))^(2^F240)))</f>
        <v/>
      </c>
      <c r="L240" s="12" t="str">
        <f>IF(OR(D240="",E240=""),"",IF(IFERROR(INDEX(Stats!$D:$D,MATCH($C240,Stats!$A:$A,0)),FALSE),ROUND(D240+(E240-D240)*(1+G240)*((5-1)/(MaxLevel-1))^(2^F240),0),D240+(E240-D240)*(1+G240)*((5-1)/(MaxLevel-1))^(2^F240)))</f>
        <v/>
      </c>
      <c r="M240" s="12" t="str">
        <f>IF(OR(D240="",E240=""),"",IF(IFERROR(INDEX(Stats!$D:$D,MATCH($C240,Stats!$A:$A,0)),FALSE),ROUND(D240+(E240-D240)*(1+G240)*((6-1)/(MaxLevel-1))^(2^F240),0),D240+(E240-D240)*(1+G240)*((6-1)/(MaxLevel-1))^(2^F240)))</f>
        <v/>
      </c>
      <c r="N240" s="12" t="str">
        <f>IF(OR(D240="",E240=""),"",IF(IFERROR(INDEX(Stats!$D:$D,MATCH($C240,Stats!$A:$A,0)),FALSE),ROUND(D240+(E240-D240)*(1+G240)*((7-1)/(MaxLevel-1))^(2^F240),0),D240+(E240-D240)*(1+G240)*((7-1)/(MaxLevel-1))^(2^F240)))</f>
        <v/>
      </c>
      <c r="O240" s="12" t="str">
        <f>IF(OR(D240="",E240=""),"",IF(IFERROR(INDEX(Stats!$D:$D,MATCH($C240,Stats!$A:$A,0)),FALSE),ROUND(D240+(E240-D240)*(1+G240)*((8-1)/(MaxLevel-1))^(2^F240),0),D240+(E240-D240)*(1+G240)*((8-1)/(MaxLevel-1))^(2^F240)))</f>
        <v/>
      </c>
      <c r="P240" s="12" t="str">
        <f>IF(OR(D240="",E240=""),"",IF(IFERROR(INDEX(Stats!$D:$D,MATCH($C240,Stats!$A:$A,0)),FALSE),ROUND(D240+(E240-D240)*(1+G240)*((9-1)/(MaxLevel-1))^(2^F240),0),D240+(E240-D240)*(1+G240)*((9-1)/(MaxLevel-1))^(2^F240)))</f>
        <v/>
      </c>
      <c r="Q240" s="12" t="str">
        <f>IF(OR(D240="",E240=""),"",IF(IFERROR(INDEX(Stats!$D:$D,MATCH($C240,Stats!$A:$A,0)),FALSE),ROUND(D240+(E240-D240)*(1+G240)*((10-1)/(MaxLevel-1))^(2^F240),0),D240+(E240-D240)*(1+G240)*((10-1)/(MaxLevel-1))^(2^F240)))</f>
        <v/>
      </c>
    </row>
    <row r="241" spans="1:17" x14ac:dyDescent="0.25">
      <c r="A241" s="4" t="s">
        <v>185</v>
      </c>
      <c r="B241" s="19" t="s">
        <v>227</v>
      </c>
      <c r="C241" s="4" t="s">
        <v>46</v>
      </c>
      <c r="D241" s="5">
        <v>300</v>
      </c>
      <c r="E241" s="5">
        <v>320</v>
      </c>
      <c r="F241" s="5">
        <v>0</v>
      </c>
      <c r="G241" s="5">
        <v>0</v>
      </c>
      <c r="H241" s="12">
        <f>IF(OR(D241="",E241=""),"",IF(IFERROR(INDEX(Stats!$D:$D,MATCH($C241,Stats!$A:$A,0)),FALSE),ROUND(D241+(E241-D241)*(1+G241)*((1-1)/(MaxLevel-1))^(2^F241),0),D241+(E241-D241)*(1+G241)*((1-1)/(MaxLevel-1))^(2^F241)))</f>
        <v>300</v>
      </c>
      <c r="I241" s="12">
        <f>IF(OR(D241="",E241=""),"",IF(IFERROR(INDEX(Stats!$D:$D,MATCH($C241,Stats!$A:$A,0)),FALSE),ROUND(D241+(E241-D241)*(1+G241)*((2-1)/(MaxLevel-1))^(2^F241),0),D241+(E241-D241)*(1+G241)*((2-1)/(MaxLevel-1))^(2^F241)))</f>
        <v>302.22222222222223</v>
      </c>
      <c r="J241" s="12">
        <f>IF(OR(D241="",E241=""),"",IF(IFERROR(INDEX(Stats!$D:$D,MATCH($C241,Stats!$A:$A,0)),FALSE),ROUND(D241+(E241-D241)*(1+G241)*((3-1)/(MaxLevel-1))^(2^F241),0),D241+(E241-D241)*(1+G241)*((3-1)/(MaxLevel-1))^(2^F241)))</f>
        <v>304.44444444444446</v>
      </c>
      <c r="K241" s="12">
        <f>IF(OR(D241="",E241=""),"",IF(IFERROR(INDEX(Stats!$D:$D,MATCH($C241,Stats!$A:$A,0)),FALSE),ROUND(D241+(E241-D241)*(1+G241)*((4-1)/(MaxLevel-1))^(2^F241),0),D241+(E241-D241)*(1+G241)*((4-1)/(MaxLevel-1))^(2^F241)))</f>
        <v>306.66666666666669</v>
      </c>
      <c r="L241" s="12">
        <f>IF(OR(D241="",E241=""),"",IF(IFERROR(INDEX(Stats!$D:$D,MATCH($C241,Stats!$A:$A,0)),FALSE),ROUND(D241+(E241-D241)*(1+G241)*((5-1)/(MaxLevel-1))^(2^F241),0),D241+(E241-D241)*(1+G241)*((5-1)/(MaxLevel-1))^(2^F241)))</f>
        <v>308.88888888888891</v>
      </c>
      <c r="M241" s="12">
        <f>IF(OR(D241="",E241=""),"",IF(IFERROR(INDEX(Stats!$D:$D,MATCH($C241,Stats!$A:$A,0)),FALSE),ROUND(D241+(E241-D241)*(1+G241)*((6-1)/(MaxLevel-1))^(2^F241),0),D241+(E241-D241)*(1+G241)*((6-1)/(MaxLevel-1))^(2^F241)))</f>
        <v>311.11111111111109</v>
      </c>
      <c r="N241" s="12">
        <f>IF(OR(D241="",E241=""),"",IF(IFERROR(INDEX(Stats!$D:$D,MATCH($C241,Stats!$A:$A,0)),FALSE),ROUND(D241+(E241-D241)*(1+G241)*((7-1)/(MaxLevel-1))^(2^F241),0),D241+(E241-D241)*(1+G241)*((7-1)/(MaxLevel-1))^(2^F241)))</f>
        <v>313.33333333333331</v>
      </c>
      <c r="O241" s="12">
        <f>IF(OR(D241="",E241=""),"",IF(IFERROR(INDEX(Stats!$D:$D,MATCH($C241,Stats!$A:$A,0)),FALSE),ROUND(D241+(E241-D241)*(1+G241)*((8-1)/(MaxLevel-1))^(2^F241),0),D241+(E241-D241)*(1+G241)*((8-1)/(MaxLevel-1))^(2^F241)))</f>
        <v>315.55555555555554</v>
      </c>
      <c r="P241" s="12">
        <f>IF(OR(D241="",E241=""),"",IF(IFERROR(INDEX(Stats!$D:$D,MATCH($C241,Stats!$A:$A,0)),FALSE),ROUND(D241+(E241-D241)*(1+G241)*((9-1)/(MaxLevel-1))^(2^F241),0),D241+(E241-D241)*(1+G241)*((9-1)/(MaxLevel-1))^(2^F241)))</f>
        <v>317.77777777777777</v>
      </c>
      <c r="Q241" s="12">
        <f>IF(OR(D241="",E241=""),"",IF(IFERROR(INDEX(Stats!$D:$D,MATCH($C241,Stats!$A:$A,0)),FALSE),ROUND(D241+(E241-D241)*(1+G241)*((10-1)/(MaxLevel-1))^(2^F241),0),D241+(E241-D241)*(1+G241)*((10-1)/(MaxLevel-1))^(2^F241)))</f>
        <v>320</v>
      </c>
    </row>
    <row r="242" spans="1:17" x14ac:dyDescent="0.25">
      <c r="A242" s="4" t="s">
        <v>185</v>
      </c>
      <c r="B242" s="19" t="s">
        <v>227</v>
      </c>
      <c r="C242" s="4" t="s">
        <v>48</v>
      </c>
      <c r="D242" s="5"/>
      <c r="E242" s="5"/>
      <c r="F242" s="5"/>
      <c r="G242" s="5"/>
      <c r="H242" s="12" t="str">
        <f>IF(OR(D242="",E242=""),"",IF(IFERROR(INDEX(Stats!$D:$D,MATCH($C242,Stats!$A:$A,0)),FALSE),ROUND(D242+(E242-D242)*(1+G242)*((1-1)/(MaxLevel-1))^(2^F242),0),D242+(E242-D242)*(1+G242)*((1-1)/(MaxLevel-1))^(2^F242)))</f>
        <v/>
      </c>
      <c r="I242" s="12" t="str">
        <f>IF(OR(D242="",E242=""),"",IF(IFERROR(INDEX(Stats!$D:$D,MATCH($C242,Stats!$A:$A,0)),FALSE),ROUND(D242+(E242-D242)*(1+G242)*((2-1)/(MaxLevel-1))^(2^F242),0),D242+(E242-D242)*(1+G242)*((2-1)/(MaxLevel-1))^(2^F242)))</f>
        <v/>
      </c>
      <c r="J242" s="12" t="str">
        <f>IF(OR(D242="",E242=""),"",IF(IFERROR(INDEX(Stats!$D:$D,MATCH($C242,Stats!$A:$A,0)),FALSE),ROUND(D242+(E242-D242)*(1+G242)*((3-1)/(MaxLevel-1))^(2^F242),0),D242+(E242-D242)*(1+G242)*((3-1)/(MaxLevel-1))^(2^F242)))</f>
        <v/>
      </c>
      <c r="K242" s="12" t="str">
        <f>IF(OR(D242="",E242=""),"",IF(IFERROR(INDEX(Stats!$D:$D,MATCH($C242,Stats!$A:$A,0)),FALSE),ROUND(D242+(E242-D242)*(1+G242)*((4-1)/(MaxLevel-1))^(2^F242),0),D242+(E242-D242)*(1+G242)*((4-1)/(MaxLevel-1))^(2^F242)))</f>
        <v/>
      </c>
      <c r="L242" s="12" t="str">
        <f>IF(OR(D242="",E242=""),"",IF(IFERROR(INDEX(Stats!$D:$D,MATCH($C242,Stats!$A:$A,0)),FALSE),ROUND(D242+(E242-D242)*(1+G242)*((5-1)/(MaxLevel-1))^(2^F242),0),D242+(E242-D242)*(1+G242)*((5-1)/(MaxLevel-1))^(2^F242)))</f>
        <v/>
      </c>
      <c r="M242" s="12" t="str">
        <f>IF(OR(D242="",E242=""),"",IF(IFERROR(INDEX(Stats!$D:$D,MATCH($C242,Stats!$A:$A,0)),FALSE),ROUND(D242+(E242-D242)*(1+G242)*((6-1)/(MaxLevel-1))^(2^F242),0),D242+(E242-D242)*(1+G242)*((6-1)/(MaxLevel-1))^(2^F242)))</f>
        <v/>
      </c>
      <c r="N242" s="12" t="str">
        <f>IF(OR(D242="",E242=""),"",IF(IFERROR(INDEX(Stats!$D:$D,MATCH($C242,Stats!$A:$A,0)),FALSE),ROUND(D242+(E242-D242)*(1+G242)*((7-1)/(MaxLevel-1))^(2^F242),0),D242+(E242-D242)*(1+G242)*((7-1)/(MaxLevel-1))^(2^F242)))</f>
        <v/>
      </c>
      <c r="O242" s="12" t="str">
        <f>IF(OR(D242="",E242=""),"",IF(IFERROR(INDEX(Stats!$D:$D,MATCH($C242,Stats!$A:$A,0)),FALSE),ROUND(D242+(E242-D242)*(1+G242)*((8-1)/(MaxLevel-1))^(2^F242),0),D242+(E242-D242)*(1+G242)*((8-1)/(MaxLevel-1))^(2^F242)))</f>
        <v/>
      </c>
      <c r="P242" s="12" t="str">
        <f>IF(OR(D242="",E242=""),"",IF(IFERROR(INDEX(Stats!$D:$D,MATCH($C242,Stats!$A:$A,0)),FALSE),ROUND(D242+(E242-D242)*(1+G242)*((9-1)/(MaxLevel-1))^(2^F242),0),D242+(E242-D242)*(1+G242)*((9-1)/(MaxLevel-1))^(2^F242)))</f>
        <v/>
      </c>
      <c r="Q242" s="12" t="str">
        <f>IF(OR(D242="",E242=""),"",IF(IFERROR(INDEX(Stats!$D:$D,MATCH($C242,Stats!$A:$A,0)),FALSE),ROUND(D242+(E242-D242)*(1+G242)*((10-1)/(MaxLevel-1))^(2^F242),0),D242+(E242-D242)*(1+G242)*((10-1)/(MaxLevel-1))^(2^F242)))</f>
        <v/>
      </c>
    </row>
    <row r="243" spans="1:17" x14ac:dyDescent="0.25">
      <c r="A243" s="4" t="s">
        <v>185</v>
      </c>
      <c r="B243" s="19" t="s">
        <v>227</v>
      </c>
      <c r="C243" s="4" t="s">
        <v>50</v>
      </c>
      <c r="D243" s="5"/>
      <c r="E243" s="5"/>
      <c r="F243" s="5"/>
      <c r="G243" s="5"/>
      <c r="H243" s="12" t="str">
        <f>IF(OR(D243="",E243=""),"",IF(IFERROR(INDEX(Stats!$D:$D,MATCH($C243,Stats!$A:$A,0)),FALSE),ROUND(D243+(E243-D243)*(1+G243)*((1-1)/(MaxLevel-1))^(2^F243),0),D243+(E243-D243)*(1+G243)*((1-1)/(MaxLevel-1))^(2^F243)))</f>
        <v/>
      </c>
      <c r="I243" s="12" t="str">
        <f>IF(OR(D243="",E243=""),"",IF(IFERROR(INDEX(Stats!$D:$D,MATCH($C243,Stats!$A:$A,0)),FALSE),ROUND(D243+(E243-D243)*(1+G243)*((2-1)/(MaxLevel-1))^(2^F243),0),D243+(E243-D243)*(1+G243)*((2-1)/(MaxLevel-1))^(2^F243)))</f>
        <v/>
      </c>
      <c r="J243" s="12" t="str">
        <f>IF(OR(D243="",E243=""),"",IF(IFERROR(INDEX(Stats!$D:$D,MATCH($C243,Stats!$A:$A,0)),FALSE),ROUND(D243+(E243-D243)*(1+G243)*((3-1)/(MaxLevel-1))^(2^F243),0),D243+(E243-D243)*(1+G243)*((3-1)/(MaxLevel-1))^(2^F243)))</f>
        <v/>
      </c>
      <c r="K243" s="12" t="str">
        <f>IF(OR(D243="",E243=""),"",IF(IFERROR(INDEX(Stats!$D:$D,MATCH($C243,Stats!$A:$A,0)),FALSE),ROUND(D243+(E243-D243)*(1+G243)*((4-1)/(MaxLevel-1))^(2^F243),0),D243+(E243-D243)*(1+G243)*((4-1)/(MaxLevel-1))^(2^F243)))</f>
        <v/>
      </c>
      <c r="L243" s="12" t="str">
        <f>IF(OR(D243="",E243=""),"",IF(IFERROR(INDEX(Stats!$D:$D,MATCH($C243,Stats!$A:$A,0)),FALSE),ROUND(D243+(E243-D243)*(1+G243)*((5-1)/(MaxLevel-1))^(2^F243),0),D243+(E243-D243)*(1+G243)*((5-1)/(MaxLevel-1))^(2^F243)))</f>
        <v/>
      </c>
      <c r="M243" s="12" t="str">
        <f>IF(OR(D243="",E243=""),"",IF(IFERROR(INDEX(Stats!$D:$D,MATCH($C243,Stats!$A:$A,0)),FALSE),ROUND(D243+(E243-D243)*(1+G243)*((6-1)/(MaxLevel-1))^(2^F243),0),D243+(E243-D243)*(1+G243)*((6-1)/(MaxLevel-1))^(2^F243)))</f>
        <v/>
      </c>
      <c r="N243" s="12" t="str">
        <f>IF(OR(D243="",E243=""),"",IF(IFERROR(INDEX(Stats!$D:$D,MATCH($C243,Stats!$A:$A,0)),FALSE),ROUND(D243+(E243-D243)*(1+G243)*((7-1)/(MaxLevel-1))^(2^F243),0),D243+(E243-D243)*(1+G243)*((7-1)/(MaxLevel-1))^(2^F243)))</f>
        <v/>
      </c>
      <c r="O243" s="12" t="str">
        <f>IF(OR(D243="",E243=""),"",IF(IFERROR(INDEX(Stats!$D:$D,MATCH($C243,Stats!$A:$A,0)),FALSE),ROUND(D243+(E243-D243)*(1+G243)*((8-1)/(MaxLevel-1))^(2^F243),0),D243+(E243-D243)*(1+G243)*((8-1)/(MaxLevel-1))^(2^F243)))</f>
        <v/>
      </c>
      <c r="P243" s="12" t="str">
        <f>IF(OR(D243="",E243=""),"",IF(IFERROR(INDEX(Stats!$D:$D,MATCH($C243,Stats!$A:$A,0)),FALSE),ROUND(D243+(E243-D243)*(1+G243)*((9-1)/(MaxLevel-1))^(2^F243),0),D243+(E243-D243)*(1+G243)*((9-1)/(MaxLevel-1))^(2^F243)))</f>
        <v/>
      </c>
      <c r="Q243" s="12" t="str">
        <f>IF(OR(D243="",E243=""),"",IF(IFERROR(INDEX(Stats!$D:$D,MATCH($C243,Stats!$A:$A,0)),FALSE),ROUND(D243+(E243-D243)*(1+G243)*((10-1)/(MaxLevel-1))^(2^F243),0),D243+(E243-D243)*(1+G243)*((10-1)/(MaxLevel-1))^(2^F243)))</f>
        <v/>
      </c>
    </row>
    <row r="244" spans="1:17" x14ac:dyDescent="0.25">
      <c r="A244" s="4" t="s">
        <v>185</v>
      </c>
      <c r="B244" s="19" t="s">
        <v>227</v>
      </c>
      <c r="C244" s="4" t="s">
        <v>52</v>
      </c>
      <c r="D244" s="5"/>
      <c r="E244" s="5"/>
      <c r="F244" s="5"/>
      <c r="G244" s="5"/>
      <c r="H244" s="12" t="str">
        <f>IF(OR(D244="",E244=""),"",IF(IFERROR(INDEX(Stats!$D:$D,MATCH($C244,Stats!$A:$A,0)),FALSE),ROUND(D244+(E244-D244)*(1+G244)*((1-1)/(MaxLevel-1))^(2^F244),0),D244+(E244-D244)*(1+G244)*((1-1)/(MaxLevel-1))^(2^F244)))</f>
        <v/>
      </c>
      <c r="I244" s="12" t="str">
        <f>IF(OR(D244="",E244=""),"",IF(IFERROR(INDEX(Stats!$D:$D,MATCH($C244,Stats!$A:$A,0)),FALSE),ROUND(D244+(E244-D244)*(1+G244)*((2-1)/(MaxLevel-1))^(2^F244),0),D244+(E244-D244)*(1+G244)*((2-1)/(MaxLevel-1))^(2^F244)))</f>
        <v/>
      </c>
      <c r="J244" s="12" t="str">
        <f>IF(OR(D244="",E244=""),"",IF(IFERROR(INDEX(Stats!$D:$D,MATCH($C244,Stats!$A:$A,0)),FALSE),ROUND(D244+(E244-D244)*(1+G244)*((3-1)/(MaxLevel-1))^(2^F244),0),D244+(E244-D244)*(1+G244)*((3-1)/(MaxLevel-1))^(2^F244)))</f>
        <v/>
      </c>
      <c r="K244" s="12" t="str">
        <f>IF(OR(D244="",E244=""),"",IF(IFERROR(INDEX(Stats!$D:$D,MATCH($C244,Stats!$A:$A,0)),FALSE),ROUND(D244+(E244-D244)*(1+G244)*((4-1)/(MaxLevel-1))^(2^F244),0),D244+(E244-D244)*(1+G244)*((4-1)/(MaxLevel-1))^(2^F244)))</f>
        <v/>
      </c>
      <c r="L244" s="12" t="str">
        <f>IF(OR(D244="",E244=""),"",IF(IFERROR(INDEX(Stats!$D:$D,MATCH($C244,Stats!$A:$A,0)),FALSE),ROUND(D244+(E244-D244)*(1+G244)*((5-1)/(MaxLevel-1))^(2^F244),0),D244+(E244-D244)*(1+G244)*((5-1)/(MaxLevel-1))^(2^F244)))</f>
        <v/>
      </c>
      <c r="M244" s="12" t="str">
        <f>IF(OR(D244="",E244=""),"",IF(IFERROR(INDEX(Stats!$D:$D,MATCH($C244,Stats!$A:$A,0)),FALSE),ROUND(D244+(E244-D244)*(1+G244)*((6-1)/(MaxLevel-1))^(2^F244),0),D244+(E244-D244)*(1+G244)*((6-1)/(MaxLevel-1))^(2^F244)))</f>
        <v/>
      </c>
      <c r="N244" s="12" t="str">
        <f>IF(OR(D244="",E244=""),"",IF(IFERROR(INDEX(Stats!$D:$D,MATCH($C244,Stats!$A:$A,0)),FALSE),ROUND(D244+(E244-D244)*(1+G244)*((7-1)/(MaxLevel-1))^(2^F244),0),D244+(E244-D244)*(1+G244)*((7-1)/(MaxLevel-1))^(2^F244)))</f>
        <v/>
      </c>
      <c r="O244" s="12" t="str">
        <f>IF(OR(D244="",E244=""),"",IF(IFERROR(INDEX(Stats!$D:$D,MATCH($C244,Stats!$A:$A,0)),FALSE),ROUND(D244+(E244-D244)*(1+G244)*((8-1)/(MaxLevel-1))^(2^F244),0),D244+(E244-D244)*(1+G244)*((8-1)/(MaxLevel-1))^(2^F244)))</f>
        <v/>
      </c>
      <c r="P244" s="12" t="str">
        <f>IF(OR(D244="",E244=""),"",IF(IFERROR(INDEX(Stats!$D:$D,MATCH($C244,Stats!$A:$A,0)),FALSE),ROUND(D244+(E244-D244)*(1+G244)*((9-1)/(MaxLevel-1))^(2^F244),0),D244+(E244-D244)*(1+G244)*((9-1)/(MaxLevel-1))^(2^F244)))</f>
        <v/>
      </c>
      <c r="Q244" s="12" t="str">
        <f>IF(OR(D244="",E244=""),"",IF(IFERROR(INDEX(Stats!$D:$D,MATCH($C244,Stats!$A:$A,0)),FALSE),ROUND(D244+(E244-D244)*(1+G244)*((10-1)/(MaxLevel-1))^(2^F244),0),D244+(E244-D244)*(1+G244)*((10-1)/(MaxLevel-1))^(2^F244)))</f>
        <v/>
      </c>
    </row>
    <row r="245" spans="1:17" x14ac:dyDescent="0.25">
      <c r="A245" s="4" t="s">
        <v>185</v>
      </c>
      <c r="B245" s="19" t="s">
        <v>227</v>
      </c>
      <c r="C245" s="4" t="s">
        <v>54</v>
      </c>
      <c r="D245" s="5"/>
      <c r="E245" s="5"/>
      <c r="F245" s="5"/>
      <c r="G245" s="5"/>
      <c r="H245" s="12" t="str">
        <f>IF(OR(D245="",E245=""),"",IF(IFERROR(INDEX(Stats!$D:$D,MATCH($C245,Stats!$A:$A,0)),FALSE),ROUND(D245+(E245-D245)*(1+G245)*((1-1)/(MaxLevel-1))^(2^F245),0),D245+(E245-D245)*(1+G245)*((1-1)/(MaxLevel-1))^(2^F245)))</f>
        <v/>
      </c>
      <c r="I245" s="12" t="str">
        <f>IF(OR(D245="",E245=""),"",IF(IFERROR(INDEX(Stats!$D:$D,MATCH($C245,Stats!$A:$A,0)),FALSE),ROUND(D245+(E245-D245)*(1+G245)*((2-1)/(MaxLevel-1))^(2^F245),0),D245+(E245-D245)*(1+G245)*((2-1)/(MaxLevel-1))^(2^F245)))</f>
        <v/>
      </c>
      <c r="J245" s="12" t="str">
        <f>IF(OR(D245="",E245=""),"",IF(IFERROR(INDEX(Stats!$D:$D,MATCH($C245,Stats!$A:$A,0)),FALSE),ROUND(D245+(E245-D245)*(1+G245)*((3-1)/(MaxLevel-1))^(2^F245),0),D245+(E245-D245)*(1+G245)*((3-1)/(MaxLevel-1))^(2^F245)))</f>
        <v/>
      </c>
      <c r="K245" s="12" t="str">
        <f>IF(OR(D245="",E245=""),"",IF(IFERROR(INDEX(Stats!$D:$D,MATCH($C245,Stats!$A:$A,0)),FALSE),ROUND(D245+(E245-D245)*(1+G245)*((4-1)/(MaxLevel-1))^(2^F245),0),D245+(E245-D245)*(1+G245)*((4-1)/(MaxLevel-1))^(2^F245)))</f>
        <v/>
      </c>
      <c r="L245" s="12" t="str">
        <f>IF(OR(D245="",E245=""),"",IF(IFERROR(INDEX(Stats!$D:$D,MATCH($C245,Stats!$A:$A,0)),FALSE),ROUND(D245+(E245-D245)*(1+G245)*((5-1)/(MaxLevel-1))^(2^F245),0),D245+(E245-D245)*(1+G245)*((5-1)/(MaxLevel-1))^(2^F245)))</f>
        <v/>
      </c>
      <c r="M245" s="12" t="str">
        <f>IF(OR(D245="",E245=""),"",IF(IFERROR(INDEX(Stats!$D:$D,MATCH($C245,Stats!$A:$A,0)),FALSE),ROUND(D245+(E245-D245)*(1+G245)*((6-1)/(MaxLevel-1))^(2^F245),0),D245+(E245-D245)*(1+G245)*((6-1)/(MaxLevel-1))^(2^F245)))</f>
        <v/>
      </c>
      <c r="N245" s="12" t="str">
        <f>IF(OR(D245="",E245=""),"",IF(IFERROR(INDEX(Stats!$D:$D,MATCH($C245,Stats!$A:$A,0)),FALSE),ROUND(D245+(E245-D245)*(1+G245)*((7-1)/(MaxLevel-1))^(2^F245),0),D245+(E245-D245)*(1+G245)*((7-1)/(MaxLevel-1))^(2^F245)))</f>
        <v/>
      </c>
      <c r="O245" s="12" t="str">
        <f>IF(OR(D245="",E245=""),"",IF(IFERROR(INDEX(Stats!$D:$D,MATCH($C245,Stats!$A:$A,0)),FALSE),ROUND(D245+(E245-D245)*(1+G245)*((8-1)/(MaxLevel-1))^(2^F245),0),D245+(E245-D245)*(1+G245)*((8-1)/(MaxLevel-1))^(2^F245)))</f>
        <v/>
      </c>
      <c r="P245" s="12" t="str">
        <f>IF(OR(D245="",E245=""),"",IF(IFERROR(INDEX(Stats!$D:$D,MATCH($C245,Stats!$A:$A,0)),FALSE),ROUND(D245+(E245-D245)*(1+G245)*((9-1)/(MaxLevel-1))^(2^F245),0),D245+(E245-D245)*(1+G245)*((9-1)/(MaxLevel-1))^(2^F245)))</f>
        <v/>
      </c>
      <c r="Q245" s="12" t="str">
        <f>IF(OR(D245="",E245=""),"",IF(IFERROR(INDEX(Stats!$D:$D,MATCH($C245,Stats!$A:$A,0)),FALSE),ROUND(D245+(E245-D245)*(1+G245)*((10-1)/(MaxLevel-1))^(2^F245),0),D245+(E245-D245)*(1+G245)*((10-1)/(MaxLevel-1))^(2^F245)))</f>
        <v/>
      </c>
    </row>
    <row r="246" spans="1:17" x14ac:dyDescent="0.25">
      <c r="A246" s="4" t="s">
        <v>185</v>
      </c>
      <c r="B246" s="19" t="s">
        <v>227</v>
      </c>
      <c r="C246" s="4" t="s">
        <v>56</v>
      </c>
      <c r="D246" s="5"/>
      <c r="E246" s="5"/>
      <c r="F246" s="5"/>
      <c r="G246" s="5"/>
      <c r="H246" s="12" t="str">
        <f>IF(OR(D246="",E246=""),"",IF(IFERROR(INDEX(Stats!$D:$D,MATCH($C246,Stats!$A:$A,0)),FALSE),ROUND(D246+(E246-D246)*(1+G246)*((1-1)/(MaxLevel-1))^(2^F246),0),D246+(E246-D246)*(1+G246)*((1-1)/(MaxLevel-1))^(2^F246)))</f>
        <v/>
      </c>
      <c r="I246" s="12" t="str">
        <f>IF(OR(D246="",E246=""),"",IF(IFERROR(INDEX(Stats!$D:$D,MATCH($C246,Stats!$A:$A,0)),FALSE),ROUND(D246+(E246-D246)*(1+G246)*((2-1)/(MaxLevel-1))^(2^F246),0),D246+(E246-D246)*(1+G246)*((2-1)/(MaxLevel-1))^(2^F246)))</f>
        <v/>
      </c>
      <c r="J246" s="12" t="str">
        <f>IF(OR(D246="",E246=""),"",IF(IFERROR(INDEX(Stats!$D:$D,MATCH($C246,Stats!$A:$A,0)),FALSE),ROUND(D246+(E246-D246)*(1+G246)*((3-1)/(MaxLevel-1))^(2^F246),0),D246+(E246-D246)*(1+G246)*((3-1)/(MaxLevel-1))^(2^F246)))</f>
        <v/>
      </c>
      <c r="K246" s="12" t="str">
        <f>IF(OR(D246="",E246=""),"",IF(IFERROR(INDEX(Stats!$D:$D,MATCH($C246,Stats!$A:$A,0)),FALSE),ROUND(D246+(E246-D246)*(1+G246)*((4-1)/(MaxLevel-1))^(2^F246),0),D246+(E246-D246)*(1+G246)*((4-1)/(MaxLevel-1))^(2^F246)))</f>
        <v/>
      </c>
      <c r="L246" s="12" t="str">
        <f>IF(OR(D246="",E246=""),"",IF(IFERROR(INDEX(Stats!$D:$D,MATCH($C246,Stats!$A:$A,0)),FALSE),ROUND(D246+(E246-D246)*(1+G246)*((5-1)/(MaxLevel-1))^(2^F246),0),D246+(E246-D246)*(1+G246)*((5-1)/(MaxLevel-1))^(2^F246)))</f>
        <v/>
      </c>
      <c r="M246" s="12" t="str">
        <f>IF(OR(D246="",E246=""),"",IF(IFERROR(INDEX(Stats!$D:$D,MATCH($C246,Stats!$A:$A,0)),FALSE),ROUND(D246+(E246-D246)*(1+G246)*((6-1)/(MaxLevel-1))^(2^F246),0),D246+(E246-D246)*(1+G246)*((6-1)/(MaxLevel-1))^(2^F246)))</f>
        <v/>
      </c>
      <c r="N246" s="12" t="str">
        <f>IF(OR(D246="",E246=""),"",IF(IFERROR(INDEX(Stats!$D:$D,MATCH($C246,Stats!$A:$A,0)),FALSE),ROUND(D246+(E246-D246)*(1+G246)*((7-1)/(MaxLevel-1))^(2^F246),0),D246+(E246-D246)*(1+G246)*((7-1)/(MaxLevel-1))^(2^F246)))</f>
        <v/>
      </c>
      <c r="O246" s="12" t="str">
        <f>IF(OR(D246="",E246=""),"",IF(IFERROR(INDEX(Stats!$D:$D,MATCH($C246,Stats!$A:$A,0)),FALSE),ROUND(D246+(E246-D246)*(1+G246)*((8-1)/(MaxLevel-1))^(2^F246),0),D246+(E246-D246)*(1+G246)*((8-1)/(MaxLevel-1))^(2^F246)))</f>
        <v/>
      </c>
      <c r="P246" s="12" t="str">
        <f>IF(OR(D246="",E246=""),"",IF(IFERROR(INDEX(Stats!$D:$D,MATCH($C246,Stats!$A:$A,0)),FALSE),ROUND(D246+(E246-D246)*(1+G246)*((9-1)/(MaxLevel-1))^(2^F246),0),D246+(E246-D246)*(1+G246)*((9-1)/(MaxLevel-1))^(2^F246)))</f>
        <v/>
      </c>
      <c r="Q246" s="12" t="str">
        <f>IF(OR(D246="",E246=""),"",IF(IFERROR(INDEX(Stats!$D:$D,MATCH($C246,Stats!$A:$A,0)),FALSE),ROUND(D246+(E246-D246)*(1+G246)*((10-1)/(MaxLevel-1))^(2^F246),0),D246+(E246-D246)*(1+G246)*((10-1)/(MaxLevel-1))^(2^F246)))</f>
        <v/>
      </c>
    </row>
    <row r="247" spans="1:17" x14ac:dyDescent="0.25">
      <c r="A247" s="4" t="s">
        <v>185</v>
      </c>
      <c r="B247" s="19" t="s">
        <v>227</v>
      </c>
      <c r="C247" s="4" t="s">
        <v>58</v>
      </c>
      <c r="D247" s="5"/>
      <c r="E247" s="5"/>
      <c r="F247" s="5"/>
      <c r="G247" s="5"/>
      <c r="H247" s="12" t="str">
        <f>IF(OR(D247="",E247=""),"",IF(IFERROR(INDEX(Stats!$D:$D,MATCH($C247,Stats!$A:$A,0)),FALSE),ROUND(D247+(E247-D247)*(1+G247)*((1-1)/(MaxLevel-1))^(2^F247),0),D247+(E247-D247)*(1+G247)*((1-1)/(MaxLevel-1))^(2^F247)))</f>
        <v/>
      </c>
      <c r="I247" s="12" t="str">
        <f>IF(OR(D247="",E247=""),"",IF(IFERROR(INDEX(Stats!$D:$D,MATCH($C247,Stats!$A:$A,0)),FALSE),ROUND(D247+(E247-D247)*(1+G247)*((2-1)/(MaxLevel-1))^(2^F247),0),D247+(E247-D247)*(1+G247)*((2-1)/(MaxLevel-1))^(2^F247)))</f>
        <v/>
      </c>
      <c r="J247" s="12" t="str">
        <f>IF(OR(D247="",E247=""),"",IF(IFERROR(INDEX(Stats!$D:$D,MATCH($C247,Stats!$A:$A,0)),FALSE),ROUND(D247+(E247-D247)*(1+G247)*((3-1)/(MaxLevel-1))^(2^F247),0),D247+(E247-D247)*(1+G247)*((3-1)/(MaxLevel-1))^(2^F247)))</f>
        <v/>
      </c>
      <c r="K247" s="12" t="str">
        <f>IF(OR(D247="",E247=""),"",IF(IFERROR(INDEX(Stats!$D:$D,MATCH($C247,Stats!$A:$A,0)),FALSE),ROUND(D247+(E247-D247)*(1+G247)*((4-1)/(MaxLevel-1))^(2^F247),0),D247+(E247-D247)*(1+G247)*((4-1)/(MaxLevel-1))^(2^F247)))</f>
        <v/>
      </c>
      <c r="L247" s="12" t="str">
        <f>IF(OR(D247="",E247=""),"",IF(IFERROR(INDEX(Stats!$D:$D,MATCH($C247,Stats!$A:$A,0)),FALSE),ROUND(D247+(E247-D247)*(1+G247)*((5-1)/(MaxLevel-1))^(2^F247),0),D247+(E247-D247)*(1+G247)*((5-1)/(MaxLevel-1))^(2^F247)))</f>
        <v/>
      </c>
      <c r="M247" s="12" t="str">
        <f>IF(OR(D247="",E247=""),"",IF(IFERROR(INDEX(Stats!$D:$D,MATCH($C247,Stats!$A:$A,0)),FALSE),ROUND(D247+(E247-D247)*(1+G247)*((6-1)/(MaxLevel-1))^(2^F247),0),D247+(E247-D247)*(1+G247)*((6-1)/(MaxLevel-1))^(2^F247)))</f>
        <v/>
      </c>
      <c r="N247" s="12" t="str">
        <f>IF(OR(D247="",E247=""),"",IF(IFERROR(INDEX(Stats!$D:$D,MATCH($C247,Stats!$A:$A,0)),FALSE),ROUND(D247+(E247-D247)*(1+G247)*((7-1)/(MaxLevel-1))^(2^F247),0),D247+(E247-D247)*(1+G247)*((7-1)/(MaxLevel-1))^(2^F247)))</f>
        <v/>
      </c>
      <c r="O247" s="12" t="str">
        <f>IF(OR(D247="",E247=""),"",IF(IFERROR(INDEX(Stats!$D:$D,MATCH($C247,Stats!$A:$A,0)),FALSE),ROUND(D247+(E247-D247)*(1+G247)*((8-1)/(MaxLevel-1))^(2^F247),0),D247+(E247-D247)*(1+G247)*((8-1)/(MaxLevel-1))^(2^F247)))</f>
        <v/>
      </c>
      <c r="P247" s="12" t="str">
        <f>IF(OR(D247="",E247=""),"",IF(IFERROR(INDEX(Stats!$D:$D,MATCH($C247,Stats!$A:$A,0)),FALSE),ROUND(D247+(E247-D247)*(1+G247)*((9-1)/(MaxLevel-1))^(2^F247),0),D247+(E247-D247)*(1+G247)*((9-1)/(MaxLevel-1))^(2^F247)))</f>
        <v/>
      </c>
      <c r="Q247" s="12" t="str">
        <f>IF(OR(D247="",E247=""),"",IF(IFERROR(INDEX(Stats!$D:$D,MATCH($C247,Stats!$A:$A,0)),FALSE),ROUND(D247+(E247-D247)*(1+G247)*((10-1)/(MaxLevel-1))^(2^F247),0),D247+(E247-D247)*(1+G247)*((10-1)/(MaxLevel-1))^(2^F247)))</f>
        <v/>
      </c>
    </row>
    <row r="248" spans="1:17" x14ac:dyDescent="0.25">
      <c r="A248" s="4" t="s">
        <v>185</v>
      </c>
      <c r="B248" s="19" t="s">
        <v>227</v>
      </c>
      <c r="C248" s="4" t="s">
        <v>60</v>
      </c>
      <c r="D248" s="5"/>
      <c r="E248" s="5"/>
      <c r="F248" s="5"/>
      <c r="G248" s="5"/>
      <c r="H248" s="12" t="str">
        <f>IF(OR(D248="",E248=""),"",IF(IFERROR(INDEX(Stats!$D:$D,MATCH($C248,Stats!$A:$A,0)),FALSE),ROUND(D248+(E248-D248)*(1+G248)*((1-1)/(MaxLevel-1))^(2^F248),0),D248+(E248-D248)*(1+G248)*((1-1)/(MaxLevel-1))^(2^F248)))</f>
        <v/>
      </c>
      <c r="I248" s="12" t="str">
        <f>IF(OR(D248="",E248=""),"",IF(IFERROR(INDEX(Stats!$D:$D,MATCH($C248,Stats!$A:$A,0)),FALSE),ROUND(D248+(E248-D248)*(1+G248)*((2-1)/(MaxLevel-1))^(2^F248),0),D248+(E248-D248)*(1+G248)*((2-1)/(MaxLevel-1))^(2^F248)))</f>
        <v/>
      </c>
      <c r="J248" s="12" t="str">
        <f>IF(OR(D248="",E248=""),"",IF(IFERROR(INDEX(Stats!$D:$D,MATCH($C248,Stats!$A:$A,0)),FALSE),ROUND(D248+(E248-D248)*(1+G248)*((3-1)/(MaxLevel-1))^(2^F248),0),D248+(E248-D248)*(1+G248)*((3-1)/(MaxLevel-1))^(2^F248)))</f>
        <v/>
      </c>
      <c r="K248" s="12" t="str">
        <f>IF(OR(D248="",E248=""),"",IF(IFERROR(INDEX(Stats!$D:$D,MATCH($C248,Stats!$A:$A,0)),FALSE),ROUND(D248+(E248-D248)*(1+G248)*((4-1)/(MaxLevel-1))^(2^F248),0),D248+(E248-D248)*(1+G248)*((4-1)/(MaxLevel-1))^(2^F248)))</f>
        <v/>
      </c>
      <c r="L248" s="12" t="str">
        <f>IF(OR(D248="",E248=""),"",IF(IFERROR(INDEX(Stats!$D:$D,MATCH($C248,Stats!$A:$A,0)),FALSE),ROUND(D248+(E248-D248)*(1+G248)*((5-1)/(MaxLevel-1))^(2^F248),0),D248+(E248-D248)*(1+G248)*((5-1)/(MaxLevel-1))^(2^F248)))</f>
        <v/>
      </c>
      <c r="M248" s="12" t="str">
        <f>IF(OR(D248="",E248=""),"",IF(IFERROR(INDEX(Stats!$D:$D,MATCH($C248,Stats!$A:$A,0)),FALSE),ROUND(D248+(E248-D248)*(1+G248)*((6-1)/(MaxLevel-1))^(2^F248),0),D248+(E248-D248)*(1+G248)*((6-1)/(MaxLevel-1))^(2^F248)))</f>
        <v/>
      </c>
      <c r="N248" s="12" t="str">
        <f>IF(OR(D248="",E248=""),"",IF(IFERROR(INDEX(Stats!$D:$D,MATCH($C248,Stats!$A:$A,0)),FALSE),ROUND(D248+(E248-D248)*(1+G248)*((7-1)/(MaxLevel-1))^(2^F248),0),D248+(E248-D248)*(1+G248)*((7-1)/(MaxLevel-1))^(2^F248)))</f>
        <v/>
      </c>
      <c r="O248" s="12" t="str">
        <f>IF(OR(D248="",E248=""),"",IF(IFERROR(INDEX(Stats!$D:$D,MATCH($C248,Stats!$A:$A,0)),FALSE),ROUND(D248+(E248-D248)*(1+G248)*((8-1)/(MaxLevel-1))^(2^F248),0),D248+(E248-D248)*(1+G248)*((8-1)/(MaxLevel-1))^(2^F248)))</f>
        <v/>
      </c>
      <c r="P248" s="12" t="str">
        <f>IF(OR(D248="",E248=""),"",IF(IFERROR(INDEX(Stats!$D:$D,MATCH($C248,Stats!$A:$A,0)),FALSE),ROUND(D248+(E248-D248)*(1+G248)*((9-1)/(MaxLevel-1))^(2^F248),0),D248+(E248-D248)*(1+G248)*((9-1)/(MaxLevel-1))^(2^F248)))</f>
        <v/>
      </c>
      <c r="Q248" s="12" t="str">
        <f>IF(OR(D248="",E248=""),"",IF(IFERROR(INDEX(Stats!$D:$D,MATCH($C248,Stats!$A:$A,0)),FALSE),ROUND(D248+(E248-D248)*(1+G248)*((10-1)/(MaxLevel-1))^(2^F248),0),D248+(E248-D248)*(1+G248)*((10-1)/(MaxLevel-1))^(2^F248)))</f>
        <v/>
      </c>
    </row>
    <row r="249" spans="1:17" x14ac:dyDescent="0.25">
      <c r="A249" s="4" t="s">
        <v>185</v>
      </c>
      <c r="B249" s="19" t="s">
        <v>228</v>
      </c>
      <c r="C249" s="4" t="s">
        <v>24</v>
      </c>
      <c r="D249" s="5">
        <v>0</v>
      </c>
      <c r="E249" s="5">
        <v>10000</v>
      </c>
      <c r="F249" s="5">
        <v>1</v>
      </c>
      <c r="G249" s="5">
        <v>0</v>
      </c>
      <c r="H249" s="12">
        <f>IF(OR(D249="",E249=""),"",IF(IFERROR(INDEX(Stats!$D:$D,MATCH($C249,Stats!$A:$A,0)),FALSE),ROUND(D249+(E249-D249)*(1+G249)*((1-1)/(MaxLevel-1))^(2^F249),0),D249+(E249-D249)*(1+G249)*((1-1)/(MaxLevel-1))^(2^F249)))</f>
        <v>0</v>
      </c>
      <c r="I249" s="12">
        <f>IF(OR(D249="",E249=""),"",IF(IFERROR(INDEX(Stats!$D:$D,MATCH($C249,Stats!$A:$A,0)),FALSE),ROUND(D249+(E249-D249)*(1+G249)*((2-1)/(MaxLevel-1))^(2^F249),0),D249+(E249-D249)*(1+G249)*((2-1)/(MaxLevel-1))^(2^F249)))</f>
        <v>123</v>
      </c>
      <c r="J249" s="12">
        <f>IF(OR(D249="",E249=""),"",IF(IFERROR(INDEX(Stats!$D:$D,MATCH($C249,Stats!$A:$A,0)),FALSE),ROUND(D249+(E249-D249)*(1+G249)*((3-1)/(MaxLevel-1))^(2^F249),0),D249+(E249-D249)*(1+G249)*((3-1)/(MaxLevel-1))^(2^F249)))</f>
        <v>494</v>
      </c>
      <c r="K249" s="12">
        <f>IF(OR(D249="",E249=""),"",IF(IFERROR(INDEX(Stats!$D:$D,MATCH($C249,Stats!$A:$A,0)),FALSE),ROUND(D249+(E249-D249)*(1+G249)*((4-1)/(MaxLevel-1))^(2^F249),0),D249+(E249-D249)*(1+G249)*((4-1)/(MaxLevel-1))^(2^F249)))</f>
        <v>1111</v>
      </c>
      <c r="L249" s="12">
        <f>IF(OR(D249="",E249=""),"",IF(IFERROR(INDEX(Stats!$D:$D,MATCH($C249,Stats!$A:$A,0)),FALSE),ROUND(D249+(E249-D249)*(1+G249)*((5-1)/(MaxLevel-1))^(2^F249),0),D249+(E249-D249)*(1+G249)*((5-1)/(MaxLevel-1))^(2^F249)))</f>
        <v>1975</v>
      </c>
      <c r="M249" s="12">
        <f>IF(OR(D249="",E249=""),"",IF(IFERROR(INDEX(Stats!$D:$D,MATCH($C249,Stats!$A:$A,0)),FALSE),ROUND(D249+(E249-D249)*(1+G249)*((6-1)/(MaxLevel-1))^(2^F249),0),D249+(E249-D249)*(1+G249)*((6-1)/(MaxLevel-1))^(2^F249)))</f>
        <v>3086</v>
      </c>
      <c r="N249" s="12">
        <f>IF(OR(D249="",E249=""),"",IF(IFERROR(INDEX(Stats!$D:$D,MATCH($C249,Stats!$A:$A,0)),FALSE),ROUND(D249+(E249-D249)*(1+G249)*((7-1)/(MaxLevel-1))^(2^F249),0),D249+(E249-D249)*(1+G249)*((7-1)/(MaxLevel-1))^(2^F249)))</f>
        <v>4444</v>
      </c>
      <c r="O249" s="12">
        <f>IF(OR(D249="",E249=""),"",IF(IFERROR(INDEX(Stats!$D:$D,MATCH($C249,Stats!$A:$A,0)),FALSE),ROUND(D249+(E249-D249)*(1+G249)*((8-1)/(MaxLevel-1))^(2^F249),0),D249+(E249-D249)*(1+G249)*((8-1)/(MaxLevel-1))^(2^F249)))</f>
        <v>6049</v>
      </c>
      <c r="P249" s="12">
        <f>IF(OR(D249="",E249=""),"",IF(IFERROR(INDEX(Stats!$D:$D,MATCH($C249,Stats!$A:$A,0)),FALSE),ROUND(D249+(E249-D249)*(1+G249)*((9-1)/(MaxLevel-1))^(2^F249),0),D249+(E249-D249)*(1+G249)*((9-1)/(MaxLevel-1))^(2^F249)))</f>
        <v>7901</v>
      </c>
      <c r="Q249" s="12">
        <f>IF(OR(D249="",E249=""),"",IF(IFERROR(INDEX(Stats!$D:$D,MATCH($C249,Stats!$A:$A,0)),FALSE),ROUND(D249+(E249-D249)*(1+G249)*((10-1)/(MaxLevel-1))^(2^F249),0),D249+(E249-D249)*(1+G249)*((10-1)/(MaxLevel-1))^(2^F249)))</f>
        <v>10000</v>
      </c>
    </row>
    <row r="250" spans="1:17" x14ac:dyDescent="0.25">
      <c r="A250" s="4" t="s">
        <v>185</v>
      </c>
      <c r="B250" s="19" t="s">
        <v>228</v>
      </c>
      <c r="C250" s="4" t="s">
        <v>26</v>
      </c>
      <c r="D250" s="5">
        <v>25</v>
      </c>
      <c r="E250" s="5">
        <v>150</v>
      </c>
      <c r="F250" s="5">
        <v>0</v>
      </c>
      <c r="G250" s="5">
        <v>0</v>
      </c>
      <c r="H250" s="12">
        <f>IF(OR(D250="",E250=""),"",IF(IFERROR(INDEX(Stats!$D:$D,MATCH($C250,Stats!$A:$A,0)),FALSE),ROUND(D250+(E250-D250)*(1+G250)*((1-1)/(MaxLevel-1))^(2^F250),0),D250+(E250-D250)*(1+G250)*((1-1)/(MaxLevel-1))^(2^F250)))</f>
        <v>25</v>
      </c>
      <c r="I250" s="12">
        <f>IF(OR(D250="",E250=""),"",IF(IFERROR(INDEX(Stats!$D:$D,MATCH($C250,Stats!$A:$A,0)),FALSE),ROUND(D250+(E250-D250)*(1+G250)*((2-1)/(MaxLevel-1))^(2^F250),0),D250+(E250-D250)*(1+G250)*((2-1)/(MaxLevel-1))^(2^F250)))</f>
        <v>39</v>
      </c>
      <c r="J250" s="12">
        <f>IF(OR(D250="",E250=""),"",IF(IFERROR(INDEX(Stats!$D:$D,MATCH($C250,Stats!$A:$A,0)),FALSE),ROUND(D250+(E250-D250)*(1+G250)*((3-1)/(MaxLevel-1))^(2^F250),0),D250+(E250-D250)*(1+G250)*((3-1)/(MaxLevel-1))^(2^F250)))</f>
        <v>53</v>
      </c>
      <c r="K250" s="12">
        <f>IF(OR(D250="",E250=""),"",IF(IFERROR(INDEX(Stats!$D:$D,MATCH($C250,Stats!$A:$A,0)),FALSE),ROUND(D250+(E250-D250)*(1+G250)*((4-1)/(MaxLevel-1))^(2^F250),0),D250+(E250-D250)*(1+G250)*((4-1)/(MaxLevel-1))^(2^F250)))</f>
        <v>67</v>
      </c>
      <c r="L250" s="12">
        <f>IF(OR(D250="",E250=""),"",IF(IFERROR(INDEX(Stats!$D:$D,MATCH($C250,Stats!$A:$A,0)),FALSE),ROUND(D250+(E250-D250)*(1+G250)*((5-1)/(MaxLevel-1))^(2^F250),0),D250+(E250-D250)*(1+G250)*((5-1)/(MaxLevel-1))^(2^F250)))</f>
        <v>81</v>
      </c>
      <c r="M250" s="12">
        <f>IF(OR(D250="",E250=""),"",IF(IFERROR(INDEX(Stats!$D:$D,MATCH($C250,Stats!$A:$A,0)),FALSE),ROUND(D250+(E250-D250)*(1+G250)*((6-1)/(MaxLevel-1))^(2^F250),0),D250+(E250-D250)*(1+G250)*((6-1)/(MaxLevel-1))^(2^F250)))</f>
        <v>94</v>
      </c>
      <c r="N250" s="12">
        <f>IF(OR(D250="",E250=""),"",IF(IFERROR(INDEX(Stats!$D:$D,MATCH($C250,Stats!$A:$A,0)),FALSE),ROUND(D250+(E250-D250)*(1+G250)*((7-1)/(MaxLevel-1))^(2^F250),0),D250+(E250-D250)*(1+G250)*((7-1)/(MaxLevel-1))^(2^F250)))</f>
        <v>108</v>
      </c>
      <c r="O250" s="12">
        <f>IF(OR(D250="",E250=""),"",IF(IFERROR(INDEX(Stats!$D:$D,MATCH($C250,Stats!$A:$A,0)),FALSE),ROUND(D250+(E250-D250)*(1+G250)*((8-1)/(MaxLevel-1))^(2^F250),0),D250+(E250-D250)*(1+G250)*((8-1)/(MaxLevel-1))^(2^F250)))</f>
        <v>122</v>
      </c>
      <c r="P250" s="12">
        <f>IF(OR(D250="",E250=""),"",IF(IFERROR(INDEX(Stats!$D:$D,MATCH($C250,Stats!$A:$A,0)),FALSE),ROUND(D250+(E250-D250)*(1+G250)*((9-1)/(MaxLevel-1))^(2^F250),0),D250+(E250-D250)*(1+G250)*((9-1)/(MaxLevel-1))^(2^F250)))</f>
        <v>136</v>
      </c>
      <c r="Q250" s="12">
        <f>IF(OR(D250="",E250=""),"",IF(IFERROR(INDEX(Stats!$D:$D,MATCH($C250,Stats!$A:$A,0)),FALSE),ROUND(D250+(E250-D250)*(1+G250)*((10-1)/(MaxLevel-1))^(2^F250),0),D250+(E250-D250)*(1+G250)*((10-1)/(MaxLevel-1))^(2^F250)))</f>
        <v>150</v>
      </c>
    </row>
    <row r="251" spans="1:17" x14ac:dyDescent="0.25">
      <c r="A251" s="4" t="s">
        <v>185</v>
      </c>
      <c r="B251" s="19" t="s">
        <v>228</v>
      </c>
      <c r="C251" s="4" t="s">
        <v>28</v>
      </c>
      <c r="D251" s="5">
        <v>300</v>
      </c>
      <c r="E251" s="5">
        <v>1200</v>
      </c>
      <c r="F251" s="5">
        <v>0</v>
      </c>
      <c r="G251" s="5">
        <v>-0.1</v>
      </c>
      <c r="H251" s="12">
        <f>IF(OR(D251="",E251=""),"",IF(IFERROR(INDEX(Stats!$D:$D,MATCH($C251,Stats!$A:$A,0)),FALSE),ROUND(D251+(E251-D251)*(1+G251)*((1-1)/(MaxLevel-1))^(2^F251),0),D251+(E251-D251)*(1+G251)*((1-1)/(MaxLevel-1))^(2^F251)))</f>
        <v>300</v>
      </c>
      <c r="I251" s="12">
        <f>IF(OR(D251="",E251=""),"",IF(IFERROR(INDEX(Stats!$D:$D,MATCH($C251,Stats!$A:$A,0)),FALSE),ROUND(D251+(E251-D251)*(1+G251)*((2-1)/(MaxLevel-1))^(2^F251),0),D251+(E251-D251)*(1+G251)*((2-1)/(MaxLevel-1))^(2^F251)))</f>
        <v>390</v>
      </c>
      <c r="J251" s="12">
        <f>IF(OR(D251="",E251=""),"",IF(IFERROR(INDEX(Stats!$D:$D,MATCH($C251,Stats!$A:$A,0)),FALSE),ROUND(D251+(E251-D251)*(1+G251)*((3-1)/(MaxLevel-1))^(2^F251),0),D251+(E251-D251)*(1+G251)*((3-1)/(MaxLevel-1))^(2^F251)))</f>
        <v>480</v>
      </c>
      <c r="K251" s="12">
        <f>IF(OR(D251="",E251=""),"",IF(IFERROR(INDEX(Stats!$D:$D,MATCH($C251,Stats!$A:$A,0)),FALSE),ROUND(D251+(E251-D251)*(1+G251)*((4-1)/(MaxLevel-1))^(2^F251),0),D251+(E251-D251)*(1+G251)*((4-1)/(MaxLevel-1))^(2^F251)))</f>
        <v>570</v>
      </c>
      <c r="L251" s="12">
        <f>IF(OR(D251="",E251=""),"",IF(IFERROR(INDEX(Stats!$D:$D,MATCH($C251,Stats!$A:$A,0)),FALSE),ROUND(D251+(E251-D251)*(1+G251)*((5-1)/(MaxLevel-1))^(2^F251),0),D251+(E251-D251)*(1+G251)*((5-1)/(MaxLevel-1))^(2^F251)))</f>
        <v>660</v>
      </c>
      <c r="M251" s="12">
        <f>IF(OR(D251="",E251=""),"",IF(IFERROR(INDEX(Stats!$D:$D,MATCH($C251,Stats!$A:$A,0)),FALSE),ROUND(D251+(E251-D251)*(1+G251)*((6-1)/(MaxLevel-1))^(2^F251),0),D251+(E251-D251)*(1+G251)*((6-1)/(MaxLevel-1))^(2^F251)))</f>
        <v>750</v>
      </c>
      <c r="N251" s="12">
        <f>IF(OR(D251="",E251=""),"",IF(IFERROR(INDEX(Stats!$D:$D,MATCH($C251,Stats!$A:$A,0)),FALSE),ROUND(D251+(E251-D251)*(1+G251)*((7-1)/(MaxLevel-1))^(2^F251),0),D251+(E251-D251)*(1+G251)*((7-1)/(MaxLevel-1))^(2^F251)))</f>
        <v>840</v>
      </c>
      <c r="O251" s="12">
        <f>IF(OR(D251="",E251=""),"",IF(IFERROR(INDEX(Stats!$D:$D,MATCH($C251,Stats!$A:$A,0)),FALSE),ROUND(D251+(E251-D251)*(1+G251)*((8-1)/(MaxLevel-1))^(2^F251),0),D251+(E251-D251)*(1+G251)*((8-1)/(MaxLevel-1))^(2^F251)))</f>
        <v>930</v>
      </c>
      <c r="P251" s="12">
        <f>IF(OR(D251="",E251=""),"",IF(IFERROR(INDEX(Stats!$D:$D,MATCH($C251,Stats!$A:$A,0)),FALSE),ROUND(D251+(E251-D251)*(1+G251)*((9-1)/(MaxLevel-1))^(2^F251),0),D251+(E251-D251)*(1+G251)*((9-1)/(MaxLevel-1))^(2^F251)))</f>
        <v>1020</v>
      </c>
      <c r="Q251" s="12">
        <f>IF(OR(D251="",E251=""),"",IF(IFERROR(INDEX(Stats!$D:$D,MATCH($C251,Stats!$A:$A,0)),FALSE),ROUND(D251+(E251-D251)*(1+G251)*((10-1)/(MaxLevel-1))^(2^F251),0),D251+(E251-D251)*(1+G251)*((10-1)/(MaxLevel-1))^(2^F251)))</f>
        <v>1110</v>
      </c>
    </row>
    <row r="252" spans="1:17" x14ac:dyDescent="0.25">
      <c r="A252" s="4" t="s">
        <v>185</v>
      </c>
      <c r="B252" s="19" t="s">
        <v>228</v>
      </c>
      <c r="C252" s="4" t="s">
        <v>30</v>
      </c>
      <c r="D252" s="5">
        <v>25</v>
      </c>
      <c r="E252" s="5">
        <v>110</v>
      </c>
      <c r="F252" s="5">
        <v>0.5</v>
      </c>
      <c r="G252" s="5">
        <v>0</v>
      </c>
      <c r="H252" s="12">
        <f>IF(OR(D252="",E252=""),"",IF(IFERROR(INDEX(Stats!$D:$D,MATCH($C252,Stats!$A:$A,0)),FALSE),ROUND(D252+(E252-D252)*(1+G252)*((1-1)/(MaxLevel-1))^(2^F252),0),D252+(E252-D252)*(1+G252)*((1-1)/(MaxLevel-1))^(2^F252)))</f>
        <v>25</v>
      </c>
      <c r="I252" s="12">
        <f>IF(OR(D252="",E252=""),"",IF(IFERROR(INDEX(Stats!$D:$D,MATCH($C252,Stats!$A:$A,0)),FALSE),ROUND(D252+(E252-D252)*(1+G252)*((2-1)/(MaxLevel-1))^(2^F252),0),D252+(E252-D252)*(1+G252)*((2-1)/(MaxLevel-1))^(2^F252)))</f>
        <v>29</v>
      </c>
      <c r="J252" s="12">
        <f>IF(OR(D252="",E252=""),"",IF(IFERROR(INDEX(Stats!$D:$D,MATCH($C252,Stats!$A:$A,0)),FALSE),ROUND(D252+(E252-D252)*(1+G252)*((3-1)/(MaxLevel-1))^(2^F252),0),D252+(E252-D252)*(1+G252)*((3-1)/(MaxLevel-1))^(2^F252)))</f>
        <v>35</v>
      </c>
      <c r="K252" s="12">
        <f>IF(OR(D252="",E252=""),"",IF(IFERROR(INDEX(Stats!$D:$D,MATCH($C252,Stats!$A:$A,0)),FALSE),ROUND(D252+(E252-D252)*(1+G252)*((4-1)/(MaxLevel-1))^(2^F252),0),D252+(E252-D252)*(1+G252)*((4-1)/(MaxLevel-1))^(2^F252)))</f>
        <v>43</v>
      </c>
      <c r="L252" s="12">
        <f>IF(OR(D252="",E252=""),"",IF(IFERROR(INDEX(Stats!$D:$D,MATCH($C252,Stats!$A:$A,0)),FALSE),ROUND(D252+(E252-D252)*(1+G252)*((5-1)/(MaxLevel-1))^(2^F252),0),D252+(E252-D252)*(1+G252)*((5-1)/(MaxLevel-1))^(2^F252)))</f>
        <v>52</v>
      </c>
      <c r="M252" s="12">
        <f>IF(OR(D252="",E252=""),"",IF(IFERROR(INDEX(Stats!$D:$D,MATCH($C252,Stats!$A:$A,0)),FALSE),ROUND(D252+(E252-D252)*(1+G252)*((6-1)/(MaxLevel-1))^(2^F252),0),D252+(E252-D252)*(1+G252)*((6-1)/(MaxLevel-1))^(2^F252)))</f>
        <v>62</v>
      </c>
      <c r="N252" s="12">
        <f>IF(OR(D252="",E252=""),"",IF(IFERROR(INDEX(Stats!$D:$D,MATCH($C252,Stats!$A:$A,0)),FALSE),ROUND(D252+(E252-D252)*(1+G252)*((7-1)/(MaxLevel-1))^(2^F252),0),D252+(E252-D252)*(1+G252)*((7-1)/(MaxLevel-1))^(2^F252)))</f>
        <v>73</v>
      </c>
      <c r="O252" s="12">
        <f>IF(OR(D252="",E252=""),"",IF(IFERROR(INDEX(Stats!$D:$D,MATCH($C252,Stats!$A:$A,0)),FALSE),ROUND(D252+(E252-D252)*(1+G252)*((8-1)/(MaxLevel-1))^(2^F252),0),D252+(E252-D252)*(1+G252)*((8-1)/(MaxLevel-1))^(2^F252)))</f>
        <v>85</v>
      </c>
      <c r="P252" s="12">
        <f>IF(OR(D252="",E252=""),"",IF(IFERROR(INDEX(Stats!$D:$D,MATCH($C252,Stats!$A:$A,0)),FALSE),ROUND(D252+(E252-D252)*(1+G252)*((9-1)/(MaxLevel-1))^(2^F252),0),D252+(E252-D252)*(1+G252)*((9-1)/(MaxLevel-1))^(2^F252)))</f>
        <v>97</v>
      </c>
      <c r="Q252" s="12">
        <f>IF(OR(D252="",E252=""),"",IF(IFERROR(INDEX(Stats!$D:$D,MATCH($C252,Stats!$A:$A,0)),FALSE),ROUND(D252+(E252-D252)*(1+G252)*((10-1)/(MaxLevel-1))^(2^F252),0),D252+(E252-D252)*(1+G252)*((10-1)/(MaxLevel-1))^(2^F252)))</f>
        <v>110</v>
      </c>
    </row>
    <row r="253" spans="1:17" x14ac:dyDescent="0.25">
      <c r="A253" s="4" t="s">
        <v>185</v>
      </c>
      <c r="B253" s="19" t="s">
        <v>228</v>
      </c>
      <c r="C253" s="4" t="s">
        <v>32</v>
      </c>
      <c r="D253" s="5"/>
      <c r="E253" s="5"/>
      <c r="F253" s="5"/>
      <c r="G253" s="5"/>
      <c r="H253" s="12" t="str">
        <f>IF(OR(D253="",E253=""),"",IF(IFERROR(INDEX(Stats!$D:$D,MATCH($C253,Stats!$A:$A,0)),FALSE),ROUND(D253+(E253-D253)*(1+G253)*((1-1)/(MaxLevel-1))^(2^F253),0),D253+(E253-D253)*(1+G253)*((1-1)/(MaxLevel-1))^(2^F253)))</f>
        <v/>
      </c>
      <c r="I253" s="12" t="str">
        <f>IF(OR(D253="",E253=""),"",IF(IFERROR(INDEX(Stats!$D:$D,MATCH($C253,Stats!$A:$A,0)),FALSE),ROUND(D253+(E253-D253)*(1+G253)*((2-1)/(MaxLevel-1))^(2^F253),0),D253+(E253-D253)*(1+G253)*((2-1)/(MaxLevel-1))^(2^F253)))</f>
        <v/>
      </c>
      <c r="J253" s="12" t="str">
        <f>IF(OR(D253="",E253=""),"",IF(IFERROR(INDEX(Stats!$D:$D,MATCH($C253,Stats!$A:$A,0)),FALSE),ROUND(D253+(E253-D253)*(1+G253)*((3-1)/(MaxLevel-1))^(2^F253),0),D253+(E253-D253)*(1+G253)*((3-1)/(MaxLevel-1))^(2^F253)))</f>
        <v/>
      </c>
      <c r="K253" s="12" t="str">
        <f>IF(OR(D253="",E253=""),"",IF(IFERROR(INDEX(Stats!$D:$D,MATCH($C253,Stats!$A:$A,0)),FALSE),ROUND(D253+(E253-D253)*(1+G253)*((4-1)/(MaxLevel-1))^(2^F253),0),D253+(E253-D253)*(1+G253)*((4-1)/(MaxLevel-1))^(2^F253)))</f>
        <v/>
      </c>
      <c r="L253" s="12" t="str">
        <f>IF(OR(D253="",E253=""),"",IF(IFERROR(INDEX(Stats!$D:$D,MATCH($C253,Stats!$A:$A,0)),FALSE),ROUND(D253+(E253-D253)*(1+G253)*((5-1)/(MaxLevel-1))^(2^F253),0),D253+(E253-D253)*(1+G253)*((5-1)/(MaxLevel-1))^(2^F253)))</f>
        <v/>
      </c>
      <c r="M253" s="12" t="str">
        <f>IF(OR(D253="",E253=""),"",IF(IFERROR(INDEX(Stats!$D:$D,MATCH($C253,Stats!$A:$A,0)),FALSE),ROUND(D253+(E253-D253)*(1+G253)*((6-1)/(MaxLevel-1))^(2^F253),0),D253+(E253-D253)*(1+G253)*((6-1)/(MaxLevel-1))^(2^F253)))</f>
        <v/>
      </c>
      <c r="N253" s="12" t="str">
        <f>IF(OR(D253="",E253=""),"",IF(IFERROR(INDEX(Stats!$D:$D,MATCH($C253,Stats!$A:$A,0)),FALSE),ROUND(D253+(E253-D253)*(1+G253)*((7-1)/(MaxLevel-1))^(2^F253),0),D253+(E253-D253)*(1+G253)*((7-1)/(MaxLevel-1))^(2^F253)))</f>
        <v/>
      </c>
      <c r="O253" s="12" t="str">
        <f>IF(OR(D253="",E253=""),"",IF(IFERROR(INDEX(Stats!$D:$D,MATCH($C253,Stats!$A:$A,0)),FALSE),ROUND(D253+(E253-D253)*(1+G253)*((8-1)/(MaxLevel-1))^(2^F253),0),D253+(E253-D253)*(1+G253)*((8-1)/(MaxLevel-1))^(2^F253)))</f>
        <v/>
      </c>
      <c r="P253" s="12" t="str">
        <f>IF(OR(D253="",E253=""),"",IF(IFERROR(INDEX(Stats!$D:$D,MATCH($C253,Stats!$A:$A,0)),FALSE),ROUND(D253+(E253-D253)*(1+G253)*((9-1)/(MaxLevel-1))^(2^F253),0),D253+(E253-D253)*(1+G253)*((9-1)/(MaxLevel-1))^(2^F253)))</f>
        <v/>
      </c>
      <c r="Q253" s="12" t="str">
        <f>IF(OR(D253="",E253=""),"",IF(IFERROR(INDEX(Stats!$D:$D,MATCH($C253,Stats!$A:$A,0)),FALSE),ROUND(D253+(E253-D253)*(1+G253)*((10-1)/(MaxLevel-1))^(2^F253),0),D253+(E253-D253)*(1+G253)*((10-1)/(MaxLevel-1))^(2^F253)))</f>
        <v/>
      </c>
    </row>
    <row r="254" spans="1:17" x14ac:dyDescent="0.25">
      <c r="A254" s="4" t="s">
        <v>185</v>
      </c>
      <c r="B254" s="19" t="s">
        <v>228</v>
      </c>
      <c r="C254" s="4" t="s">
        <v>34</v>
      </c>
      <c r="D254" s="5"/>
      <c r="E254" s="5"/>
      <c r="F254" s="5"/>
      <c r="G254" s="5"/>
      <c r="H254" s="12" t="str">
        <f>IF(OR(D254="",E254=""),"",IF(IFERROR(INDEX(Stats!$D:$D,MATCH($C254,Stats!$A:$A,0)),FALSE),ROUND(D254+(E254-D254)*(1+G254)*((1-1)/(MaxLevel-1))^(2^F254),0),D254+(E254-D254)*(1+G254)*((1-1)/(MaxLevel-1))^(2^F254)))</f>
        <v/>
      </c>
      <c r="I254" s="12" t="str">
        <f>IF(OR(D254="",E254=""),"",IF(IFERROR(INDEX(Stats!$D:$D,MATCH($C254,Stats!$A:$A,0)),FALSE),ROUND(D254+(E254-D254)*(1+G254)*((2-1)/(MaxLevel-1))^(2^F254),0),D254+(E254-D254)*(1+G254)*((2-1)/(MaxLevel-1))^(2^F254)))</f>
        <v/>
      </c>
      <c r="J254" s="12" t="str">
        <f>IF(OR(D254="",E254=""),"",IF(IFERROR(INDEX(Stats!$D:$D,MATCH($C254,Stats!$A:$A,0)),FALSE),ROUND(D254+(E254-D254)*(1+G254)*((3-1)/(MaxLevel-1))^(2^F254),0),D254+(E254-D254)*(1+G254)*((3-1)/(MaxLevel-1))^(2^F254)))</f>
        <v/>
      </c>
      <c r="K254" s="12" t="str">
        <f>IF(OR(D254="",E254=""),"",IF(IFERROR(INDEX(Stats!$D:$D,MATCH($C254,Stats!$A:$A,0)),FALSE),ROUND(D254+(E254-D254)*(1+G254)*((4-1)/(MaxLevel-1))^(2^F254),0),D254+(E254-D254)*(1+G254)*((4-1)/(MaxLevel-1))^(2^F254)))</f>
        <v/>
      </c>
      <c r="L254" s="12" t="str">
        <f>IF(OR(D254="",E254=""),"",IF(IFERROR(INDEX(Stats!$D:$D,MATCH($C254,Stats!$A:$A,0)),FALSE),ROUND(D254+(E254-D254)*(1+G254)*((5-1)/(MaxLevel-1))^(2^F254),0),D254+(E254-D254)*(1+G254)*((5-1)/(MaxLevel-1))^(2^F254)))</f>
        <v/>
      </c>
      <c r="M254" s="12" t="str">
        <f>IF(OR(D254="",E254=""),"",IF(IFERROR(INDEX(Stats!$D:$D,MATCH($C254,Stats!$A:$A,0)),FALSE),ROUND(D254+(E254-D254)*(1+G254)*((6-1)/(MaxLevel-1))^(2^F254),0),D254+(E254-D254)*(1+G254)*((6-1)/(MaxLevel-1))^(2^F254)))</f>
        <v/>
      </c>
      <c r="N254" s="12" t="str">
        <f>IF(OR(D254="",E254=""),"",IF(IFERROR(INDEX(Stats!$D:$D,MATCH($C254,Stats!$A:$A,0)),FALSE),ROUND(D254+(E254-D254)*(1+G254)*((7-1)/(MaxLevel-1))^(2^F254),0),D254+(E254-D254)*(1+G254)*((7-1)/(MaxLevel-1))^(2^F254)))</f>
        <v/>
      </c>
      <c r="O254" s="12" t="str">
        <f>IF(OR(D254="",E254=""),"",IF(IFERROR(INDEX(Stats!$D:$D,MATCH($C254,Stats!$A:$A,0)),FALSE),ROUND(D254+(E254-D254)*(1+G254)*((8-1)/(MaxLevel-1))^(2^F254),0),D254+(E254-D254)*(1+G254)*((8-1)/(MaxLevel-1))^(2^F254)))</f>
        <v/>
      </c>
      <c r="P254" s="12" t="str">
        <f>IF(OR(D254="",E254=""),"",IF(IFERROR(INDEX(Stats!$D:$D,MATCH($C254,Stats!$A:$A,0)),FALSE),ROUND(D254+(E254-D254)*(1+G254)*((9-1)/(MaxLevel-1))^(2^F254),0),D254+(E254-D254)*(1+G254)*((9-1)/(MaxLevel-1))^(2^F254)))</f>
        <v/>
      </c>
      <c r="Q254" s="12" t="str">
        <f>IF(OR(D254="",E254=""),"",IF(IFERROR(INDEX(Stats!$D:$D,MATCH($C254,Stats!$A:$A,0)),FALSE),ROUND(D254+(E254-D254)*(1+G254)*((10-1)/(MaxLevel-1))^(2^F254),0),D254+(E254-D254)*(1+G254)*((10-1)/(MaxLevel-1))^(2^F254)))</f>
        <v/>
      </c>
    </row>
    <row r="255" spans="1:17" x14ac:dyDescent="0.25">
      <c r="A255" s="4" t="s">
        <v>185</v>
      </c>
      <c r="B255" s="19" t="s">
        <v>228</v>
      </c>
      <c r="C255" s="4" t="s">
        <v>36</v>
      </c>
      <c r="D255" s="5"/>
      <c r="E255" s="5"/>
      <c r="F255" s="5"/>
      <c r="G255" s="5"/>
      <c r="H255" s="12" t="str">
        <f>IF(OR(D255="",E255=""),"",IF(IFERROR(INDEX(Stats!$D:$D,MATCH($C255,Stats!$A:$A,0)),FALSE),ROUND(D255+(E255-D255)*(1+G255)*((1-1)/(MaxLevel-1))^(2^F255),0),D255+(E255-D255)*(1+G255)*((1-1)/(MaxLevel-1))^(2^F255)))</f>
        <v/>
      </c>
      <c r="I255" s="12" t="str">
        <f>IF(OR(D255="",E255=""),"",IF(IFERROR(INDEX(Stats!$D:$D,MATCH($C255,Stats!$A:$A,0)),FALSE),ROUND(D255+(E255-D255)*(1+G255)*((2-1)/(MaxLevel-1))^(2^F255),0),D255+(E255-D255)*(1+G255)*((2-1)/(MaxLevel-1))^(2^F255)))</f>
        <v/>
      </c>
      <c r="J255" s="12" t="str">
        <f>IF(OR(D255="",E255=""),"",IF(IFERROR(INDEX(Stats!$D:$D,MATCH($C255,Stats!$A:$A,0)),FALSE),ROUND(D255+(E255-D255)*(1+G255)*((3-1)/(MaxLevel-1))^(2^F255),0),D255+(E255-D255)*(1+G255)*((3-1)/(MaxLevel-1))^(2^F255)))</f>
        <v/>
      </c>
      <c r="K255" s="12" t="str">
        <f>IF(OR(D255="",E255=""),"",IF(IFERROR(INDEX(Stats!$D:$D,MATCH($C255,Stats!$A:$A,0)),FALSE),ROUND(D255+(E255-D255)*(1+G255)*((4-1)/(MaxLevel-1))^(2^F255),0),D255+(E255-D255)*(1+G255)*((4-1)/(MaxLevel-1))^(2^F255)))</f>
        <v/>
      </c>
      <c r="L255" s="12" t="str">
        <f>IF(OR(D255="",E255=""),"",IF(IFERROR(INDEX(Stats!$D:$D,MATCH($C255,Stats!$A:$A,0)),FALSE),ROUND(D255+(E255-D255)*(1+G255)*((5-1)/(MaxLevel-1))^(2^F255),0),D255+(E255-D255)*(1+G255)*((5-1)/(MaxLevel-1))^(2^F255)))</f>
        <v/>
      </c>
      <c r="M255" s="12" t="str">
        <f>IF(OR(D255="",E255=""),"",IF(IFERROR(INDEX(Stats!$D:$D,MATCH($C255,Stats!$A:$A,0)),FALSE),ROUND(D255+(E255-D255)*(1+G255)*((6-1)/(MaxLevel-1))^(2^F255),0),D255+(E255-D255)*(1+G255)*((6-1)/(MaxLevel-1))^(2^F255)))</f>
        <v/>
      </c>
      <c r="N255" s="12" t="str">
        <f>IF(OR(D255="",E255=""),"",IF(IFERROR(INDEX(Stats!$D:$D,MATCH($C255,Stats!$A:$A,0)),FALSE),ROUND(D255+(E255-D255)*(1+G255)*((7-1)/(MaxLevel-1))^(2^F255),0),D255+(E255-D255)*(1+G255)*((7-1)/(MaxLevel-1))^(2^F255)))</f>
        <v/>
      </c>
      <c r="O255" s="12" t="str">
        <f>IF(OR(D255="",E255=""),"",IF(IFERROR(INDEX(Stats!$D:$D,MATCH($C255,Stats!$A:$A,0)),FALSE),ROUND(D255+(E255-D255)*(1+G255)*((8-1)/(MaxLevel-1))^(2^F255),0),D255+(E255-D255)*(1+G255)*((8-1)/(MaxLevel-1))^(2^F255)))</f>
        <v/>
      </c>
      <c r="P255" s="12" t="str">
        <f>IF(OR(D255="",E255=""),"",IF(IFERROR(INDEX(Stats!$D:$D,MATCH($C255,Stats!$A:$A,0)),FALSE),ROUND(D255+(E255-D255)*(1+G255)*((9-1)/(MaxLevel-1))^(2^F255),0),D255+(E255-D255)*(1+G255)*((9-1)/(MaxLevel-1))^(2^F255)))</f>
        <v/>
      </c>
      <c r="Q255" s="12" t="str">
        <f>IF(OR(D255="",E255=""),"",IF(IFERROR(INDEX(Stats!$D:$D,MATCH($C255,Stats!$A:$A,0)),FALSE),ROUND(D255+(E255-D255)*(1+G255)*((10-1)/(MaxLevel-1))^(2^F255),0),D255+(E255-D255)*(1+G255)*((10-1)/(MaxLevel-1))^(2^F255)))</f>
        <v/>
      </c>
    </row>
    <row r="256" spans="1:17" x14ac:dyDescent="0.25">
      <c r="A256" s="4" t="s">
        <v>185</v>
      </c>
      <c r="B256" s="19" t="s">
        <v>228</v>
      </c>
      <c r="C256" s="4" t="s">
        <v>38</v>
      </c>
      <c r="D256" s="5"/>
      <c r="E256" s="5"/>
      <c r="F256" s="5"/>
      <c r="G256" s="5"/>
      <c r="H256" s="12" t="str">
        <f>IF(OR(D256="",E256=""),"",IF(IFERROR(INDEX(Stats!$D:$D,MATCH($C256,Stats!$A:$A,0)),FALSE),ROUND(D256+(E256-D256)*(1+G256)*((1-1)/(MaxLevel-1))^(2^F256),0),D256+(E256-D256)*(1+G256)*((1-1)/(MaxLevel-1))^(2^F256)))</f>
        <v/>
      </c>
      <c r="I256" s="12" t="str">
        <f>IF(OR(D256="",E256=""),"",IF(IFERROR(INDEX(Stats!$D:$D,MATCH($C256,Stats!$A:$A,0)),FALSE),ROUND(D256+(E256-D256)*(1+G256)*((2-1)/(MaxLevel-1))^(2^F256),0),D256+(E256-D256)*(1+G256)*((2-1)/(MaxLevel-1))^(2^F256)))</f>
        <v/>
      </c>
      <c r="J256" s="12" t="str">
        <f>IF(OR(D256="",E256=""),"",IF(IFERROR(INDEX(Stats!$D:$D,MATCH($C256,Stats!$A:$A,0)),FALSE),ROUND(D256+(E256-D256)*(1+G256)*((3-1)/(MaxLevel-1))^(2^F256),0),D256+(E256-D256)*(1+G256)*((3-1)/(MaxLevel-1))^(2^F256)))</f>
        <v/>
      </c>
      <c r="K256" s="12" t="str">
        <f>IF(OR(D256="",E256=""),"",IF(IFERROR(INDEX(Stats!$D:$D,MATCH($C256,Stats!$A:$A,0)),FALSE),ROUND(D256+(E256-D256)*(1+G256)*((4-1)/(MaxLevel-1))^(2^F256),0),D256+(E256-D256)*(1+G256)*((4-1)/(MaxLevel-1))^(2^F256)))</f>
        <v/>
      </c>
      <c r="L256" s="12" t="str">
        <f>IF(OR(D256="",E256=""),"",IF(IFERROR(INDEX(Stats!$D:$D,MATCH($C256,Stats!$A:$A,0)),FALSE),ROUND(D256+(E256-D256)*(1+G256)*((5-1)/(MaxLevel-1))^(2^F256),0),D256+(E256-D256)*(1+G256)*((5-1)/(MaxLevel-1))^(2^F256)))</f>
        <v/>
      </c>
      <c r="M256" s="12" t="str">
        <f>IF(OR(D256="",E256=""),"",IF(IFERROR(INDEX(Stats!$D:$D,MATCH($C256,Stats!$A:$A,0)),FALSE),ROUND(D256+(E256-D256)*(1+G256)*((6-1)/(MaxLevel-1))^(2^F256),0),D256+(E256-D256)*(1+G256)*((6-1)/(MaxLevel-1))^(2^F256)))</f>
        <v/>
      </c>
      <c r="N256" s="12" t="str">
        <f>IF(OR(D256="",E256=""),"",IF(IFERROR(INDEX(Stats!$D:$D,MATCH($C256,Stats!$A:$A,0)),FALSE),ROUND(D256+(E256-D256)*(1+G256)*((7-1)/(MaxLevel-1))^(2^F256),0),D256+(E256-D256)*(1+G256)*((7-1)/(MaxLevel-1))^(2^F256)))</f>
        <v/>
      </c>
      <c r="O256" s="12" t="str">
        <f>IF(OR(D256="",E256=""),"",IF(IFERROR(INDEX(Stats!$D:$D,MATCH($C256,Stats!$A:$A,0)),FALSE),ROUND(D256+(E256-D256)*(1+G256)*((8-1)/(MaxLevel-1))^(2^F256),0),D256+(E256-D256)*(1+G256)*((8-1)/(MaxLevel-1))^(2^F256)))</f>
        <v/>
      </c>
      <c r="P256" s="12" t="str">
        <f>IF(OR(D256="",E256=""),"",IF(IFERROR(INDEX(Stats!$D:$D,MATCH($C256,Stats!$A:$A,0)),FALSE),ROUND(D256+(E256-D256)*(1+G256)*((9-1)/(MaxLevel-1))^(2^F256),0),D256+(E256-D256)*(1+G256)*((9-1)/(MaxLevel-1))^(2^F256)))</f>
        <v/>
      </c>
      <c r="Q256" s="12" t="str">
        <f>IF(OR(D256="",E256=""),"",IF(IFERROR(INDEX(Stats!$D:$D,MATCH($C256,Stats!$A:$A,0)),FALSE),ROUND(D256+(E256-D256)*(1+G256)*((10-1)/(MaxLevel-1))^(2^F256),0),D256+(E256-D256)*(1+G256)*((10-1)/(MaxLevel-1))^(2^F256)))</f>
        <v/>
      </c>
    </row>
    <row r="257" spans="1:17" x14ac:dyDescent="0.25">
      <c r="A257" s="4" t="s">
        <v>185</v>
      </c>
      <c r="B257" s="19" t="s">
        <v>228</v>
      </c>
      <c r="C257" s="4" t="s">
        <v>40</v>
      </c>
      <c r="D257" s="5"/>
      <c r="E257" s="5"/>
      <c r="F257" s="5"/>
      <c r="G257" s="5"/>
      <c r="H257" s="12" t="str">
        <f>IF(OR(D257="",E257=""),"",IF(IFERROR(INDEX(Stats!$D:$D,MATCH($C257,Stats!$A:$A,0)),FALSE),ROUND(D257+(E257-D257)*(1+G257)*((1-1)/(MaxLevel-1))^(2^F257),0),D257+(E257-D257)*(1+G257)*((1-1)/(MaxLevel-1))^(2^F257)))</f>
        <v/>
      </c>
      <c r="I257" s="12" t="str">
        <f>IF(OR(D257="",E257=""),"",IF(IFERROR(INDEX(Stats!$D:$D,MATCH($C257,Stats!$A:$A,0)),FALSE),ROUND(D257+(E257-D257)*(1+G257)*((2-1)/(MaxLevel-1))^(2^F257),0),D257+(E257-D257)*(1+G257)*((2-1)/(MaxLevel-1))^(2^F257)))</f>
        <v/>
      </c>
      <c r="J257" s="12" t="str">
        <f>IF(OR(D257="",E257=""),"",IF(IFERROR(INDEX(Stats!$D:$D,MATCH($C257,Stats!$A:$A,0)),FALSE),ROUND(D257+(E257-D257)*(1+G257)*((3-1)/(MaxLevel-1))^(2^F257),0),D257+(E257-D257)*(1+G257)*((3-1)/(MaxLevel-1))^(2^F257)))</f>
        <v/>
      </c>
      <c r="K257" s="12" t="str">
        <f>IF(OR(D257="",E257=""),"",IF(IFERROR(INDEX(Stats!$D:$D,MATCH($C257,Stats!$A:$A,0)),FALSE),ROUND(D257+(E257-D257)*(1+G257)*((4-1)/(MaxLevel-1))^(2^F257),0),D257+(E257-D257)*(1+G257)*((4-1)/(MaxLevel-1))^(2^F257)))</f>
        <v/>
      </c>
      <c r="L257" s="12" t="str">
        <f>IF(OR(D257="",E257=""),"",IF(IFERROR(INDEX(Stats!$D:$D,MATCH($C257,Stats!$A:$A,0)),FALSE),ROUND(D257+(E257-D257)*(1+G257)*((5-1)/(MaxLevel-1))^(2^F257),0),D257+(E257-D257)*(1+G257)*((5-1)/(MaxLevel-1))^(2^F257)))</f>
        <v/>
      </c>
      <c r="M257" s="12" t="str">
        <f>IF(OR(D257="",E257=""),"",IF(IFERROR(INDEX(Stats!$D:$D,MATCH($C257,Stats!$A:$A,0)),FALSE),ROUND(D257+(E257-D257)*(1+G257)*((6-1)/(MaxLevel-1))^(2^F257),0),D257+(E257-D257)*(1+G257)*((6-1)/(MaxLevel-1))^(2^F257)))</f>
        <v/>
      </c>
      <c r="N257" s="12" t="str">
        <f>IF(OR(D257="",E257=""),"",IF(IFERROR(INDEX(Stats!$D:$D,MATCH($C257,Stats!$A:$A,0)),FALSE),ROUND(D257+(E257-D257)*(1+G257)*((7-1)/(MaxLevel-1))^(2^F257),0),D257+(E257-D257)*(1+G257)*((7-1)/(MaxLevel-1))^(2^F257)))</f>
        <v/>
      </c>
      <c r="O257" s="12" t="str">
        <f>IF(OR(D257="",E257=""),"",IF(IFERROR(INDEX(Stats!$D:$D,MATCH($C257,Stats!$A:$A,0)),FALSE),ROUND(D257+(E257-D257)*(1+G257)*((8-1)/(MaxLevel-1))^(2^F257),0),D257+(E257-D257)*(1+G257)*((8-1)/(MaxLevel-1))^(2^F257)))</f>
        <v/>
      </c>
      <c r="P257" s="12" t="str">
        <f>IF(OR(D257="",E257=""),"",IF(IFERROR(INDEX(Stats!$D:$D,MATCH($C257,Stats!$A:$A,0)),FALSE),ROUND(D257+(E257-D257)*(1+G257)*((9-1)/(MaxLevel-1))^(2^F257),0),D257+(E257-D257)*(1+G257)*((9-1)/(MaxLevel-1))^(2^F257)))</f>
        <v/>
      </c>
      <c r="Q257" s="12" t="str">
        <f>IF(OR(D257="",E257=""),"",IF(IFERROR(INDEX(Stats!$D:$D,MATCH($C257,Stats!$A:$A,0)),FALSE),ROUND(D257+(E257-D257)*(1+G257)*((10-1)/(MaxLevel-1))^(2^F257),0),D257+(E257-D257)*(1+G257)*((10-1)/(MaxLevel-1))^(2^F257)))</f>
        <v/>
      </c>
    </row>
    <row r="258" spans="1:17" x14ac:dyDescent="0.25">
      <c r="A258" s="4" t="s">
        <v>185</v>
      </c>
      <c r="B258" s="19" t="s">
        <v>228</v>
      </c>
      <c r="C258" s="4" t="s">
        <v>42</v>
      </c>
      <c r="D258" s="5"/>
      <c r="E258" s="5"/>
      <c r="F258" s="5"/>
      <c r="G258" s="5"/>
      <c r="H258" s="12" t="str">
        <f>IF(OR(D258="",E258=""),"",IF(IFERROR(INDEX(Stats!$D:$D,MATCH($C258,Stats!$A:$A,0)),FALSE),ROUND(D258+(E258-D258)*(1+G258)*((1-1)/(MaxLevel-1))^(2^F258),0),D258+(E258-D258)*(1+G258)*((1-1)/(MaxLevel-1))^(2^F258)))</f>
        <v/>
      </c>
      <c r="I258" s="12" t="str">
        <f>IF(OR(D258="",E258=""),"",IF(IFERROR(INDEX(Stats!$D:$D,MATCH($C258,Stats!$A:$A,0)),FALSE),ROUND(D258+(E258-D258)*(1+G258)*((2-1)/(MaxLevel-1))^(2^F258),0),D258+(E258-D258)*(1+G258)*((2-1)/(MaxLevel-1))^(2^F258)))</f>
        <v/>
      </c>
      <c r="J258" s="12" t="str">
        <f>IF(OR(D258="",E258=""),"",IF(IFERROR(INDEX(Stats!$D:$D,MATCH($C258,Stats!$A:$A,0)),FALSE),ROUND(D258+(E258-D258)*(1+G258)*((3-1)/(MaxLevel-1))^(2^F258),0),D258+(E258-D258)*(1+G258)*((3-1)/(MaxLevel-1))^(2^F258)))</f>
        <v/>
      </c>
      <c r="K258" s="12" t="str">
        <f>IF(OR(D258="",E258=""),"",IF(IFERROR(INDEX(Stats!$D:$D,MATCH($C258,Stats!$A:$A,0)),FALSE),ROUND(D258+(E258-D258)*(1+G258)*((4-1)/(MaxLevel-1))^(2^F258),0),D258+(E258-D258)*(1+G258)*((4-1)/(MaxLevel-1))^(2^F258)))</f>
        <v/>
      </c>
      <c r="L258" s="12" t="str">
        <f>IF(OR(D258="",E258=""),"",IF(IFERROR(INDEX(Stats!$D:$D,MATCH($C258,Stats!$A:$A,0)),FALSE),ROUND(D258+(E258-D258)*(1+G258)*((5-1)/(MaxLevel-1))^(2^F258),0),D258+(E258-D258)*(1+G258)*((5-1)/(MaxLevel-1))^(2^F258)))</f>
        <v/>
      </c>
      <c r="M258" s="12" t="str">
        <f>IF(OR(D258="",E258=""),"",IF(IFERROR(INDEX(Stats!$D:$D,MATCH($C258,Stats!$A:$A,0)),FALSE),ROUND(D258+(E258-D258)*(1+G258)*((6-1)/(MaxLevel-1))^(2^F258),0),D258+(E258-D258)*(1+G258)*((6-1)/(MaxLevel-1))^(2^F258)))</f>
        <v/>
      </c>
      <c r="N258" s="12" t="str">
        <f>IF(OR(D258="",E258=""),"",IF(IFERROR(INDEX(Stats!$D:$D,MATCH($C258,Stats!$A:$A,0)),FALSE),ROUND(D258+(E258-D258)*(1+G258)*((7-1)/(MaxLevel-1))^(2^F258),0),D258+(E258-D258)*(1+G258)*((7-1)/(MaxLevel-1))^(2^F258)))</f>
        <v/>
      </c>
      <c r="O258" s="12" t="str">
        <f>IF(OR(D258="",E258=""),"",IF(IFERROR(INDEX(Stats!$D:$D,MATCH($C258,Stats!$A:$A,0)),FALSE),ROUND(D258+(E258-D258)*(1+G258)*((8-1)/(MaxLevel-1))^(2^F258),0),D258+(E258-D258)*(1+G258)*((8-1)/(MaxLevel-1))^(2^F258)))</f>
        <v/>
      </c>
      <c r="P258" s="12" t="str">
        <f>IF(OR(D258="",E258=""),"",IF(IFERROR(INDEX(Stats!$D:$D,MATCH($C258,Stats!$A:$A,0)),FALSE),ROUND(D258+(E258-D258)*(1+G258)*((9-1)/(MaxLevel-1))^(2^F258),0),D258+(E258-D258)*(1+G258)*((9-1)/(MaxLevel-1))^(2^F258)))</f>
        <v/>
      </c>
      <c r="Q258" s="12" t="str">
        <f>IF(OR(D258="",E258=""),"",IF(IFERROR(INDEX(Stats!$D:$D,MATCH($C258,Stats!$A:$A,0)),FALSE),ROUND(D258+(E258-D258)*(1+G258)*((10-1)/(MaxLevel-1))^(2^F258),0),D258+(E258-D258)*(1+G258)*((10-1)/(MaxLevel-1))^(2^F258)))</f>
        <v/>
      </c>
    </row>
    <row r="259" spans="1:17" x14ac:dyDescent="0.25">
      <c r="A259" s="4" t="s">
        <v>185</v>
      </c>
      <c r="B259" s="19" t="s">
        <v>228</v>
      </c>
      <c r="C259" s="4" t="s">
        <v>44</v>
      </c>
      <c r="D259" s="5"/>
      <c r="E259" s="5"/>
      <c r="F259" s="5"/>
      <c r="G259" s="5"/>
      <c r="H259" s="12" t="str">
        <f>IF(OR(D259="",E259=""),"",IF(IFERROR(INDEX(Stats!$D:$D,MATCH($C259,Stats!$A:$A,0)),FALSE),ROUND(D259+(E259-D259)*(1+G259)*((1-1)/(MaxLevel-1))^(2^F259),0),D259+(E259-D259)*(1+G259)*((1-1)/(MaxLevel-1))^(2^F259)))</f>
        <v/>
      </c>
      <c r="I259" s="12" t="str">
        <f>IF(OR(D259="",E259=""),"",IF(IFERROR(INDEX(Stats!$D:$D,MATCH($C259,Stats!$A:$A,0)),FALSE),ROUND(D259+(E259-D259)*(1+G259)*((2-1)/(MaxLevel-1))^(2^F259),0),D259+(E259-D259)*(1+G259)*((2-1)/(MaxLevel-1))^(2^F259)))</f>
        <v/>
      </c>
      <c r="J259" s="12" t="str">
        <f>IF(OR(D259="",E259=""),"",IF(IFERROR(INDEX(Stats!$D:$D,MATCH($C259,Stats!$A:$A,0)),FALSE),ROUND(D259+(E259-D259)*(1+G259)*((3-1)/(MaxLevel-1))^(2^F259),0),D259+(E259-D259)*(1+G259)*((3-1)/(MaxLevel-1))^(2^F259)))</f>
        <v/>
      </c>
      <c r="K259" s="12" t="str">
        <f>IF(OR(D259="",E259=""),"",IF(IFERROR(INDEX(Stats!$D:$D,MATCH($C259,Stats!$A:$A,0)),FALSE),ROUND(D259+(E259-D259)*(1+G259)*((4-1)/(MaxLevel-1))^(2^F259),0),D259+(E259-D259)*(1+G259)*((4-1)/(MaxLevel-1))^(2^F259)))</f>
        <v/>
      </c>
      <c r="L259" s="12" t="str">
        <f>IF(OR(D259="",E259=""),"",IF(IFERROR(INDEX(Stats!$D:$D,MATCH($C259,Stats!$A:$A,0)),FALSE),ROUND(D259+(E259-D259)*(1+G259)*((5-1)/(MaxLevel-1))^(2^F259),0),D259+(E259-D259)*(1+G259)*((5-1)/(MaxLevel-1))^(2^F259)))</f>
        <v/>
      </c>
      <c r="M259" s="12" t="str">
        <f>IF(OR(D259="",E259=""),"",IF(IFERROR(INDEX(Stats!$D:$D,MATCH($C259,Stats!$A:$A,0)),FALSE),ROUND(D259+(E259-D259)*(1+G259)*((6-1)/(MaxLevel-1))^(2^F259),0),D259+(E259-D259)*(1+G259)*((6-1)/(MaxLevel-1))^(2^F259)))</f>
        <v/>
      </c>
      <c r="N259" s="12" t="str">
        <f>IF(OR(D259="",E259=""),"",IF(IFERROR(INDEX(Stats!$D:$D,MATCH($C259,Stats!$A:$A,0)),FALSE),ROUND(D259+(E259-D259)*(1+G259)*((7-1)/(MaxLevel-1))^(2^F259),0),D259+(E259-D259)*(1+G259)*((7-1)/(MaxLevel-1))^(2^F259)))</f>
        <v/>
      </c>
      <c r="O259" s="12" t="str">
        <f>IF(OR(D259="",E259=""),"",IF(IFERROR(INDEX(Stats!$D:$D,MATCH($C259,Stats!$A:$A,0)),FALSE),ROUND(D259+(E259-D259)*(1+G259)*((8-1)/(MaxLevel-1))^(2^F259),0),D259+(E259-D259)*(1+G259)*((8-1)/(MaxLevel-1))^(2^F259)))</f>
        <v/>
      </c>
      <c r="P259" s="12" t="str">
        <f>IF(OR(D259="",E259=""),"",IF(IFERROR(INDEX(Stats!$D:$D,MATCH($C259,Stats!$A:$A,0)),FALSE),ROUND(D259+(E259-D259)*(1+G259)*((9-1)/(MaxLevel-1))^(2^F259),0),D259+(E259-D259)*(1+G259)*((9-1)/(MaxLevel-1))^(2^F259)))</f>
        <v/>
      </c>
      <c r="Q259" s="12" t="str">
        <f>IF(OR(D259="",E259=""),"",IF(IFERROR(INDEX(Stats!$D:$D,MATCH($C259,Stats!$A:$A,0)),FALSE),ROUND(D259+(E259-D259)*(1+G259)*((10-1)/(MaxLevel-1))^(2^F259),0),D259+(E259-D259)*(1+G259)*((10-1)/(MaxLevel-1))^(2^F259)))</f>
        <v/>
      </c>
    </row>
    <row r="260" spans="1:17" x14ac:dyDescent="0.25">
      <c r="A260" s="4" t="s">
        <v>185</v>
      </c>
      <c r="B260" s="19" t="s">
        <v>228</v>
      </c>
      <c r="C260" s="4" t="s">
        <v>46</v>
      </c>
      <c r="D260" s="5">
        <v>300</v>
      </c>
      <c r="E260" s="5">
        <v>320</v>
      </c>
      <c r="F260" s="5">
        <v>0</v>
      </c>
      <c r="G260" s="5">
        <v>0</v>
      </c>
      <c r="H260" s="12">
        <f>IF(OR(D260="",E260=""),"",IF(IFERROR(INDEX(Stats!$D:$D,MATCH($C260,Stats!$A:$A,0)),FALSE),ROUND(D260+(E260-D260)*(1+G260)*((1-1)/(MaxLevel-1))^(2^F260),0),D260+(E260-D260)*(1+G260)*((1-1)/(MaxLevel-1))^(2^F260)))</f>
        <v>300</v>
      </c>
      <c r="I260" s="12">
        <f>IF(OR(D260="",E260=""),"",IF(IFERROR(INDEX(Stats!$D:$D,MATCH($C260,Stats!$A:$A,0)),FALSE),ROUND(D260+(E260-D260)*(1+G260)*((2-1)/(MaxLevel-1))^(2^F260),0),D260+(E260-D260)*(1+G260)*((2-1)/(MaxLevel-1))^(2^F260)))</f>
        <v>302.22222222222223</v>
      </c>
      <c r="J260" s="12">
        <f>IF(OR(D260="",E260=""),"",IF(IFERROR(INDEX(Stats!$D:$D,MATCH($C260,Stats!$A:$A,0)),FALSE),ROUND(D260+(E260-D260)*(1+G260)*((3-1)/(MaxLevel-1))^(2^F260),0),D260+(E260-D260)*(1+G260)*((3-1)/(MaxLevel-1))^(2^F260)))</f>
        <v>304.44444444444446</v>
      </c>
      <c r="K260" s="12">
        <f>IF(OR(D260="",E260=""),"",IF(IFERROR(INDEX(Stats!$D:$D,MATCH($C260,Stats!$A:$A,0)),FALSE),ROUND(D260+(E260-D260)*(1+G260)*((4-1)/(MaxLevel-1))^(2^F260),0),D260+(E260-D260)*(1+G260)*((4-1)/(MaxLevel-1))^(2^F260)))</f>
        <v>306.66666666666669</v>
      </c>
      <c r="L260" s="12">
        <f>IF(OR(D260="",E260=""),"",IF(IFERROR(INDEX(Stats!$D:$D,MATCH($C260,Stats!$A:$A,0)),FALSE),ROUND(D260+(E260-D260)*(1+G260)*((5-1)/(MaxLevel-1))^(2^F260),0),D260+(E260-D260)*(1+G260)*((5-1)/(MaxLevel-1))^(2^F260)))</f>
        <v>308.88888888888891</v>
      </c>
      <c r="M260" s="12">
        <f>IF(OR(D260="",E260=""),"",IF(IFERROR(INDEX(Stats!$D:$D,MATCH($C260,Stats!$A:$A,0)),FALSE),ROUND(D260+(E260-D260)*(1+G260)*((6-1)/(MaxLevel-1))^(2^F260),0),D260+(E260-D260)*(1+G260)*((6-1)/(MaxLevel-1))^(2^F260)))</f>
        <v>311.11111111111109</v>
      </c>
      <c r="N260" s="12">
        <f>IF(OR(D260="",E260=""),"",IF(IFERROR(INDEX(Stats!$D:$D,MATCH($C260,Stats!$A:$A,0)),FALSE),ROUND(D260+(E260-D260)*(1+G260)*((7-1)/(MaxLevel-1))^(2^F260),0),D260+(E260-D260)*(1+G260)*((7-1)/(MaxLevel-1))^(2^F260)))</f>
        <v>313.33333333333331</v>
      </c>
      <c r="O260" s="12">
        <f>IF(OR(D260="",E260=""),"",IF(IFERROR(INDEX(Stats!$D:$D,MATCH($C260,Stats!$A:$A,0)),FALSE),ROUND(D260+(E260-D260)*(1+G260)*((8-1)/(MaxLevel-1))^(2^F260),0),D260+(E260-D260)*(1+G260)*((8-1)/(MaxLevel-1))^(2^F260)))</f>
        <v>315.55555555555554</v>
      </c>
      <c r="P260" s="12">
        <f>IF(OR(D260="",E260=""),"",IF(IFERROR(INDEX(Stats!$D:$D,MATCH($C260,Stats!$A:$A,0)),FALSE),ROUND(D260+(E260-D260)*(1+G260)*((9-1)/(MaxLevel-1))^(2^F260),0),D260+(E260-D260)*(1+G260)*((9-1)/(MaxLevel-1))^(2^F260)))</f>
        <v>317.77777777777777</v>
      </c>
      <c r="Q260" s="12">
        <f>IF(OR(D260="",E260=""),"",IF(IFERROR(INDEX(Stats!$D:$D,MATCH($C260,Stats!$A:$A,0)),FALSE),ROUND(D260+(E260-D260)*(1+G260)*((10-1)/(MaxLevel-1))^(2^F260),0),D260+(E260-D260)*(1+G260)*((10-1)/(MaxLevel-1))^(2^F260)))</f>
        <v>320</v>
      </c>
    </row>
    <row r="261" spans="1:17" x14ac:dyDescent="0.25">
      <c r="A261" s="4" t="s">
        <v>185</v>
      </c>
      <c r="B261" s="19" t="s">
        <v>228</v>
      </c>
      <c r="C261" s="4" t="s">
        <v>48</v>
      </c>
      <c r="D261" s="5"/>
      <c r="E261" s="5"/>
      <c r="F261" s="5"/>
      <c r="G261" s="5"/>
      <c r="H261" s="12" t="str">
        <f>IF(OR(D261="",E261=""),"",IF(IFERROR(INDEX(Stats!$D:$D,MATCH($C261,Stats!$A:$A,0)),FALSE),ROUND(D261+(E261-D261)*(1+G261)*((1-1)/(MaxLevel-1))^(2^F261),0),D261+(E261-D261)*(1+G261)*((1-1)/(MaxLevel-1))^(2^F261)))</f>
        <v/>
      </c>
      <c r="I261" s="12" t="str">
        <f>IF(OR(D261="",E261=""),"",IF(IFERROR(INDEX(Stats!$D:$D,MATCH($C261,Stats!$A:$A,0)),FALSE),ROUND(D261+(E261-D261)*(1+G261)*((2-1)/(MaxLevel-1))^(2^F261),0),D261+(E261-D261)*(1+G261)*((2-1)/(MaxLevel-1))^(2^F261)))</f>
        <v/>
      </c>
      <c r="J261" s="12" t="str">
        <f>IF(OR(D261="",E261=""),"",IF(IFERROR(INDEX(Stats!$D:$D,MATCH($C261,Stats!$A:$A,0)),FALSE),ROUND(D261+(E261-D261)*(1+G261)*((3-1)/(MaxLevel-1))^(2^F261),0),D261+(E261-D261)*(1+G261)*((3-1)/(MaxLevel-1))^(2^F261)))</f>
        <v/>
      </c>
      <c r="K261" s="12" t="str">
        <f>IF(OR(D261="",E261=""),"",IF(IFERROR(INDEX(Stats!$D:$D,MATCH($C261,Stats!$A:$A,0)),FALSE),ROUND(D261+(E261-D261)*(1+G261)*((4-1)/(MaxLevel-1))^(2^F261),0),D261+(E261-D261)*(1+G261)*((4-1)/(MaxLevel-1))^(2^F261)))</f>
        <v/>
      </c>
      <c r="L261" s="12" t="str">
        <f>IF(OR(D261="",E261=""),"",IF(IFERROR(INDEX(Stats!$D:$D,MATCH($C261,Stats!$A:$A,0)),FALSE),ROUND(D261+(E261-D261)*(1+G261)*((5-1)/(MaxLevel-1))^(2^F261),0),D261+(E261-D261)*(1+G261)*((5-1)/(MaxLevel-1))^(2^F261)))</f>
        <v/>
      </c>
      <c r="M261" s="12" t="str">
        <f>IF(OR(D261="",E261=""),"",IF(IFERROR(INDEX(Stats!$D:$D,MATCH($C261,Stats!$A:$A,0)),FALSE),ROUND(D261+(E261-D261)*(1+G261)*((6-1)/(MaxLevel-1))^(2^F261),0),D261+(E261-D261)*(1+G261)*((6-1)/(MaxLevel-1))^(2^F261)))</f>
        <v/>
      </c>
      <c r="N261" s="12" t="str">
        <f>IF(OR(D261="",E261=""),"",IF(IFERROR(INDEX(Stats!$D:$D,MATCH($C261,Stats!$A:$A,0)),FALSE),ROUND(D261+(E261-D261)*(1+G261)*((7-1)/(MaxLevel-1))^(2^F261),0),D261+(E261-D261)*(1+G261)*((7-1)/(MaxLevel-1))^(2^F261)))</f>
        <v/>
      </c>
      <c r="O261" s="12" t="str">
        <f>IF(OR(D261="",E261=""),"",IF(IFERROR(INDEX(Stats!$D:$D,MATCH($C261,Stats!$A:$A,0)),FALSE),ROUND(D261+(E261-D261)*(1+G261)*((8-1)/(MaxLevel-1))^(2^F261),0),D261+(E261-D261)*(1+G261)*((8-1)/(MaxLevel-1))^(2^F261)))</f>
        <v/>
      </c>
      <c r="P261" s="12" t="str">
        <f>IF(OR(D261="",E261=""),"",IF(IFERROR(INDEX(Stats!$D:$D,MATCH($C261,Stats!$A:$A,0)),FALSE),ROUND(D261+(E261-D261)*(1+G261)*((9-1)/(MaxLevel-1))^(2^F261),0),D261+(E261-D261)*(1+G261)*((9-1)/(MaxLevel-1))^(2^F261)))</f>
        <v/>
      </c>
      <c r="Q261" s="12" t="str">
        <f>IF(OR(D261="",E261=""),"",IF(IFERROR(INDEX(Stats!$D:$D,MATCH($C261,Stats!$A:$A,0)),FALSE),ROUND(D261+(E261-D261)*(1+G261)*((10-1)/(MaxLevel-1))^(2^F261),0),D261+(E261-D261)*(1+G261)*((10-1)/(MaxLevel-1))^(2^F261)))</f>
        <v/>
      </c>
    </row>
    <row r="262" spans="1:17" x14ac:dyDescent="0.25">
      <c r="A262" s="4" t="s">
        <v>185</v>
      </c>
      <c r="B262" s="19" t="s">
        <v>228</v>
      </c>
      <c r="C262" s="4" t="s">
        <v>50</v>
      </c>
      <c r="D262" s="5"/>
      <c r="E262" s="5"/>
      <c r="F262" s="5"/>
      <c r="G262" s="5"/>
      <c r="H262" s="12" t="str">
        <f>IF(OR(D262="",E262=""),"",IF(IFERROR(INDEX(Stats!$D:$D,MATCH($C262,Stats!$A:$A,0)),FALSE),ROUND(D262+(E262-D262)*(1+G262)*((1-1)/(MaxLevel-1))^(2^F262),0),D262+(E262-D262)*(1+G262)*((1-1)/(MaxLevel-1))^(2^F262)))</f>
        <v/>
      </c>
      <c r="I262" s="12" t="str">
        <f>IF(OR(D262="",E262=""),"",IF(IFERROR(INDEX(Stats!$D:$D,MATCH($C262,Stats!$A:$A,0)),FALSE),ROUND(D262+(E262-D262)*(1+G262)*((2-1)/(MaxLevel-1))^(2^F262),0),D262+(E262-D262)*(1+G262)*((2-1)/(MaxLevel-1))^(2^F262)))</f>
        <v/>
      </c>
      <c r="J262" s="12" t="str">
        <f>IF(OR(D262="",E262=""),"",IF(IFERROR(INDEX(Stats!$D:$D,MATCH($C262,Stats!$A:$A,0)),FALSE),ROUND(D262+(E262-D262)*(1+G262)*((3-1)/(MaxLevel-1))^(2^F262),0),D262+(E262-D262)*(1+G262)*((3-1)/(MaxLevel-1))^(2^F262)))</f>
        <v/>
      </c>
      <c r="K262" s="12" t="str">
        <f>IF(OR(D262="",E262=""),"",IF(IFERROR(INDEX(Stats!$D:$D,MATCH($C262,Stats!$A:$A,0)),FALSE),ROUND(D262+(E262-D262)*(1+G262)*((4-1)/(MaxLevel-1))^(2^F262),0),D262+(E262-D262)*(1+G262)*((4-1)/(MaxLevel-1))^(2^F262)))</f>
        <v/>
      </c>
      <c r="L262" s="12" t="str">
        <f>IF(OR(D262="",E262=""),"",IF(IFERROR(INDEX(Stats!$D:$D,MATCH($C262,Stats!$A:$A,0)),FALSE),ROUND(D262+(E262-D262)*(1+G262)*((5-1)/(MaxLevel-1))^(2^F262),0),D262+(E262-D262)*(1+G262)*((5-1)/(MaxLevel-1))^(2^F262)))</f>
        <v/>
      </c>
      <c r="M262" s="12" t="str">
        <f>IF(OR(D262="",E262=""),"",IF(IFERROR(INDEX(Stats!$D:$D,MATCH($C262,Stats!$A:$A,0)),FALSE),ROUND(D262+(E262-D262)*(1+G262)*((6-1)/(MaxLevel-1))^(2^F262),0),D262+(E262-D262)*(1+G262)*((6-1)/(MaxLevel-1))^(2^F262)))</f>
        <v/>
      </c>
      <c r="N262" s="12" t="str">
        <f>IF(OR(D262="",E262=""),"",IF(IFERROR(INDEX(Stats!$D:$D,MATCH($C262,Stats!$A:$A,0)),FALSE),ROUND(D262+(E262-D262)*(1+G262)*((7-1)/(MaxLevel-1))^(2^F262),0),D262+(E262-D262)*(1+G262)*((7-1)/(MaxLevel-1))^(2^F262)))</f>
        <v/>
      </c>
      <c r="O262" s="12" t="str">
        <f>IF(OR(D262="",E262=""),"",IF(IFERROR(INDEX(Stats!$D:$D,MATCH($C262,Stats!$A:$A,0)),FALSE),ROUND(D262+(E262-D262)*(1+G262)*((8-1)/(MaxLevel-1))^(2^F262),0),D262+(E262-D262)*(1+G262)*((8-1)/(MaxLevel-1))^(2^F262)))</f>
        <v/>
      </c>
      <c r="P262" s="12" t="str">
        <f>IF(OR(D262="",E262=""),"",IF(IFERROR(INDEX(Stats!$D:$D,MATCH($C262,Stats!$A:$A,0)),FALSE),ROUND(D262+(E262-D262)*(1+G262)*((9-1)/(MaxLevel-1))^(2^F262),0),D262+(E262-D262)*(1+G262)*((9-1)/(MaxLevel-1))^(2^F262)))</f>
        <v/>
      </c>
      <c r="Q262" s="12" t="str">
        <f>IF(OR(D262="",E262=""),"",IF(IFERROR(INDEX(Stats!$D:$D,MATCH($C262,Stats!$A:$A,0)),FALSE),ROUND(D262+(E262-D262)*(1+G262)*((10-1)/(MaxLevel-1))^(2^F262),0),D262+(E262-D262)*(1+G262)*((10-1)/(MaxLevel-1))^(2^F262)))</f>
        <v/>
      </c>
    </row>
    <row r="263" spans="1:17" x14ac:dyDescent="0.25">
      <c r="A263" s="4" t="s">
        <v>185</v>
      </c>
      <c r="B263" s="19" t="s">
        <v>228</v>
      </c>
      <c r="C263" s="4" t="s">
        <v>52</v>
      </c>
      <c r="D263" s="5"/>
      <c r="E263" s="5"/>
      <c r="F263" s="5"/>
      <c r="G263" s="5"/>
      <c r="H263" s="12" t="str">
        <f>IF(OR(D263="",E263=""),"",IF(IFERROR(INDEX(Stats!$D:$D,MATCH($C263,Stats!$A:$A,0)),FALSE),ROUND(D263+(E263-D263)*(1+G263)*((1-1)/(MaxLevel-1))^(2^F263),0),D263+(E263-D263)*(1+G263)*((1-1)/(MaxLevel-1))^(2^F263)))</f>
        <v/>
      </c>
      <c r="I263" s="12" t="str">
        <f>IF(OR(D263="",E263=""),"",IF(IFERROR(INDEX(Stats!$D:$D,MATCH($C263,Stats!$A:$A,0)),FALSE),ROUND(D263+(E263-D263)*(1+G263)*((2-1)/(MaxLevel-1))^(2^F263),0),D263+(E263-D263)*(1+G263)*((2-1)/(MaxLevel-1))^(2^F263)))</f>
        <v/>
      </c>
      <c r="J263" s="12" t="str">
        <f>IF(OR(D263="",E263=""),"",IF(IFERROR(INDEX(Stats!$D:$D,MATCH($C263,Stats!$A:$A,0)),FALSE),ROUND(D263+(E263-D263)*(1+G263)*((3-1)/(MaxLevel-1))^(2^F263),0),D263+(E263-D263)*(1+G263)*((3-1)/(MaxLevel-1))^(2^F263)))</f>
        <v/>
      </c>
      <c r="K263" s="12" t="str">
        <f>IF(OR(D263="",E263=""),"",IF(IFERROR(INDEX(Stats!$D:$D,MATCH($C263,Stats!$A:$A,0)),FALSE),ROUND(D263+(E263-D263)*(1+G263)*((4-1)/(MaxLevel-1))^(2^F263),0),D263+(E263-D263)*(1+G263)*((4-1)/(MaxLevel-1))^(2^F263)))</f>
        <v/>
      </c>
      <c r="L263" s="12" t="str">
        <f>IF(OR(D263="",E263=""),"",IF(IFERROR(INDEX(Stats!$D:$D,MATCH($C263,Stats!$A:$A,0)),FALSE),ROUND(D263+(E263-D263)*(1+G263)*((5-1)/(MaxLevel-1))^(2^F263),0),D263+(E263-D263)*(1+G263)*((5-1)/(MaxLevel-1))^(2^F263)))</f>
        <v/>
      </c>
      <c r="M263" s="12" t="str">
        <f>IF(OR(D263="",E263=""),"",IF(IFERROR(INDEX(Stats!$D:$D,MATCH($C263,Stats!$A:$A,0)),FALSE),ROUND(D263+(E263-D263)*(1+G263)*((6-1)/(MaxLevel-1))^(2^F263),0),D263+(E263-D263)*(1+G263)*((6-1)/(MaxLevel-1))^(2^F263)))</f>
        <v/>
      </c>
      <c r="N263" s="12" t="str">
        <f>IF(OR(D263="",E263=""),"",IF(IFERROR(INDEX(Stats!$D:$D,MATCH($C263,Stats!$A:$A,0)),FALSE),ROUND(D263+(E263-D263)*(1+G263)*((7-1)/(MaxLevel-1))^(2^F263),0),D263+(E263-D263)*(1+G263)*((7-1)/(MaxLevel-1))^(2^F263)))</f>
        <v/>
      </c>
      <c r="O263" s="12" t="str">
        <f>IF(OR(D263="",E263=""),"",IF(IFERROR(INDEX(Stats!$D:$D,MATCH($C263,Stats!$A:$A,0)),FALSE),ROUND(D263+(E263-D263)*(1+G263)*((8-1)/(MaxLevel-1))^(2^F263),0),D263+(E263-D263)*(1+G263)*((8-1)/(MaxLevel-1))^(2^F263)))</f>
        <v/>
      </c>
      <c r="P263" s="12" t="str">
        <f>IF(OR(D263="",E263=""),"",IF(IFERROR(INDEX(Stats!$D:$D,MATCH($C263,Stats!$A:$A,0)),FALSE),ROUND(D263+(E263-D263)*(1+G263)*((9-1)/(MaxLevel-1))^(2^F263),0),D263+(E263-D263)*(1+G263)*((9-1)/(MaxLevel-1))^(2^F263)))</f>
        <v/>
      </c>
      <c r="Q263" s="12" t="str">
        <f>IF(OR(D263="",E263=""),"",IF(IFERROR(INDEX(Stats!$D:$D,MATCH($C263,Stats!$A:$A,0)),FALSE),ROUND(D263+(E263-D263)*(1+G263)*((10-1)/(MaxLevel-1))^(2^F263),0),D263+(E263-D263)*(1+G263)*((10-1)/(MaxLevel-1))^(2^F263)))</f>
        <v/>
      </c>
    </row>
    <row r="264" spans="1:17" x14ac:dyDescent="0.25">
      <c r="A264" s="4" t="s">
        <v>185</v>
      </c>
      <c r="B264" s="19" t="s">
        <v>228</v>
      </c>
      <c r="C264" s="4" t="s">
        <v>54</v>
      </c>
      <c r="D264" s="5"/>
      <c r="E264" s="5"/>
      <c r="F264" s="5"/>
      <c r="G264" s="5"/>
      <c r="H264" s="12" t="str">
        <f>IF(OR(D264="",E264=""),"",IF(IFERROR(INDEX(Stats!$D:$D,MATCH($C264,Stats!$A:$A,0)),FALSE),ROUND(D264+(E264-D264)*(1+G264)*((1-1)/(MaxLevel-1))^(2^F264),0),D264+(E264-D264)*(1+G264)*((1-1)/(MaxLevel-1))^(2^F264)))</f>
        <v/>
      </c>
      <c r="I264" s="12" t="str">
        <f>IF(OR(D264="",E264=""),"",IF(IFERROR(INDEX(Stats!$D:$D,MATCH($C264,Stats!$A:$A,0)),FALSE),ROUND(D264+(E264-D264)*(1+G264)*((2-1)/(MaxLevel-1))^(2^F264),0),D264+(E264-D264)*(1+G264)*((2-1)/(MaxLevel-1))^(2^F264)))</f>
        <v/>
      </c>
      <c r="J264" s="12" t="str">
        <f>IF(OR(D264="",E264=""),"",IF(IFERROR(INDEX(Stats!$D:$D,MATCH($C264,Stats!$A:$A,0)),FALSE),ROUND(D264+(E264-D264)*(1+G264)*((3-1)/(MaxLevel-1))^(2^F264),0),D264+(E264-D264)*(1+G264)*((3-1)/(MaxLevel-1))^(2^F264)))</f>
        <v/>
      </c>
      <c r="K264" s="12" t="str">
        <f>IF(OR(D264="",E264=""),"",IF(IFERROR(INDEX(Stats!$D:$D,MATCH($C264,Stats!$A:$A,0)),FALSE),ROUND(D264+(E264-D264)*(1+G264)*((4-1)/(MaxLevel-1))^(2^F264),0),D264+(E264-D264)*(1+G264)*((4-1)/(MaxLevel-1))^(2^F264)))</f>
        <v/>
      </c>
      <c r="L264" s="12" t="str">
        <f>IF(OR(D264="",E264=""),"",IF(IFERROR(INDEX(Stats!$D:$D,MATCH($C264,Stats!$A:$A,0)),FALSE),ROUND(D264+(E264-D264)*(1+G264)*((5-1)/(MaxLevel-1))^(2^F264),0),D264+(E264-D264)*(1+G264)*((5-1)/(MaxLevel-1))^(2^F264)))</f>
        <v/>
      </c>
      <c r="M264" s="12" t="str">
        <f>IF(OR(D264="",E264=""),"",IF(IFERROR(INDEX(Stats!$D:$D,MATCH($C264,Stats!$A:$A,0)),FALSE),ROUND(D264+(E264-D264)*(1+G264)*((6-1)/(MaxLevel-1))^(2^F264),0),D264+(E264-D264)*(1+G264)*((6-1)/(MaxLevel-1))^(2^F264)))</f>
        <v/>
      </c>
      <c r="N264" s="12" t="str">
        <f>IF(OR(D264="",E264=""),"",IF(IFERROR(INDEX(Stats!$D:$D,MATCH($C264,Stats!$A:$A,0)),FALSE),ROUND(D264+(E264-D264)*(1+G264)*((7-1)/(MaxLevel-1))^(2^F264),0),D264+(E264-D264)*(1+G264)*((7-1)/(MaxLevel-1))^(2^F264)))</f>
        <v/>
      </c>
      <c r="O264" s="12" t="str">
        <f>IF(OR(D264="",E264=""),"",IF(IFERROR(INDEX(Stats!$D:$D,MATCH($C264,Stats!$A:$A,0)),FALSE),ROUND(D264+(E264-D264)*(1+G264)*((8-1)/(MaxLevel-1))^(2^F264),0),D264+(E264-D264)*(1+G264)*((8-1)/(MaxLevel-1))^(2^F264)))</f>
        <v/>
      </c>
      <c r="P264" s="12" t="str">
        <f>IF(OR(D264="",E264=""),"",IF(IFERROR(INDEX(Stats!$D:$D,MATCH($C264,Stats!$A:$A,0)),FALSE),ROUND(D264+(E264-D264)*(1+G264)*((9-1)/(MaxLevel-1))^(2^F264),0),D264+(E264-D264)*(1+G264)*((9-1)/(MaxLevel-1))^(2^F264)))</f>
        <v/>
      </c>
      <c r="Q264" s="12" t="str">
        <f>IF(OR(D264="",E264=""),"",IF(IFERROR(INDEX(Stats!$D:$D,MATCH($C264,Stats!$A:$A,0)),FALSE),ROUND(D264+(E264-D264)*(1+G264)*((10-1)/(MaxLevel-1))^(2^F264),0),D264+(E264-D264)*(1+G264)*((10-1)/(MaxLevel-1))^(2^F264)))</f>
        <v/>
      </c>
    </row>
    <row r="265" spans="1:17" x14ac:dyDescent="0.25">
      <c r="A265" s="4" t="s">
        <v>185</v>
      </c>
      <c r="B265" s="19" t="s">
        <v>228</v>
      </c>
      <c r="C265" s="4" t="s">
        <v>56</v>
      </c>
      <c r="D265" s="5"/>
      <c r="E265" s="5"/>
      <c r="F265" s="5"/>
      <c r="G265" s="5"/>
      <c r="H265" s="12" t="str">
        <f>IF(OR(D265="",E265=""),"",IF(IFERROR(INDEX(Stats!$D:$D,MATCH($C265,Stats!$A:$A,0)),FALSE),ROUND(D265+(E265-D265)*(1+G265)*((1-1)/(MaxLevel-1))^(2^F265),0),D265+(E265-D265)*(1+G265)*((1-1)/(MaxLevel-1))^(2^F265)))</f>
        <v/>
      </c>
      <c r="I265" s="12" t="str">
        <f>IF(OR(D265="",E265=""),"",IF(IFERROR(INDEX(Stats!$D:$D,MATCH($C265,Stats!$A:$A,0)),FALSE),ROUND(D265+(E265-D265)*(1+G265)*((2-1)/(MaxLevel-1))^(2^F265),0),D265+(E265-D265)*(1+G265)*((2-1)/(MaxLevel-1))^(2^F265)))</f>
        <v/>
      </c>
      <c r="J265" s="12" t="str">
        <f>IF(OR(D265="",E265=""),"",IF(IFERROR(INDEX(Stats!$D:$D,MATCH($C265,Stats!$A:$A,0)),FALSE),ROUND(D265+(E265-D265)*(1+G265)*((3-1)/(MaxLevel-1))^(2^F265),0),D265+(E265-D265)*(1+G265)*((3-1)/(MaxLevel-1))^(2^F265)))</f>
        <v/>
      </c>
      <c r="K265" s="12" t="str">
        <f>IF(OR(D265="",E265=""),"",IF(IFERROR(INDEX(Stats!$D:$D,MATCH($C265,Stats!$A:$A,0)),FALSE),ROUND(D265+(E265-D265)*(1+G265)*((4-1)/(MaxLevel-1))^(2^F265),0),D265+(E265-D265)*(1+G265)*((4-1)/(MaxLevel-1))^(2^F265)))</f>
        <v/>
      </c>
      <c r="L265" s="12" t="str">
        <f>IF(OR(D265="",E265=""),"",IF(IFERROR(INDEX(Stats!$D:$D,MATCH($C265,Stats!$A:$A,0)),FALSE),ROUND(D265+(E265-D265)*(1+G265)*((5-1)/(MaxLevel-1))^(2^F265),0),D265+(E265-D265)*(1+G265)*((5-1)/(MaxLevel-1))^(2^F265)))</f>
        <v/>
      </c>
      <c r="M265" s="12" t="str">
        <f>IF(OR(D265="",E265=""),"",IF(IFERROR(INDEX(Stats!$D:$D,MATCH($C265,Stats!$A:$A,0)),FALSE),ROUND(D265+(E265-D265)*(1+G265)*((6-1)/(MaxLevel-1))^(2^F265),0),D265+(E265-D265)*(1+G265)*((6-1)/(MaxLevel-1))^(2^F265)))</f>
        <v/>
      </c>
      <c r="N265" s="12" t="str">
        <f>IF(OR(D265="",E265=""),"",IF(IFERROR(INDEX(Stats!$D:$D,MATCH($C265,Stats!$A:$A,0)),FALSE),ROUND(D265+(E265-D265)*(1+G265)*((7-1)/(MaxLevel-1))^(2^F265),0),D265+(E265-D265)*(1+G265)*((7-1)/(MaxLevel-1))^(2^F265)))</f>
        <v/>
      </c>
      <c r="O265" s="12" t="str">
        <f>IF(OR(D265="",E265=""),"",IF(IFERROR(INDEX(Stats!$D:$D,MATCH($C265,Stats!$A:$A,0)),FALSE),ROUND(D265+(E265-D265)*(1+G265)*((8-1)/(MaxLevel-1))^(2^F265),0),D265+(E265-D265)*(1+G265)*((8-1)/(MaxLevel-1))^(2^F265)))</f>
        <v/>
      </c>
      <c r="P265" s="12" t="str">
        <f>IF(OR(D265="",E265=""),"",IF(IFERROR(INDEX(Stats!$D:$D,MATCH($C265,Stats!$A:$A,0)),FALSE),ROUND(D265+(E265-D265)*(1+G265)*((9-1)/(MaxLevel-1))^(2^F265),0),D265+(E265-D265)*(1+G265)*((9-1)/(MaxLevel-1))^(2^F265)))</f>
        <v/>
      </c>
      <c r="Q265" s="12" t="str">
        <f>IF(OR(D265="",E265=""),"",IF(IFERROR(INDEX(Stats!$D:$D,MATCH($C265,Stats!$A:$A,0)),FALSE),ROUND(D265+(E265-D265)*(1+G265)*((10-1)/(MaxLevel-1))^(2^F265),0),D265+(E265-D265)*(1+G265)*((10-1)/(MaxLevel-1))^(2^F265)))</f>
        <v/>
      </c>
    </row>
    <row r="266" spans="1:17" x14ac:dyDescent="0.25">
      <c r="A266" s="4" t="s">
        <v>185</v>
      </c>
      <c r="B266" s="19" t="s">
        <v>228</v>
      </c>
      <c r="C266" s="4" t="s">
        <v>58</v>
      </c>
      <c r="D266" s="5"/>
      <c r="E266" s="5"/>
      <c r="F266" s="5"/>
      <c r="G266" s="5"/>
      <c r="H266" s="12" t="str">
        <f>IF(OR(D266="",E266=""),"",IF(IFERROR(INDEX(Stats!$D:$D,MATCH($C266,Stats!$A:$A,0)),FALSE),ROUND(D266+(E266-D266)*(1+G266)*((1-1)/(MaxLevel-1))^(2^F266),0),D266+(E266-D266)*(1+G266)*((1-1)/(MaxLevel-1))^(2^F266)))</f>
        <v/>
      </c>
      <c r="I266" s="12" t="str">
        <f>IF(OR(D266="",E266=""),"",IF(IFERROR(INDEX(Stats!$D:$D,MATCH($C266,Stats!$A:$A,0)),FALSE),ROUND(D266+(E266-D266)*(1+G266)*((2-1)/(MaxLevel-1))^(2^F266),0),D266+(E266-D266)*(1+G266)*((2-1)/(MaxLevel-1))^(2^F266)))</f>
        <v/>
      </c>
      <c r="J266" s="12" t="str">
        <f>IF(OR(D266="",E266=""),"",IF(IFERROR(INDEX(Stats!$D:$D,MATCH($C266,Stats!$A:$A,0)),FALSE),ROUND(D266+(E266-D266)*(1+G266)*((3-1)/(MaxLevel-1))^(2^F266),0),D266+(E266-D266)*(1+G266)*((3-1)/(MaxLevel-1))^(2^F266)))</f>
        <v/>
      </c>
      <c r="K266" s="12" t="str">
        <f>IF(OR(D266="",E266=""),"",IF(IFERROR(INDEX(Stats!$D:$D,MATCH($C266,Stats!$A:$A,0)),FALSE),ROUND(D266+(E266-D266)*(1+G266)*((4-1)/(MaxLevel-1))^(2^F266),0),D266+(E266-D266)*(1+G266)*((4-1)/(MaxLevel-1))^(2^F266)))</f>
        <v/>
      </c>
      <c r="L266" s="12" t="str">
        <f>IF(OR(D266="",E266=""),"",IF(IFERROR(INDEX(Stats!$D:$D,MATCH($C266,Stats!$A:$A,0)),FALSE),ROUND(D266+(E266-D266)*(1+G266)*((5-1)/(MaxLevel-1))^(2^F266),0),D266+(E266-D266)*(1+G266)*((5-1)/(MaxLevel-1))^(2^F266)))</f>
        <v/>
      </c>
      <c r="M266" s="12" t="str">
        <f>IF(OR(D266="",E266=""),"",IF(IFERROR(INDEX(Stats!$D:$D,MATCH($C266,Stats!$A:$A,0)),FALSE),ROUND(D266+(E266-D266)*(1+G266)*((6-1)/(MaxLevel-1))^(2^F266),0),D266+(E266-D266)*(1+G266)*((6-1)/(MaxLevel-1))^(2^F266)))</f>
        <v/>
      </c>
      <c r="N266" s="12" t="str">
        <f>IF(OR(D266="",E266=""),"",IF(IFERROR(INDEX(Stats!$D:$D,MATCH($C266,Stats!$A:$A,0)),FALSE),ROUND(D266+(E266-D266)*(1+G266)*((7-1)/(MaxLevel-1))^(2^F266),0),D266+(E266-D266)*(1+G266)*((7-1)/(MaxLevel-1))^(2^F266)))</f>
        <v/>
      </c>
      <c r="O266" s="12" t="str">
        <f>IF(OR(D266="",E266=""),"",IF(IFERROR(INDEX(Stats!$D:$D,MATCH($C266,Stats!$A:$A,0)),FALSE),ROUND(D266+(E266-D266)*(1+G266)*((8-1)/(MaxLevel-1))^(2^F266),0),D266+(E266-D266)*(1+G266)*((8-1)/(MaxLevel-1))^(2^F266)))</f>
        <v/>
      </c>
      <c r="P266" s="12" t="str">
        <f>IF(OR(D266="",E266=""),"",IF(IFERROR(INDEX(Stats!$D:$D,MATCH($C266,Stats!$A:$A,0)),FALSE),ROUND(D266+(E266-D266)*(1+G266)*((9-1)/(MaxLevel-1))^(2^F266),0),D266+(E266-D266)*(1+G266)*((9-1)/(MaxLevel-1))^(2^F266)))</f>
        <v/>
      </c>
      <c r="Q266" s="12" t="str">
        <f>IF(OR(D266="",E266=""),"",IF(IFERROR(INDEX(Stats!$D:$D,MATCH($C266,Stats!$A:$A,0)),FALSE),ROUND(D266+(E266-D266)*(1+G266)*((10-1)/(MaxLevel-1))^(2^F266),0),D266+(E266-D266)*(1+G266)*((10-1)/(MaxLevel-1))^(2^F266)))</f>
        <v/>
      </c>
    </row>
    <row r="267" spans="1:17" x14ac:dyDescent="0.25">
      <c r="A267" s="4" t="s">
        <v>185</v>
      </c>
      <c r="B267" s="19" t="s">
        <v>228</v>
      </c>
      <c r="C267" s="4" t="s">
        <v>60</v>
      </c>
      <c r="D267" s="5"/>
      <c r="E267" s="5"/>
      <c r="F267" s="5"/>
      <c r="G267" s="5"/>
      <c r="H267" s="12" t="str">
        <f>IF(OR(D267="",E267=""),"",IF(IFERROR(INDEX(Stats!$D:$D,MATCH($C267,Stats!$A:$A,0)),FALSE),ROUND(D267+(E267-D267)*(1+G267)*((1-1)/(MaxLevel-1))^(2^F267),0),D267+(E267-D267)*(1+G267)*((1-1)/(MaxLevel-1))^(2^F267)))</f>
        <v/>
      </c>
      <c r="I267" s="12" t="str">
        <f>IF(OR(D267="",E267=""),"",IF(IFERROR(INDEX(Stats!$D:$D,MATCH($C267,Stats!$A:$A,0)),FALSE),ROUND(D267+(E267-D267)*(1+G267)*((2-1)/(MaxLevel-1))^(2^F267),0),D267+(E267-D267)*(1+G267)*((2-1)/(MaxLevel-1))^(2^F267)))</f>
        <v/>
      </c>
      <c r="J267" s="12" t="str">
        <f>IF(OR(D267="",E267=""),"",IF(IFERROR(INDEX(Stats!$D:$D,MATCH($C267,Stats!$A:$A,0)),FALSE),ROUND(D267+(E267-D267)*(1+G267)*((3-1)/(MaxLevel-1))^(2^F267),0),D267+(E267-D267)*(1+G267)*((3-1)/(MaxLevel-1))^(2^F267)))</f>
        <v/>
      </c>
      <c r="K267" s="12" t="str">
        <f>IF(OR(D267="",E267=""),"",IF(IFERROR(INDEX(Stats!$D:$D,MATCH($C267,Stats!$A:$A,0)),FALSE),ROUND(D267+(E267-D267)*(1+G267)*((4-1)/(MaxLevel-1))^(2^F267),0),D267+(E267-D267)*(1+G267)*((4-1)/(MaxLevel-1))^(2^F267)))</f>
        <v/>
      </c>
      <c r="L267" s="12" t="str">
        <f>IF(OR(D267="",E267=""),"",IF(IFERROR(INDEX(Stats!$D:$D,MATCH($C267,Stats!$A:$A,0)),FALSE),ROUND(D267+(E267-D267)*(1+G267)*((5-1)/(MaxLevel-1))^(2^F267),0),D267+(E267-D267)*(1+G267)*((5-1)/(MaxLevel-1))^(2^F267)))</f>
        <v/>
      </c>
      <c r="M267" s="12" t="str">
        <f>IF(OR(D267="",E267=""),"",IF(IFERROR(INDEX(Stats!$D:$D,MATCH($C267,Stats!$A:$A,0)),FALSE),ROUND(D267+(E267-D267)*(1+G267)*((6-1)/(MaxLevel-1))^(2^F267),0),D267+(E267-D267)*(1+G267)*((6-1)/(MaxLevel-1))^(2^F267)))</f>
        <v/>
      </c>
      <c r="N267" s="12" t="str">
        <f>IF(OR(D267="",E267=""),"",IF(IFERROR(INDEX(Stats!$D:$D,MATCH($C267,Stats!$A:$A,0)),FALSE),ROUND(D267+(E267-D267)*(1+G267)*((7-1)/(MaxLevel-1))^(2^F267),0),D267+(E267-D267)*(1+G267)*((7-1)/(MaxLevel-1))^(2^F267)))</f>
        <v/>
      </c>
      <c r="O267" s="12" t="str">
        <f>IF(OR(D267="",E267=""),"",IF(IFERROR(INDEX(Stats!$D:$D,MATCH($C267,Stats!$A:$A,0)),FALSE),ROUND(D267+(E267-D267)*(1+G267)*((8-1)/(MaxLevel-1))^(2^F267),0),D267+(E267-D267)*(1+G267)*((8-1)/(MaxLevel-1))^(2^F267)))</f>
        <v/>
      </c>
      <c r="P267" s="12" t="str">
        <f>IF(OR(D267="",E267=""),"",IF(IFERROR(INDEX(Stats!$D:$D,MATCH($C267,Stats!$A:$A,0)),FALSE),ROUND(D267+(E267-D267)*(1+G267)*((9-1)/(MaxLevel-1))^(2^F267),0),D267+(E267-D267)*(1+G267)*((9-1)/(MaxLevel-1))^(2^F267)))</f>
        <v/>
      </c>
      <c r="Q267" s="12" t="str">
        <f>IF(OR(D267="",E267=""),"",IF(IFERROR(INDEX(Stats!$D:$D,MATCH($C267,Stats!$A:$A,0)),FALSE),ROUND(D267+(E267-D267)*(1+G267)*((10-1)/(MaxLevel-1))^(2^F267),0),D267+(E267-D267)*(1+G267)*((10-1)/(MaxLevel-1))^(2^F267)))</f>
        <v/>
      </c>
    </row>
    <row r="268" spans="1:17" x14ac:dyDescent="0.25">
      <c r="A268" s="4" t="s">
        <v>185</v>
      </c>
      <c r="B268" s="19" t="s">
        <v>229</v>
      </c>
      <c r="C268" s="4" t="s">
        <v>24</v>
      </c>
      <c r="D268" s="5">
        <v>0</v>
      </c>
      <c r="E268" s="5">
        <v>10000</v>
      </c>
      <c r="F268" s="5">
        <v>1</v>
      </c>
      <c r="G268" s="5">
        <v>0</v>
      </c>
      <c r="H268" s="12">
        <f>IF(OR(D268="",E268=""),"",IF(IFERROR(INDEX(Stats!$D:$D,MATCH($C268,Stats!$A:$A,0)),FALSE),ROUND(D268+(E268-D268)*(1+G268)*((1-1)/(MaxLevel-1))^(2^F268),0),D268+(E268-D268)*(1+G268)*((1-1)/(MaxLevel-1))^(2^F268)))</f>
        <v>0</v>
      </c>
      <c r="I268" s="12">
        <f>IF(OR(D268="",E268=""),"",IF(IFERROR(INDEX(Stats!$D:$D,MATCH($C268,Stats!$A:$A,0)),FALSE),ROUND(D268+(E268-D268)*(1+G268)*((2-1)/(MaxLevel-1))^(2^F268),0),D268+(E268-D268)*(1+G268)*((2-1)/(MaxLevel-1))^(2^F268)))</f>
        <v>123</v>
      </c>
      <c r="J268" s="12">
        <f>IF(OR(D268="",E268=""),"",IF(IFERROR(INDEX(Stats!$D:$D,MATCH($C268,Stats!$A:$A,0)),FALSE),ROUND(D268+(E268-D268)*(1+G268)*((3-1)/(MaxLevel-1))^(2^F268),0),D268+(E268-D268)*(1+G268)*((3-1)/(MaxLevel-1))^(2^F268)))</f>
        <v>494</v>
      </c>
      <c r="K268" s="12">
        <f>IF(OR(D268="",E268=""),"",IF(IFERROR(INDEX(Stats!$D:$D,MATCH($C268,Stats!$A:$A,0)),FALSE),ROUND(D268+(E268-D268)*(1+G268)*((4-1)/(MaxLevel-1))^(2^F268),0),D268+(E268-D268)*(1+G268)*((4-1)/(MaxLevel-1))^(2^F268)))</f>
        <v>1111</v>
      </c>
      <c r="L268" s="12">
        <f>IF(OR(D268="",E268=""),"",IF(IFERROR(INDEX(Stats!$D:$D,MATCH($C268,Stats!$A:$A,0)),FALSE),ROUND(D268+(E268-D268)*(1+G268)*((5-1)/(MaxLevel-1))^(2^F268),0),D268+(E268-D268)*(1+G268)*((5-1)/(MaxLevel-1))^(2^F268)))</f>
        <v>1975</v>
      </c>
      <c r="M268" s="12">
        <f>IF(OR(D268="",E268=""),"",IF(IFERROR(INDEX(Stats!$D:$D,MATCH($C268,Stats!$A:$A,0)),FALSE),ROUND(D268+(E268-D268)*(1+G268)*((6-1)/(MaxLevel-1))^(2^F268),0),D268+(E268-D268)*(1+G268)*((6-1)/(MaxLevel-1))^(2^F268)))</f>
        <v>3086</v>
      </c>
      <c r="N268" s="12">
        <f>IF(OR(D268="",E268=""),"",IF(IFERROR(INDEX(Stats!$D:$D,MATCH($C268,Stats!$A:$A,0)),FALSE),ROUND(D268+(E268-D268)*(1+G268)*((7-1)/(MaxLevel-1))^(2^F268),0),D268+(E268-D268)*(1+G268)*((7-1)/(MaxLevel-1))^(2^F268)))</f>
        <v>4444</v>
      </c>
      <c r="O268" s="12">
        <f>IF(OR(D268="",E268=""),"",IF(IFERROR(INDEX(Stats!$D:$D,MATCH($C268,Stats!$A:$A,0)),FALSE),ROUND(D268+(E268-D268)*(1+G268)*((8-1)/(MaxLevel-1))^(2^F268),0),D268+(E268-D268)*(1+G268)*((8-1)/(MaxLevel-1))^(2^F268)))</f>
        <v>6049</v>
      </c>
      <c r="P268" s="12">
        <f>IF(OR(D268="",E268=""),"",IF(IFERROR(INDEX(Stats!$D:$D,MATCH($C268,Stats!$A:$A,0)),FALSE),ROUND(D268+(E268-D268)*(1+G268)*((9-1)/(MaxLevel-1))^(2^F268),0),D268+(E268-D268)*(1+G268)*((9-1)/(MaxLevel-1))^(2^F268)))</f>
        <v>7901</v>
      </c>
      <c r="Q268" s="12">
        <f>IF(OR(D268="",E268=""),"",IF(IFERROR(INDEX(Stats!$D:$D,MATCH($C268,Stats!$A:$A,0)),FALSE),ROUND(D268+(E268-D268)*(1+G268)*((10-1)/(MaxLevel-1))^(2^F268),0),D268+(E268-D268)*(1+G268)*((10-1)/(MaxLevel-1))^(2^F268)))</f>
        <v>10000</v>
      </c>
    </row>
    <row r="269" spans="1:17" x14ac:dyDescent="0.25">
      <c r="A269" s="4" t="s">
        <v>185</v>
      </c>
      <c r="B269" s="19" t="s">
        <v>229</v>
      </c>
      <c r="C269" s="4" t="s">
        <v>26</v>
      </c>
      <c r="D269" s="5">
        <v>25</v>
      </c>
      <c r="E269" s="5">
        <v>150</v>
      </c>
      <c r="F269" s="5">
        <v>0</v>
      </c>
      <c r="G269" s="5">
        <v>0</v>
      </c>
      <c r="H269" s="12">
        <f>IF(OR(D269="",E269=""),"",IF(IFERROR(INDEX(Stats!$D:$D,MATCH($C269,Stats!$A:$A,0)),FALSE),ROUND(D269+(E269-D269)*(1+G269)*((1-1)/(MaxLevel-1))^(2^F269),0),D269+(E269-D269)*(1+G269)*((1-1)/(MaxLevel-1))^(2^F269)))</f>
        <v>25</v>
      </c>
      <c r="I269" s="12">
        <f>IF(OR(D269="",E269=""),"",IF(IFERROR(INDEX(Stats!$D:$D,MATCH($C269,Stats!$A:$A,0)),FALSE),ROUND(D269+(E269-D269)*(1+G269)*((2-1)/(MaxLevel-1))^(2^F269),0),D269+(E269-D269)*(1+G269)*((2-1)/(MaxLevel-1))^(2^F269)))</f>
        <v>39</v>
      </c>
      <c r="J269" s="12">
        <f>IF(OR(D269="",E269=""),"",IF(IFERROR(INDEX(Stats!$D:$D,MATCH($C269,Stats!$A:$A,0)),FALSE),ROUND(D269+(E269-D269)*(1+G269)*((3-1)/(MaxLevel-1))^(2^F269),0),D269+(E269-D269)*(1+G269)*((3-1)/(MaxLevel-1))^(2^F269)))</f>
        <v>53</v>
      </c>
      <c r="K269" s="12">
        <f>IF(OR(D269="",E269=""),"",IF(IFERROR(INDEX(Stats!$D:$D,MATCH($C269,Stats!$A:$A,0)),FALSE),ROUND(D269+(E269-D269)*(1+G269)*((4-1)/(MaxLevel-1))^(2^F269),0),D269+(E269-D269)*(1+G269)*((4-1)/(MaxLevel-1))^(2^F269)))</f>
        <v>67</v>
      </c>
      <c r="L269" s="12">
        <f>IF(OR(D269="",E269=""),"",IF(IFERROR(INDEX(Stats!$D:$D,MATCH($C269,Stats!$A:$A,0)),FALSE),ROUND(D269+(E269-D269)*(1+G269)*((5-1)/(MaxLevel-1))^(2^F269),0),D269+(E269-D269)*(1+G269)*((5-1)/(MaxLevel-1))^(2^F269)))</f>
        <v>81</v>
      </c>
      <c r="M269" s="12">
        <f>IF(OR(D269="",E269=""),"",IF(IFERROR(INDEX(Stats!$D:$D,MATCH($C269,Stats!$A:$A,0)),FALSE),ROUND(D269+(E269-D269)*(1+G269)*((6-1)/(MaxLevel-1))^(2^F269),0),D269+(E269-D269)*(1+G269)*((6-1)/(MaxLevel-1))^(2^F269)))</f>
        <v>94</v>
      </c>
      <c r="N269" s="12">
        <f>IF(OR(D269="",E269=""),"",IF(IFERROR(INDEX(Stats!$D:$D,MATCH($C269,Stats!$A:$A,0)),FALSE),ROUND(D269+(E269-D269)*(1+G269)*((7-1)/(MaxLevel-1))^(2^F269),0),D269+(E269-D269)*(1+G269)*((7-1)/(MaxLevel-1))^(2^F269)))</f>
        <v>108</v>
      </c>
      <c r="O269" s="12">
        <f>IF(OR(D269="",E269=""),"",IF(IFERROR(INDEX(Stats!$D:$D,MATCH($C269,Stats!$A:$A,0)),FALSE),ROUND(D269+(E269-D269)*(1+G269)*((8-1)/(MaxLevel-1))^(2^F269),0),D269+(E269-D269)*(1+G269)*((8-1)/(MaxLevel-1))^(2^F269)))</f>
        <v>122</v>
      </c>
      <c r="P269" s="12">
        <f>IF(OR(D269="",E269=""),"",IF(IFERROR(INDEX(Stats!$D:$D,MATCH($C269,Stats!$A:$A,0)),FALSE),ROUND(D269+(E269-D269)*(1+G269)*((9-1)/(MaxLevel-1))^(2^F269),0),D269+(E269-D269)*(1+G269)*((9-1)/(MaxLevel-1))^(2^F269)))</f>
        <v>136</v>
      </c>
      <c r="Q269" s="12">
        <f>IF(OR(D269="",E269=""),"",IF(IFERROR(INDEX(Stats!$D:$D,MATCH($C269,Stats!$A:$A,0)),FALSE),ROUND(D269+(E269-D269)*(1+G269)*((10-1)/(MaxLevel-1))^(2^F269),0),D269+(E269-D269)*(1+G269)*((10-1)/(MaxLevel-1))^(2^F269)))</f>
        <v>150</v>
      </c>
    </row>
    <row r="270" spans="1:17" x14ac:dyDescent="0.25">
      <c r="A270" s="4" t="s">
        <v>185</v>
      </c>
      <c r="B270" s="19" t="s">
        <v>229</v>
      </c>
      <c r="C270" s="4" t="s">
        <v>28</v>
      </c>
      <c r="D270" s="5">
        <v>300</v>
      </c>
      <c r="E270" s="5">
        <v>1200</v>
      </c>
      <c r="F270" s="5">
        <v>0</v>
      </c>
      <c r="G270" s="5">
        <v>-0.1</v>
      </c>
      <c r="H270" s="12">
        <f>IF(OR(D270="",E270=""),"",IF(IFERROR(INDEX(Stats!$D:$D,MATCH($C270,Stats!$A:$A,0)),FALSE),ROUND(D270+(E270-D270)*(1+G270)*((1-1)/(MaxLevel-1))^(2^F270),0),D270+(E270-D270)*(1+G270)*((1-1)/(MaxLevel-1))^(2^F270)))</f>
        <v>300</v>
      </c>
      <c r="I270" s="12">
        <f>IF(OR(D270="",E270=""),"",IF(IFERROR(INDEX(Stats!$D:$D,MATCH($C270,Stats!$A:$A,0)),FALSE),ROUND(D270+(E270-D270)*(1+G270)*((2-1)/(MaxLevel-1))^(2^F270),0),D270+(E270-D270)*(1+G270)*((2-1)/(MaxLevel-1))^(2^F270)))</f>
        <v>390</v>
      </c>
      <c r="J270" s="12">
        <f>IF(OR(D270="",E270=""),"",IF(IFERROR(INDEX(Stats!$D:$D,MATCH($C270,Stats!$A:$A,0)),FALSE),ROUND(D270+(E270-D270)*(1+G270)*((3-1)/(MaxLevel-1))^(2^F270),0),D270+(E270-D270)*(1+G270)*((3-1)/(MaxLevel-1))^(2^F270)))</f>
        <v>480</v>
      </c>
      <c r="K270" s="12">
        <f>IF(OR(D270="",E270=""),"",IF(IFERROR(INDEX(Stats!$D:$D,MATCH($C270,Stats!$A:$A,0)),FALSE),ROUND(D270+(E270-D270)*(1+G270)*((4-1)/(MaxLevel-1))^(2^F270),0),D270+(E270-D270)*(1+G270)*((4-1)/(MaxLevel-1))^(2^F270)))</f>
        <v>570</v>
      </c>
      <c r="L270" s="12">
        <f>IF(OR(D270="",E270=""),"",IF(IFERROR(INDEX(Stats!$D:$D,MATCH($C270,Stats!$A:$A,0)),FALSE),ROUND(D270+(E270-D270)*(1+G270)*((5-1)/(MaxLevel-1))^(2^F270),0),D270+(E270-D270)*(1+G270)*((5-1)/(MaxLevel-1))^(2^F270)))</f>
        <v>660</v>
      </c>
      <c r="M270" s="12">
        <f>IF(OR(D270="",E270=""),"",IF(IFERROR(INDEX(Stats!$D:$D,MATCH($C270,Stats!$A:$A,0)),FALSE),ROUND(D270+(E270-D270)*(1+G270)*((6-1)/(MaxLevel-1))^(2^F270),0),D270+(E270-D270)*(1+G270)*((6-1)/(MaxLevel-1))^(2^F270)))</f>
        <v>750</v>
      </c>
      <c r="N270" s="12">
        <f>IF(OR(D270="",E270=""),"",IF(IFERROR(INDEX(Stats!$D:$D,MATCH($C270,Stats!$A:$A,0)),FALSE),ROUND(D270+(E270-D270)*(1+G270)*((7-1)/(MaxLevel-1))^(2^F270),0),D270+(E270-D270)*(1+G270)*((7-1)/(MaxLevel-1))^(2^F270)))</f>
        <v>840</v>
      </c>
      <c r="O270" s="12">
        <f>IF(OR(D270="",E270=""),"",IF(IFERROR(INDEX(Stats!$D:$D,MATCH($C270,Stats!$A:$A,0)),FALSE),ROUND(D270+(E270-D270)*(1+G270)*((8-1)/(MaxLevel-1))^(2^F270),0),D270+(E270-D270)*(1+G270)*((8-1)/(MaxLevel-1))^(2^F270)))</f>
        <v>930</v>
      </c>
      <c r="P270" s="12">
        <f>IF(OR(D270="",E270=""),"",IF(IFERROR(INDEX(Stats!$D:$D,MATCH($C270,Stats!$A:$A,0)),FALSE),ROUND(D270+(E270-D270)*(1+G270)*((9-1)/(MaxLevel-1))^(2^F270),0),D270+(E270-D270)*(1+G270)*((9-1)/(MaxLevel-1))^(2^F270)))</f>
        <v>1020</v>
      </c>
      <c r="Q270" s="12">
        <f>IF(OR(D270="",E270=""),"",IF(IFERROR(INDEX(Stats!$D:$D,MATCH($C270,Stats!$A:$A,0)),FALSE),ROUND(D270+(E270-D270)*(1+G270)*((10-1)/(MaxLevel-1))^(2^F270),0),D270+(E270-D270)*(1+G270)*((10-1)/(MaxLevel-1))^(2^F270)))</f>
        <v>1110</v>
      </c>
    </row>
    <row r="271" spans="1:17" x14ac:dyDescent="0.25">
      <c r="A271" s="4" t="s">
        <v>185</v>
      </c>
      <c r="B271" s="19" t="s">
        <v>229</v>
      </c>
      <c r="C271" s="4" t="s">
        <v>30</v>
      </c>
      <c r="D271" s="5">
        <v>25</v>
      </c>
      <c r="E271" s="5">
        <v>110</v>
      </c>
      <c r="F271" s="5">
        <v>0.5</v>
      </c>
      <c r="G271" s="5">
        <v>0</v>
      </c>
      <c r="H271" s="12">
        <f>IF(OR(D271="",E271=""),"",IF(IFERROR(INDEX(Stats!$D:$D,MATCH($C271,Stats!$A:$A,0)),FALSE),ROUND(D271+(E271-D271)*(1+G271)*((1-1)/(MaxLevel-1))^(2^F271),0),D271+(E271-D271)*(1+G271)*((1-1)/(MaxLevel-1))^(2^F271)))</f>
        <v>25</v>
      </c>
      <c r="I271" s="12">
        <f>IF(OR(D271="",E271=""),"",IF(IFERROR(INDEX(Stats!$D:$D,MATCH($C271,Stats!$A:$A,0)),FALSE),ROUND(D271+(E271-D271)*(1+G271)*((2-1)/(MaxLevel-1))^(2^F271),0),D271+(E271-D271)*(1+G271)*((2-1)/(MaxLevel-1))^(2^F271)))</f>
        <v>29</v>
      </c>
      <c r="J271" s="12">
        <f>IF(OR(D271="",E271=""),"",IF(IFERROR(INDEX(Stats!$D:$D,MATCH($C271,Stats!$A:$A,0)),FALSE),ROUND(D271+(E271-D271)*(1+G271)*((3-1)/(MaxLevel-1))^(2^F271),0),D271+(E271-D271)*(1+G271)*((3-1)/(MaxLevel-1))^(2^F271)))</f>
        <v>35</v>
      </c>
      <c r="K271" s="12">
        <f>IF(OR(D271="",E271=""),"",IF(IFERROR(INDEX(Stats!$D:$D,MATCH($C271,Stats!$A:$A,0)),FALSE),ROUND(D271+(E271-D271)*(1+G271)*((4-1)/(MaxLevel-1))^(2^F271),0),D271+(E271-D271)*(1+G271)*((4-1)/(MaxLevel-1))^(2^F271)))</f>
        <v>43</v>
      </c>
      <c r="L271" s="12">
        <f>IF(OR(D271="",E271=""),"",IF(IFERROR(INDEX(Stats!$D:$D,MATCH($C271,Stats!$A:$A,0)),FALSE),ROUND(D271+(E271-D271)*(1+G271)*((5-1)/(MaxLevel-1))^(2^F271),0),D271+(E271-D271)*(1+G271)*((5-1)/(MaxLevel-1))^(2^F271)))</f>
        <v>52</v>
      </c>
      <c r="M271" s="12">
        <f>IF(OR(D271="",E271=""),"",IF(IFERROR(INDEX(Stats!$D:$D,MATCH($C271,Stats!$A:$A,0)),FALSE),ROUND(D271+(E271-D271)*(1+G271)*((6-1)/(MaxLevel-1))^(2^F271),0),D271+(E271-D271)*(1+G271)*((6-1)/(MaxLevel-1))^(2^F271)))</f>
        <v>62</v>
      </c>
      <c r="N271" s="12">
        <f>IF(OR(D271="",E271=""),"",IF(IFERROR(INDEX(Stats!$D:$D,MATCH($C271,Stats!$A:$A,0)),FALSE),ROUND(D271+(E271-D271)*(1+G271)*((7-1)/(MaxLevel-1))^(2^F271),0),D271+(E271-D271)*(1+G271)*((7-1)/(MaxLevel-1))^(2^F271)))</f>
        <v>73</v>
      </c>
      <c r="O271" s="12">
        <f>IF(OR(D271="",E271=""),"",IF(IFERROR(INDEX(Stats!$D:$D,MATCH($C271,Stats!$A:$A,0)),FALSE),ROUND(D271+(E271-D271)*(1+G271)*((8-1)/(MaxLevel-1))^(2^F271),0),D271+(E271-D271)*(1+G271)*((8-1)/(MaxLevel-1))^(2^F271)))</f>
        <v>85</v>
      </c>
      <c r="P271" s="12">
        <f>IF(OR(D271="",E271=""),"",IF(IFERROR(INDEX(Stats!$D:$D,MATCH($C271,Stats!$A:$A,0)),FALSE),ROUND(D271+(E271-D271)*(1+G271)*((9-1)/(MaxLevel-1))^(2^F271),0),D271+(E271-D271)*(1+G271)*((9-1)/(MaxLevel-1))^(2^F271)))</f>
        <v>97</v>
      </c>
      <c r="Q271" s="12">
        <f>IF(OR(D271="",E271=""),"",IF(IFERROR(INDEX(Stats!$D:$D,MATCH($C271,Stats!$A:$A,0)),FALSE),ROUND(D271+(E271-D271)*(1+G271)*((10-1)/(MaxLevel-1))^(2^F271),0),D271+(E271-D271)*(1+G271)*((10-1)/(MaxLevel-1))^(2^F271)))</f>
        <v>110</v>
      </c>
    </row>
    <row r="272" spans="1:17" x14ac:dyDescent="0.25">
      <c r="A272" s="4" t="s">
        <v>185</v>
      </c>
      <c r="B272" s="19" t="s">
        <v>229</v>
      </c>
      <c r="C272" s="4" t="s">
        <v>32</v>
      </c>
      <c r="D272" s="5"/>
      <c r="E272" s="5"/>
      <c r="F272" s="5"/>
      <c r="G272" s="5"/>
      <c r="H272" s="12" t="str">
        <f>IF(OR(D272="",E272=""),"",IF(IFERROR(INDEX(Stats!$D:$D,MATCH($C272,Stats!$A:$A,0)),FALSE),ROUND(D272+(E272-D272)*(1+G272)*((1-1)/(MaxLevel-1))^(2^F272),0),D272+(E272-D272)*(1+G272)*((1-1)/(MaxLevel-1))^(2^F272)))</f>
        <v/>
      </c>
      <c r="I272" s="12" t="str">
        <f>IF(OR(D272="",E272=""),"",IF(IFERROR(INDEX(Stats!$D:$D,MATCH($C272,Stats!$A:$A,0)),FALSE),ROUND(D272+(E272-D272)*(1+G272)*((2-1)/(MaxLevel-1))^(2^F272),0),D272+(E272-D272)*(1+G272)*((2-1)/(MaxLevel-1))^(2^F272)))</f>
        <v/>
      </c>
      <c r="J272" s="12" t="str">
        <f>IF(OR(D272="",E272=""),"",IF(IFERROR(INDEX(Stats!$D:$D,MATCH($C272,Stats!$A:$A,0)),FALSE),ROUND(D272+(E272-D272)*(1+G272)*((3-1)/(MaxLevel-1))^(2^F272),0),D272+(E272-D272)*(1+G272)*((3-1)/(MaxLevel-1))^(2^F272)))</f>
        <v/>
      </c>
      <c r="K272" s="12" t="str">
        <f>IF(OR(D272="",E272=""),"",IF(IFERROR(INDEX(Stats!$D:$D,MATCH($C272,Stats!$A:$A,0)),FALSE),ROUND(D272+(E272-D272)*(1+G272)*((4-1)/(MaxLevel-1))^(2^F272),0),D272+(E272-D272)*(1+G272)*((4-1)/(MaxLevel-1))^(2^F272)))</f>
        <v/>
      </c>
      <c r="L272" s="12" t="str">
        <f>IF(OR(D272="",E272=""),"",IF(IFERROR(INDEX(Stats!$D:$D,MATCH($C272,Stats!$A:$A,0)),FALSE),ROUND(D272+(E272-D272)*(1+G272)*((5-1)/(MaxLevel-1))^(2^F272),0),D272+(E272-D272)*(1+G272)*((5-1)/(MaxLevel-1))^(2^F272)))</f>
        <v/>
      </c>
      <c r="M272" s="12" t="str">
        <f>IF(OR(D272="",E272=""),"",IF(IFERROR(INDEX(Stats!$D:$D,MATCH($C272,Stats!$A:$A,0)),FALSE),ROUND(D272+(E272-D272)*(1+G272)*((6-1)/(MaxLevel-1))^(2^F272),0),D272+(E272-D272)*(1+G272)*((6-1)/(MaxLevel-1))^(2^F272)))</f>
        <v/>
      </c>
      <c r="N272" s="12" t="str">
        <f>IF(OR(D272="",E272=""),"",IF(IFERROR(INDEX(Stats!$D:$D,MATCH($C272,Stats!$A:$A,0)),FALSE),ROUND(D272+(E272-D272)*(1+G272)*((7-1)/(MaxLevel-1))^(2^F272),0),D272+(E272-D272)*(1+G272)*((7-1)/(MaxLevel-1))^(2^F272)))</f>
        <v/>
      </c>
      <c r="O272" s="12" t="str">
        <f>IF(OR(D272="",E272=""),"",IF(IFERROR(INDEX(Stats!$D:$D,MATCH($C272,Stats!$A:$A,0)),FALSE),ROUND(D272+(E272-D272)*(1+G272)*((8-1)/(MaxLevel-1))^(2^F272),0),D272+(E272-D272)*(1+G272)*((8-1)/(MaxLevel-1))^(2^F272)))</f>
        <v/>
      </c>
      <c r="P272" s="12" t="str">
        <f>IF(OR(D272="",E272=""),"",IF(IFERROR(INDEX(Stats!$D:$D,MATCH($C272,Stats!$A:$A,0)),FALSE),ROUND(D272+(E272-D272)*(1+G272)*((9-1)/(MaxLevel-1))^(2^F272),0),D272+(E272-D272)*(1+G272)*((9-1)/(MaxLevel-1))^(2^F272)))</f>
        <v/>
      </c>
      <c r="Q272" s="12" t="str">
        <f>IF(OR(D272="",E272=""),"",IF(IFERROR(INDEX(Stats!$D:$D,MATCH($C272,Stats!$A:$A,0)),FALSE),ROUND(D272+(E272-D272)*(1+G272)*((10-1)/(MaxLevel-1))^(2^F272),0),D272+(E272-D272)*(1+G272)*((10-1)/(MaxLevel-1))^(2^F272)))</f>
        <v/>
      </c>
    </row>
    <row r="273" spans="1:17" x14ac:dyDescent="0.25">
      <c r="A273" s="4" t="s">
        <v>185</v>
      </c>
      <c r="B273" s="19" t="s">
        <v>229</v>
      </c>
      <c r="C273" s="4" t="s">
        <v>34</v>
      </c>
      <c r="D273" s="5"/>
      <c r="E273" s="5"/>
      <c r="F273" s="5"/>
      <c r="G273" s="5"/>
      <c r="H273" s="12" t="str">
        <f>IF(OR(D273="",E273=""),"",IF(IFERROR(INDEX(Stats!$D:$D,MATCH($C273,Stats!$A:$A,0)),FALSE),ROUND(D273+(E273-D273)*(1+G273)*((1-1)/(MaxLevel-1))^(2^F273),0),D273+(E273-D273)*(1+G273)*((1-1)/(MaxLevel-1))^(2^F273)))</f>
        <v/>
      </c>
      <c r="I273" s="12" t="str">
        <f>IF(OR(D273="",E273=""),"",IF(IFERROR(INDEX(Stats!$D:$D,MATCH($C273,Stats!$A:$A,0)),FALSE),ROUND(D273+(E273-D273)*(1+G273)*((2-1)/(MaxLevel-1))^(2^F273),0),D273+(E273-D273)*(1+G273)*((2-1)/(MaxLevel-1))^(2^F273)))</f>
        <v/>
      </c>
      <c r="J273" s="12" t="str">
        <f>IF(OR(D273="",E273=""),"",IF(IFERROR(INDEX(Stats!$D:$D,MATCH($C273,Stats!$A:$A,0)),FALSE),ROUND(D273+(E273-D273)*(1+G273)*((3-1)/(MaxLevel-1))^(2^F273),0),D273+(E273-D273)*(1+G273)*((3-1)/(MaxLevel-1))^(2^F273)))</f>
        <v/>
      </c>
      <c r="K273" s="12" t="str">
        <f>IF(OR(D273="",E273=""),"",IF(IFERROR(INDEX(Stats!$D:$D,MATCH($C273,Stats!$A:$A,0)),FALSE),ROUND(D273+(E273-D273)*(1+G273)*((4-1)/(MaxLevel-1))^(2^F273),0),D273+(E273-D273)*(1+G273)*((4-1)/(MaxLevel-1))^(2^F273)))</f>
        <v/>
      </c>
      <c r="L273" s="12" t="str">
        <f>IF(OR(D273="",E273=""),"",IF(IFERROR(INDEX(Stats!$D:$D,MATCH($C273,Stats!$A:$A,0)),FALSE),ROUND(D273+(E273-D273)*(1+G273)*((5-1)/(MaxLevel-1))^(2^F273),0),D273+(E273-D273)*(1+G273)*((5-1)/(MaxLevel-1))^(2^F273)))</f>
        <v/>
      </c>
      <c r="M273" s="12" t="str">
        <f>IF(OR(D273="",E273=""),"",IF(IFERROR(INDEX(Stats!$D:$D,MATCH($C273,Stats!$A:$A,0)),FALSE),ROUND(D273+(E273-D273)*(1+G273)*((6-1)/(MaxLevel-1))^(2^F273),0),D273+(E273-D273)*(1+G273)*((6-1)/(MaxLevel-1))^(2^F273)))</f>
        <v/>
      </c>
      <c r="N273" s="12" t="str">
        <f>IF(OR(D273="",E273=""),"",IF(IFERROR(INDEX(Stats!$D:$D,MATCH($C273,Stats!$A:$A,0)),FALSE),ROUND(D273+(E273-D273)*(1+G273)*((7-1)/(MaxLevel-1))^(2^F273),0),D273+(E273-D273)*(1+G273)*((7-1)/(MaxLevel-1))^(2^F273)))</f>
        <v/>
      </c>
      <c r="O273" s="12" t="str">
        <f>IF(OR(D273="",E273=""),"",IF(IFERROR(INDEX(Stats!$D:$D,MATCH($C273,Stats!$A:$A,0)),FALSE),ROUND(D273+(E273-D273)*(1+G273)*((8-1)/(MaxLevel-1))^(2^F273),0),D273+(E273-D273)*(1+G273)*((8-1)/(MaxLevel-1))^(2^F273)))</f>
        <v/>
      </c>
      <c r="P273" s="12" t="str">
        <f>IF(OR(D273="",E273=""),"",IF(IFERROR(INDEX(Stats!$D:$D,MATCH($C273,Stats!$A:$A,0)),FALSE),ROUND(D273+(E273-D273)*(1+G273)*((9-1)/(MaxLevel-1))^(2^F273),0),D273+(E273-D273)*(1+G273)*((9-1)/(MaxLevel-1))^(2^F273)))</f>
        <v/>
      </c>
      <c r="Q273" s="12" t="str">
        <f>IF(OR(D273="",E273=""),"",IF(IFERROR(INDEX(Stats!$D:$D,MATCH($C273,Stats!$A:$A,0)),FALSE),ROUND(D273+(E273-D273)*(1+G273)*((10-1)/(MaxLevel-1))^(2^F273),0),D273+(E273-D273)*(1+G273)*((10-1)/(MaxLevel-1))^(2^F273)))</f>
        <v/>
      </c>
    </row>
    <row r="274" spans="1:17" x14ac:dyDescent="0.25">
      <c r="A274" s="4" t="s">
        <v>185</v>
      </c>
      <c r="B274" s="19" t="s">
        <v>229</v>
      </c>
      <c r="C274" s="4" t="s">
        <v>36</v>
      </c>
      <c r="D274" s="5"/>
      <c r="E274" s="5"/>
      <c r="F274" s="5"/>
      <c r="G274" s="5"/>
      <c r="H274" s="12" t="str">
        <f>IF(OR(D274="",E274=""),"",IF(IFERROR(INDEX(Stats!$D:$D,MATCH($C274,Stats!$A:$A,0)),FALSE),ROUND(D274+(E274-D274)*(1+G274)*((1-1)/(MaxLevel-1))^(2^F274),0),D274+(E274-D274)*(1+G274)*((1-1)/(MaxLevel-1))^(2^F274)))</f>
        <v/>
      </c>
      <c r="I274" s="12" t="str">
        <f>IF(OR(D274="",E274=""),"",IF(IFERROR(INDEX(Stats!$D:$D,MATCH($C274,Stats!$A:$A,0)),FALSE),ROUND(D274+(E274-D274)*(1+G274)*((2-1)/(MaxLevel-1))^(2^F274),0),D274+(E274-D274)*(1+G274)*((2-1)/(MaxLevel-1))^(2^F274)))</f>
        <v/>
      </c>
      <c r="J274" s="12" t="str">
        <f>IF(OR(D274="",E274=""),"",IF(IFERROR(INDEX(Stats!$D:$D,MATCH($C274,Stats!$A:$A,0)),FALSE),ROUND(D274+(E274-D274)*(1+G274)*((3-1)/(MaxLevel-1))^(2^F274),0),D274+(E274-D274)*(1+G274)*((3-1)/(MaxLevel-1))^(2^F274)))</f>
        <v/>
      </c>
      <c r="K274" s="12" t="str">
        <f>IF(OR(D274="",E274=""),"",IF(IFERROR(INDEX(Stats!$D:$D,MATCH($C274,Stats!$A:$A,0)),FALSE),ROUND(D274+(E274-D274)*(1+G274)*((4-1)/(MaxLevel-1))^(2^F274),0),D274+(E274-D274)*(1+G274)*((4-1)/(MaxLevel-1))^(2^F274)))</f>
        <v/>
      </c>
      <c r="L274" s="12" t="str">
        <f>IF(OR(D274="",E274=""),"",IF(IFERROR(INDEX(Stats!$D:$D,MATCH($C274,Stats!$A:$A,0)),FALSE),ROUND(D274+(E274-D274)*(1+G274)*((5-1)/(MaxLevel-1))^(2^F274),0),D274+(E274-D274)*(1+G274)*((5-1)/(MaxLevel-1))^(2^F274)))</f>
        <v/>
      </c>
      <c r="M274" s="12" t="str">
        <f>IF(OR(D274="",E274=""),"",IF(IFERROR(INDEX(Stats!$D:$D,MATCH($C274,Stats!$A:$A,0)),FALSE),ROUND(D274+(E274-D274)*(1+G274)*((6-1)/(MaxLevel-1))^(2^F274),0),D274+(E274-D274)*(1+G274)*((6-1)/(MaxLevel-1))^(2^F274)))</f>
        <v/>
      </c>
      <c r="N274" s="12" t="str">
        <f>IF(OR(D274="",E274=""),"",IF(IFERROR(INDEX(Stats!$D:$D,MATCH($C274,Stats!$A:$A,0)),FALSE),ROUND(D274+(E274-D274)*(1+G274)*((7-1)/(MaxLevel-1))^(2^F274),0),D274+(E274-D274)*(1+G274)*((7-1)/(MaxLevel-1))^(2^F274)))</f>
        <v/>
      </c>
      <c r="O274" s="12" t="str">
        <f>IF(OR(D274="",E274=""),"",IF(IFERROR(INDEX(Stats!$D:$D,MATCH($C274,Stats!$A:$A,0)),FALSE),ROUND(D274+(E274-D274)*(1+G274)*((8-1)/(MaxLevel-1))^(2^F274),0),D274+(E274-D274)*(1+G274)*((8-1)/(MaxLevel-1))^(2^F274)))</f>
        <v/>
      </c>
      <c r="P274" s="12" t="str">
        <f>IF(OR(D274="",E274=""),"",IF(IFERROR(INDEX(Stats!$D:$D,MATCH($C274,Stats!$A:$A,0)),FALSE),ROUND(D274+(E274-D274)*(1+G274)*((9-1)/(MaxLevel-1))^(2^F274),0),D274+(E274-D274)*(1+G274)*((9-1)/(MaxLevel-1))^(2^F274)))</f>
        <v/>
      </c>
      <c r="Q274" s="12" t="str">
        <f>IF(OR(D274="",E274=""),"",IF(IFERROR(INDEX(Stats!$D:$D,MATCH($C274,Stats!$A:$A,0)),FALSE),ROUND(D274+(E274-D274)*(1+G274)*((10-1)/(MaxLevel-1))^(2^F274),0),D274+(E274-D274)*(1+G274)*((10-1)/(MaxLevel-1))^(2^F274)))</f>
        <v/>
      </c>
    </row>
    <row r="275" spans="1:17" x14ac:dyDescent="0.25">
      <c r="A275" s="4" t="s">
        <v>185</v>
      </c>
      <c r="B275" s="19" t="s">
        <v>229</v>
      </c>
      <c r="C275" s="4" t="s">
        <v>38</v>
      </c>
      <c r="D275" s="5"/>
      <c r="E275" s="5"/>
      <c r="F275" s="5"/>
      <c r="G275" s="5"/>
      <c r="H275" s="12" t="str">
        <f>IF(OR(D275="",E275=""),"",IF(IFERROR(INDEX(Stats!$D:$D,MATCH($C275,Stats!$A:$A,0)),FALSE),ROUND(D275+(E275-D275)*(1+G275)*((1-1)/(MaxLevel-1))^(2^F275),0),D275+(E275-D275)*(1+G275)*((1-1)/(MaxLevel-1))^(2^F275)))</f>
        <v/>
      </c>
      <c r="I275" s="12" t="str">
        <f>IF(OR(D275="",E275=""),"",IF(IFERROR(INDEX(Stats!$D:$D,MATCH($C275,Stats!$A:$A,0)),FALSE),ROUND(D275+(E275-D275)*(1+G275)*((2-1)/(MaxLevel-1))^(2^F275),0),D275+(E275-D275)*(1+G275)*((2-1)/(MaxLevel-1))^(2^F275)))</f>
        <v/>
      </c>
      <c r="J275" s="12" t="str">
        <f>IF(OR(D275="",E275=""),"",IF(IFERROR(INDEX(Stats!$D:$D,MATCH($C275,Stats!$A:$A,0)),FALSE),ROUND(D275+(E275-D275)*(1+G275)*((3-1)/(MaxLevel-1))^(2^F275),0),D275+(E275-D275)*(1+G275)*((3-1)/(MaxLevel-1))^(2^F275)))</f>
        <v/>
      </c>
      <c r="K275" s="12" t="str">
        <f>IF(OR(D275="",E275=""),"",IF(IFERROR(INDEX(Stats!$D:$D,MATCH($C275,Stats!$A:$A,0)),FALSE),ROUND(D275+(E275-D275)*(1+G275)*((4-1)/(MaxLevel-1))^(2^F275),0),D275+(E275-D275)*(1+G275)*((4-1)/(MaxLevel-1))^(2^F275)))</f>
        <v/>
      </c>
      <c r="L275" s="12" t="str">
        <f>IF(OR(D275="",E275=""),"",IF(IFERROR(INDEX(Stats!$D:$D,MATCH($C275,Stats!$A:$A,0)),FALSE),ROUND(D275+(E275-D275)*(1+G275)*((5-1)/(MaxLevel-1))^(2^F275),0),D275+(E275-D275)*(1+G275)*((5-1)/(MaxLevel-1))^(2^F275)))</f>
        <v/>
      </c>
      <c r="M275" s="12" t="str">
        <f>IF(OR(D275="",E275=""),"",IF(IFERROR(INDEX(Stats!$D:$D,MATCH($C275,Stats!$A:$A,0)),FALSE),ROUND(D275+(E275-D275)*(1+G275)*((6-1)/(MaxLevel-1))^(2^F275),0),D275+(E275-D275)*(1+G275)*((6-1)/(MaxLevel-1))^(2^F275)))</f>
        <v/>
      </c>
      <c r="N275" s="12" t="str">
        <f>IF(OR(D275="",E275=""),"",IF(IFERROR(INDEX(Stats!$D:$D,MATCH($C275,Stats!$A:$A,0)),FALSE),ROUND(D275+(E275-D275)*(1+G275)*((7-1)/(MaxLevel-1))^(2^F275),0),D275+(E275-D275)*(1+G275)*((7-1)/(MaxLevel-1))^(2^F275)))</f>
        <v/>
      </c>
      <c r="O275" s="12" t="str">
        <f>IF(OR(D275="",E275=""),"",IF(IFERROR(INDEX(Stats!$D:$D,MATCH($C275,Stats!$A:$A,0)),FALSE),ROUND(D275+(E275-D275)*(1+G275)*((8-1)/(MaxLevel-1))^(2^F275),0),D275+(E275-D275)*(1+G275)*((8-1)/(MaxLevel-1))^(2^F275)))</f>
        <v/>
      </c>
      <c r="P275" s="12" t="str">
        <f>IF(OR(D275="",E275=""),"",IF(IFERROR(INDEX(Stats!$D:$D,MATCH($C275,Stats!$A:$A,0)),FALSE),ROUND(D275+(E275-D275)*(1+G275)*((9-1)/(MaxLevel-1))^(2^F275),0),D275+(E275-D275)*(1+G275)*((9-1)/(MaxLevel-1))^(2^F275)))</f>
        <v/>
      </c>
      <c r="Q275" s="12" t="str">
        <f>IF(OR(D275="",E275=""),"",IF(IFERROR(INDEX(Stats!$D:$D,MATCH($C275,Stats!$A:$A,0)),FALSE),ROUND(D275+(E275-D275)*(1+G275)*((10-1)/(MaxLevel-1))^(2^F275),0),D275+(E275-D275)*(1+G275)*((10-1)/(MaxLevel-1))^(2^F275)))</f>
        <v/>
      </c>
    </row>
    <row r="276" spans="1:17" x14ac:dyDescent="0.25">
      <c r="A276" s="4" t="s">
        <v>185</v>
      </c>
      <c r="B276" s="19" t="s">
        <v>229</v>
      </c>
      <c r="C276" s="4" t="s">
        <v>40</v>
      </c>
      <c r="D276" s="5"/>
      <c r="E276" s="5"/>
      <c r="F276" s="5"/>
      <c r="G276" s="5"/>
      <c r="H276" s="12" t="str">
        <f>IF(OR(D276="",E276=""),"",IF(IFERROR(INDEX(Stats!$D:$D,MATCH($C276,Stats!$A:$A,0)),FALSE),ROUND(D276+(E276-D276)*(1+G276)*((1-1)/(MaxLevel-1))^(2^F276),0),D276+(E276-D276)*(1+G276)*((1-1)/(MaxLevel-1))^(2^F276)))</f>
        <v/>
      </c>
      <c r="I276" s="12" t="str">
        <f>IF(OR(D276="",E276=""),"",IF(IFERROR(INDEX(Stats!$D:$D,MATCH($C276,Stats!$A:$A,0)),FALSE),ROUND(D276+(E276-D276)*(1+G276)*((2-1)/(MaxLevel-1))^(2^F276),0),D276+(E276-D276)*(1+G276)*((2-1)/(MaxLevel-1))^(2^F276)))</f>
        <v/>
      </c>
      <c r="J276" s="12" t="str">
        <f>IF(OR(D276="",E276=""),"",IF(IFERROR(INDEX(Stats!$D:$D,MATCH($C276,Stats!$A:$A,0)),FALSE),ROUND(D276+(E276-D276)*(1+G276)*((3-1)/(MaxLevel-1))^(2^F276),0),D276+(E276-D276)*(1+G276)*((3-1)/(MaxLevel-1))^(2^F276)))</f>
        <v/>
      </c>
      <c r="K276" s="12" t="str">
        <f>IF(OR(D276="",E276=""),"",IF(IFERROR(INDEX(Stats!$D:$D,MATCH($C276,Stats!$A:$A,0)),FALSE),ROUND(D276+(E276-D276)*(1+G276)*((4-1)/(MaxLevel-1))^(2^F276),0),D276+(E276-D276)*(1+G276)*((4-1)/(MaxLevel-1))^(2^F276)))</f>
        <v/>
      </c>
      <c r="L276" s="12" t="str">
        <f>IF(OR(D276="",E276=""),"",IF(IFERROR(INDEX(Stats!$D:$D,MATCH($C276,Stats!$A:$A,0)),FALSE),ROUND(D276+(E276-D276)*(1+G276)*((5-1)/(MaxLevel-1))^(2^F276),0),D276+(E276-D276)*(1+G276)*((5-1)/(MaxLevel-1))^(2^F276)))</f>
        <v/>
      </c>
      <c r="M276" s="12" t="str">
        <f>IF(OR(D276="",E276=""),"",IF(IFERROR(INDEX(Stats!$D:$D,MATCH($C276,Stats!$A:$A,0)),FALSE),ROUND(D276+(E276-D276)*(1+G276)*((6-1)/(MaxLevel-1))^(2^F276),0),D276+(E276-D276)*(1+G276)*((6-1)/(MaxLevel-1))^(2^F276)))</f>
        <v/>
      </c>
      <c r="N276" s="12" t="str">
        <f>IF(OR(D276="",E276=""),"",IF(IFERROR(INDEX(Stats!$D:$D,MATCH($C276,Stats!$A:$A,0)),FALSE),ROUND(D276+(E276-D276)*(1+G276)*((7-1)/(MaxLevel-1))^(2^F276),0),D276+(E276-D276)*(1+G276)*((7-1)/(MaxLevel-1))^(2^F276)))</f>
        <v/>
      </c>
      <c r="O276" s="12" t="str">
        <f>IF(OR(D276="",E276=""),"",IF(IFERROR(INDEX(Stats!$D:$D,MATCH($C276,Stats!$A:$A,0)),FALSE),ROUND(D276+(E276-D276)*(1+G276)*((8-1)/(MaxLevel-1))^(2^F276),0),D276+(E276-D276)*(1+G276)*((8-1)/(MaxLevel-1))^(2^F276)))</f>
        <v/>
      </c>
      <c r="P276" s="12" t="str">
        <f>IF(OR(D276="",E276=""),"",IF(IFERROR(INDEX(Stats!$D:$D,MATCH($C276,Stats!$A:$A,0)),FALSE),ROUND(D276+(E276-D276)*(1+G276)*((9-1)/(MaxLevel-1))^(2^F276),0),D276+(E276-D276)*(1+G276)*((9-1)/(MaxLevel-1))^(2^F276)))</f>
        <v/>
      </c>
      <c r="Q276" s="12" t="str">
        <f>IF(OR(D276="",E276=""),"",IF(IFERROR(INDEX(Stats!$D:$D,MATCH($C276,Stats!$A:$A,0)),FALSE),ROUND(D276+(E276-D276)*(1+G276)*((10-1)/(MaxLevel-1))^(2^F276),0),D276+(E276-D276)*(1+G276)*((10-1)/(MaxLevel-1))^(2^F276)))</f>
        <v/>
      </c>
    </row>
    <row r="277" spans="1:17" x14ac:dyDescent="0.25">
      <c r="A277" s="4" t="s">
        <v>185</v>
      </c>
      <c r="B277" s="19" t="s">
        <v>229</v>
      </c>
      <c r="C277" s="4" t="s">
        <v>42</v>
      </c>
      <c r="D277" s="5"/>
      <c r="E277" s="5"/>
      <c r="F277" s="5"/>
      <c r="G277" s="5"/>
      <c r="H277" s="12" t="str">
        <f>IF(OR(D277="",E277=""),"",IF(IFERROR(INDEX(Stats!$D:$D,MATCH($C277,Stats!$A:$A,0)),FALSE),ROUND(D277+(E277-D277)*(1+G277)*((1-1)/(MaxLevel-1))^(2^F277),0),D277+(E277-D277)*(1+G277)*((1-1)/(MaxLevel-1))^(2^F277)))</f>
        <v/>
      </c>
      <c r="I277" s="12" t="str">
        <f>IF(OR(D277="",E277=""),"",IF(IFERROR(INDEX(Stats!$D:$D,MATCH($C277,Stats!$A:$A,0)),FALSE),ROUND(D277+(E277-D277)*(1+G277)*((2-1)/(MaxLevel-1))^(2^F277),0),D277+(E277-D277)*(1+G277)*((2-1)/(MaxLevel-1))^(2^F277)))</f>
        <v/>
      </c>
      <c r="J277" s="12" t="str">
        <f>IF(OR(D277="",E277=""),"",IF(IFERROR(INDEX(Stats!$D:$D,MATCH($C277,Stats!$A:$A,0)),FALSE),ROUND(D277+(E277-D277)*(1+G277)*((3-1)/(MaxLevel-1))^(2^F277),0),D277+(E277-D277)*(1+G277)*((3-1)/(MaxLevel-1))^(2^F277)))</f>
        <v/>
      </c>
      <c r="K277" s="12" t="str">
        <f>IF(OR(D277="",E277=""),"",IF(IFERROR(INDEX(Stats!$D:$D,MATCH($C277,Stats!$A:$A,0)),FALSE),ROUND(D277+(E277-D277)*(1+G277)*((4-1)/(MaxLevel-1))^(2^F277),0),D277+(E277-D277)*(1+G277)*((4-1)/(MaxLevel-1))^(2^F277)))</f>
        <v/>
      </c>
      <c r="L277" s="12" t="str">
        <f>IF(OR(D277="",E277=""),"",IF(IFERROR(INDEX(Stats!$D:$D,MATCH($C277,Stats!$A:$A,0)),FALSE),ROUND(D277+(E277-D277)*(1+G277)*((5-1)/(MaxLevel-1))^(2^F277),0),D277+(E277-D277)*(1+G277)*((5-1)/(MaxLevel-1))^(2^F277)))</f>
        <v/>
      </c>
      <c r="M277" s="12" t="str">
        <f>IF(OR(D277="",E277=""),"",IF(IFERROR(INDEX(Stats!$D:$D,MATCH($C277,Stats!$A:$A,0)),FALSE),ROUND(D277+(E277-D277)*(1+G277)*((6-1)/(MaxLevel-1))^(2^F277),0),D277+(E277-D277)*(1+G277)*((6-1)/(MaxLevel-1))^(2^F277)))</f>
        <v/>
      </c>
      <c r="N277" s="12" t="str">
        <f>IF(OR(D277="",E277=""),"",IF(IFERROR(INDEX(Stats!$D:$D,MATCH($C277,Stats!$A:$A,0)),FALSE),ROUND(D277+(E277-D277)*(1+G277)*((7-1)/(MaxLevel-1))^(2^F277),0),D277+(E277-D277)*(1+G277)*((7-1)/(MaxLevel-1))^(2^F277)))</f>
        <v/>
      </c>
      <c r="O277" s="12" t="str">
        <f>IF(OR(D277="",E277=""),"",IF(IFERROR(INDEX(Stats!$D:$D,MATCH($C277,Stats!$A:$A,0)),FALSE),ROUND(D277+(E277-D277)*(1+G277)*((8-1)/(MaxLevel-1))^(2^F277),0),D277+(E277-D277)*(1+G277)*((8-1)/(MaxLevel-1))^(2^F277)))</f>
        <v/>
      </c>
      <c r="P277" s="12" t="str">
        <f>IF(OR(D277="",E277=""),"",IF(IFERROR(INDEX(Stats!$D:$D,MATCH($C277,Stats!$A:$A,0)),FALSE),ROUND(D277+(E277-D277)*(1+G277)*((9-1)/(MaxLevel-1))^(2^F277),0),D277+(E277-D277)*(1+G277)*((9-1)/(MaxLevel-1))^(2^F277)))</f>
        <v/>
      </c>
      <c r="Q277" s="12" t="str">
        <f>IF(OR(D277="",E277=""),"",IF(IFERROR(INDEX(Stats!$D:$D,MATCH($C277,Stats!$A:$A,0)),FALSE),ROUND(D277+(E277-D277)*(1+G277)*((10-1)/(MaxLevel-1))^(2^F277),0),D277+(E277-D277)*(1+G277)*((10-1)/(MaxLevel-1))^(2^F277)))</f>
        <v/>
      </c>
    </row>
    <row r="278" spans="1:17" x14ac:dyDescent="0.25">
      <c r="A278" s="4" t="s">
        <v>185</v>
      </c>
      <c r="B278" s="19" t="s">
        <v>229</v>
      </c>
      <c r="C278" s="4" t="s">
        <v>44</v>
      </c>
      <c r="D278" s="5"/>
      <c r="E278" s="5"/>
      <c r="F278" s="5"/>
      <c r="G278" s="5"/>
      <c r="H278" s="12" t="str">
        <f>IF(OR(D278="",E278=""),"",IF(IFERROR(INDEX(Stats!$D:$D,MATCH($C278,Stats!$A:$A,0)),FALSE),ROUND(D278+(E278-D278)*(1+G278)*((1-1)/(MaxLevel-1))^(2^F278),0),D278+(E278-D278)*(1+G278)*((1-1)/(MaxLevel-1))^(2^F278)))</f>
        <v/>
      </c>
      <c r="I278" s="12" t="str">
        <f>IF(OR(D278="",E278=""),"",IF(IFERROR(INDEX(Stats!$D:$D,MATCH($C278,Stats!$A:$A,0)),FALSE),ROUND(D278+(E278-D278)*(1+G278)*((2-1)/(MaxLevel-1))^(2^F278),0),D278+(E278-D278)*(1+G278)*((2-1)/(MaxLevel-1))^(2^F278)))</f>
        <v/>
      </c>
      <c r="J278" s="12" t="str">
        <f>IF(OR(D278="",E278=""),"",IF(IFERROR(INDEX(Stats!$D:$D,MATCH($C278,Stats!$A:$A,0)),FALSE),ROUND(D278+(E278-D278)*(1+G278)*((3-1)/(MaxLevel-1))^(2^F278),0),D278+(E278-D278)*(1+G278)*((3-1)/(MaxLevel-1))^(2^F278)))</f>
        <v/>
      </c>
      <c r="K278" s="12" t="str">
        <f>IF(OR(D278="",E278=""),"",IF(IFERROR(INDEX(Stats!$D:$D,MATCH($C278,Stats!$A:$A,0)),FALSE),ROUND(D278+(E278-D278)*(1+G278)*((4-1)/(MaxLevel-1))^(2^F278),0),D278+(E278-D278)*(1+G278)*((4-1)/(MaxLevel-1))^(2^F278)))</f>
        <v/>
      </c>
      <c r="L278" s="12" t="str">
        <f>IF(OR(D278="",E278=""),"",IF(IFERROR(INDEX(Stats!$D:$D,MATCH($C278,Stats!$A:$A,0)),FALSE),ROUND(D278+(E278-D278)*(1+G278)*((5-1)/(MaxLevel-1))^(2^F278),0),D278+(E278-D278)*(1+G278)*((5-1)/(MaxLevel-1))^(2^F278)))</f>
        <v/>
      </c>
      <c r="M278" s="12" t="str">
        <f>IF(OR(D278="",E278=""),"",IF(IFERROR(INDEX(Stats!$D:$D,MATCH($C278,Stats!$A:$A,0)),FALSE),ROUND(D278+(E278-D278)*(1+G278)*((6-1)/(MaxLevel-1))^(2^F278),0),D278+(E278-D278)*(1+G278)*((6-1)/(MaxLevel-1))^(2^F278)))</f>
        <v/>
      </c>
      <c r="N278" s="12" t="str">
        <f>IF(OR(D278="",E278=""),"",IF(IFERROR(INDEX(Stats!$D:$D,MATCH($C278,Stats!$A:$A,0)),FALSE),ROUND(D278+(E278-D278)*(1+G278)*((7-1)/(MaxLevel-1))^(2^F278),0),D278+(E278-D278)*(1+G278)*((7-1)/(MaxLevel-1))^(2^F278)))</f>
        <v/>
      </c>
      <c r="O278" s="12" t="str">
        <f>IF(OR(D278="",E278=""),"",IF(IFERROR(INDEX(Stats!$D:$D,MATCH($C278,Stats!$A:$A,0)),FALSE),ROUND(D278+(E278-D278)*(1+G278)*((8-1)/(MaxLevel-1))^(2^F278),0),D278+(E278-D278)*(1+G278)*((8-1)/(MaxLevel-1))^(2^F278)))</f>
        <v/>
      </c>
      <c r="P278" s="12" t="str">
        <f>IF(OR(D278="",E278=""),"",IF(IFERROR(INDEX(Stats!$D:$D,MATCH($C278,Stats!$A:$A,0)),FALSE),ROUND(D278+(E278-D278)*(1+G278)*((9-1)/(MaxLevel-1))^(2^F278),0),D278+(E278-D278)*(1+G278)*((9-1)/(MaxLevel-1))^(2^F278)))</f>
        <v/>
      </c>
      <c r="Q278" s="12" t="str">
        <f>IF(OR(D278="",E278=""),"",IF(IFERROR(INDEX(Stats!$D:$D,MATCH($C278,Stats!$A:$A,0)),FALSE),ROUND(D278+(E278-D278)*(1+G278)*((10-1)/(MaxLevel-1))^(2^F278),0),D278+(E278-D278)*(1+G278)*((10-1)/(MaxLevel-1))^(2^F278)))</f>
        <v/>
      </c>
    </row>
    <row r="279" spans="1:17" x14ac:dyDescent="0.25">
      <c r="A279" s="4" t="s">
        <v>185</v>
      </c>
      <c r="B279" s="19" t="s">
        <v>229</v>
      </c>
      <c r="C279" s="4" t="s">
        <v>46</v>
      </c>
      <c r="D279" s="5">
        <v>300</v>
      </c>
      <c r="E279" s="5">
        <v>320</v>
      </c>
      <c r="F279" s="5">
        <v>0</v>
      </c>
      <c r="G279" s="5">
        <v>0</v>
      </c>
      <c r="H279" s="12">
        <f>IF(OR(D279="",E279=""),"",IF(IFERROR(INDEX(Stats!$D:$D,MATCH($C279,Stats!$A:$A,0)),FALSE),ROUND(D279+(E279-D279)*(1+G279)*((1-1)/(MaxLevel-1))^(2^F279),0),D279+(E279-D279)*(1+G279)*((1-1)/(MaxLevel-1))^(2^F279)))</f>
        <v>300</v>
      </c>
      <c r="I279" s="12">
        <f>IF(OR(D279="",E279=""),"",IF(IFERROR(INDEX(Stats!$D:$D,MATCH($C279,Stats!$A:$A,0)),FALSE),ROUND(D279+(E279-D279)*(1+G279)*((2-1)/(MaxLevel-1))^(2^F279),0),D279+(E279-D279)*(1+G279)*((2-1)/(MaxLevel-1))^(2^F279)))</f>
        <v>302.22222222222223</v>
      </c>
      <c r="J279" s="12">
        <f>IF(OR(D279="",E279=""),"",IF(IFERROR(INDEX(Stats!$D:$D,MATCH($C279,Stats!$A:$A,0)),FALSE),ROUND(D279+(E279-D279)*(1+G279)*((3-1)/(MaxLevel-1))^(2^F279),0),D279+(E279-D279)*(1+G279)*((3-1)/(MaxLevel-1))^(2^F279)))</f>
        <v>304.44444444444446</v>
      </c>
      <c r="K279" s="12">
        <f>IF(OR(D279="",E279=""),"",IF(IFERROR(INDEX(Stats!$D:$D,MATCH($C279,Stats!$A:$A,0)),FALSE),ROUND(D279+(E279-D279)*(1+G279)*((4-1)/(MaxLevel-1))^(2^F279),0),D279+(E279-D279)*(1+G279)*((4-1)/(MaxLevel-1))^(2^F279)))</f>
        <v>306.66666666666669</v>
      </c>
      <c r="L279" s="12">
        <f>IF(OR(D279="",E279=""),"",IF(IFERROR(INDEX(Stats!$D:$D,MATCH($C279,Stats!$A:$A,0)),FALSE),ROUND(D279+(E279-D279)*(1+G279)*((5-1)/(MaxLevel-1))^(2^F279),0),D279+(E279-D279)*(1+G279)*((5-1)/(MaxLevel-1))^(2^F279)))</f>
        <v>308.88888888888891</v>
      </c>
      <c r="M279" s="12">
        <f>IF(OR(D279="",E279=""),"",IF(IFERROR(INDEX(Stats!$D:$D,MATCH($C279,Stats!$A:$A,0)),FALSE),ROUND(D279+(E279-D279)*(1+G279)*((6-1)/(MaxLevel-1))^(2^F279),0),D279+(E279-D279)*(1+G279)*((6-1)/(MaxLevel-1))^(2^F279)))</f>
        <v>311.11111111111109</v>
      </c>
      <c r="N279" s="12">
        <f>IF(OR(D279="",E279=""),"",IF(IFERROR(INDEX(Stats!$D:$D,MATCH($C279,Stats!$A:$A,0)),FALSE),ROUND(D279+(E279-D279)*(1+G279)*((7-1)/(MaxLevel-1))^(2^F279),0),D279+(E279-D279)*(1+G279)*((7-1)/(MaxLevel-1))^(2^F279)))</f>
        <v>313.33333333333331</v>
      </c>
      <c r="O279" s="12">
        <f>IF(OR(D279="",E279=""),"",IF(IFERROR(INDEX(Stats!$D:$D,MATCH($C279,Stats!$A:$A,0)),FALSE),ROUND(D279+(E279-D279)*(1+G279)*((8-1)/(MaxLevel-1))^(2^F279),0),D279+(E279-D279)*(1+G279)*((8-1)/(MaxLevel-1))^(2^F279)))</f>
        <v>315.55555555555554</v>
      </c>
      <c r="P279" s="12">
        <f>IF(OR(D279="",E279=""),"",IF(IFERROR(INDEX(Stats!$D:$D,MATCH($C279,Stats!$A:$A,0)),FALSE),ROUND(D279+(E279-D279)*(1+G279)*((9-1)/(MaxLevel-1))^(2^F279),0),D279+(E279-D279)*(1+G279)*((9-1)/(MaxLevel-1))^(2^F279)))</f>
        <v>317.77777777777777</v>
      </c>
      <c r="Q279" s="12">
        <f>IF(OR(D279="",E279=""),"",IF(IFERROR(INDEX(Stats!$D:$D,MATCH($C279,Stats!$A:$A,0)),FALSE),ROUND(D279+(E279-D279)*(1+G279)*((10-1)/(MaxLevel-1))^(2^F279),0),D279+(E279-D279)*(1+G279)*((10-1)/(MaxLevel-1))^(2^F279)))</f>
        <v>320</v>
      </c>
    </row>
    <row r="280" spans="1:17" x14ac:dyDescent="0.25">
      <c r="A280" s="4" t="s">
        <v>185</v>
      </c>
      <c r="B280" s="19" t="s">
        <v>229</v>
      </c>
      <c r="C280" s="4" t="s">
        <v>48</v>
      </c>
      <c r="D280" s="5"/>
      <c r="E280" s="5"/>
      <c r="F280" s="5"/>
      <c r="G280" s="5"/>
      <c r="H280" s="12" t="str">
        <f>IF(OR(D280="",E280=""),"",IF(IFERROR(INDEX(Stats!$D:$D,MATCH($C280,Stats!$A:$A,0)),FALSE),ROUND(D280+(E280-D280)*(1+G280)*((1-1)/(MaxLevel-1))^(2^F280),0),D280+(E280-D280)*(1+G280)*((1-1)/(MaxLevel-1))^(2^F280)))</f>
        <v/>
      </c>
      <c r="I280" s="12" t="str">
        <f>IF(OR(D280="",E280=""),"",IF(IFERROR(INDEX(Stats!$D:$D,MATCH($C280,Stats!$A:$A,0)),FALSE),ROUND(D280+(E280-D280)*(1+G280)*((2-1)/(MaxLevel-1))^(2^F280),0),D280+(E280-D280)*(1+G280)*((2-1)/(MaxLevel-1))^(2^F280)))</f>
        <v/>
      </c>
      <c r="J280" s="12" t="str">
        <f>IF(OR(D280="",E280=""),"",IF(IFERROR(INDEX(Stats!$D:$D,MATCH($C280,Stats!$A:$A,0)),FALSE),ROUND(D280+(E280-D280)*(1+G280)*((3-1)/(MaxLevel-1))^(2^F280),0),D280+(E280-D280)*(1+G280)*((3-1)/(MaxLevel-1))^(2^F280)))</f>
        <v/>
      </c>
      <c r="K280" s="12" t="str">
        <f>IF(OR(D280="",E280=""),"",IF(IFERROR(INDEX(Stats!$D:$D,MATCH($C280,Stats!$A:$A,0)),FALSE),ROUND(D280+(E280-D280)*(1+G280)*((4-1)/(MaxLevel-1))^(2^F280),0),D280+(E280-D280)*(1+G280)*((4-1)/(MaxLevel-1))^(2^F280)))</f>
        <v/>
      </c>
      <c r="L280" s="12" t="str">
        <f>IF(OR(D280="",E280=""),"",IF(IFERROR(INDEX(Stats!$D:$D,MATCH($C280,Stats!$A:$A,0)),FALSE),ROUND(D280+(E280-D280)*(1+G280)*((5-1)/(MaxLevel-1))^(2^F280),0),D280+(E280-D280)*(1+G280)*((5-1)/(MaxLevel-1))^(2^F280)))</f>
        <v/>
      </c>
      <c r="M280" s="12" t="str">
        <f>IF(OR(D280="",E280=""),"",IF(IFERROR(INDEX(Stats!$D:$D,MATCH($C280,Stats!$A:$A,0)),FALSE),ROUND(D280+(E280-D280)*(1+G280)*((6-1)/(MaxLevel-1))^(2^F280),0),D280+(E280-D280)*(1+G280)*((6-1)/(MaxLevel-1))^(2^F280)))</f>
        <v/>
      </c>
      <c r="N280" s="12" t="str">
        <f>IF(OR(D280="",E280=""),"",IF(IFERROR(INDEX(Stats!$D:$D,MATCH($C280,Stats!$A:$A,0)),FALSE),ROUND(D280+(E280-D280)*(1+G280)*((7-1)/(MaxLevel-1))^(2^F280),0),D280+(E280-D280)*(1+G280)*((7-1)/(MaxLevel-1))^(2^F280)))</f>
        <v/>
      </c>
      <c r="O280" s="12" t="str">
        <f>IF(OR(D280="",E280=""),"",IF(IFERROR(INDEX(Stats!$D:$D,MATCH($C280,Stats!$A:$A,0)),FALSE),ROUND(D280+(E280-D280)*(1+G280)*((8-1)/(MaxLevel-1))^(2^F280),0),D280+(E280-D280)*(1+G280)*((8-1)/(MaxLevel-1))^(2^F280)))</f>
        <v/>
      </c>
      <c r="P280" s="12" t="str">
        <f>IF(OR(D280="",E280=""),"",IF(IFERROR(INDEX(Stats!$D:$D,MATCH($C280,Stats!$A:$A,0)),FALSE),ROUND(D280+(E280-D280)*(1+G280)*((9-1)/(MaxLevel-1))^(2^F280),0),D280+(E280-D280)*(1+G280)*((9-1)/(MaxLevel-1))^(2^F280)))</f>
        <v/>
      </c>
      <c r="Q280" s="12" t="str">
        <f>IF(OR(D280="",E280=""),"",IF(IFERROR(INDEX(Stats!$D:$D,MATCH($C280,Stats!$A:$A,0)),FALSE),ROUND(D280+(E280-D280)*(1+G280)*((10-1)/(MaxLevel-1))^(2^F280),0),D280+(E280-D280)*(1+G280)*((10-1)/(MaxLevel-1))^(2^F280)))</f>
        <v/>
      </c>
    </row>
    <row r="281" spans="1:17" x14ac:dyDescent="0.25">
      <c r="A281" s="4" t="s">
        <v>185</v>
      </c>
      <c r="B281" s="19" t="s">
        <v>229</v>
      </c>
      <c r="C281" s="4" t="s">
        <v>50</v>
      </c>
      <c r="D281" s="5"/>
      <c r="E281" s="5"/>
      <c r="F281" s="5"/>
      <c r="G281" s="5"/>
      <c r="H281" s="12" t="str">
        <f>IF(OR(D281="",E281=""),"",IF(IFERROR(INDEX(Stats!$D:$D,MATCH($C281,Stats!$A:$A,0)),FALSE),ROUND(D281+(E281-D281)*(1+G281)*((1-1)/(MaxLevel-1))^(2^F281),0),D281+(E281-D281)*(1+G281)*((1-1)/(MaxLevel-1))^(2^F281)))</f>
        <v/>
      </c>
      <c r="I281" s="12" t="str">
        <f>IF(OR(D281="",E281=""),"",IF(IFERROR(INDEX(Stats!$D:$D,MATCH($C281,Stats!$A:$A,0)),FALSE),ROUND(D281+(E281-D281)*(1+G281)*((2-1)/(MaxLevel-1))^(2^F281),0),D281+(E281-D281)*(1+G281)*((2-1)/(MaxLevel-1))^(2^F281)))</f>
        <v/>
      </c>
      <c r="J281" s="12" t="str">
        <f>IF(OR(D281="",E281=""),"",IF(IFERROR(INDEX(Stats!$D:$D,MATCH($C281,Stats!$A:$A,0)),FALSE),ROUND(D281+(E281-D281)*(1+G281)*((3-1)/(MaxLevel-1))^(2^F281),0),D281+(E281-D281)*(1+G281)*((3-1)/(MaxLevel-1))^(2^F281)))</f>
        <v/>
      </c>
      <c r="K281" s="12" t="str">
        <f>IF(OR(D281="",E281=""),"",IF(IFERROR(INDEX(Stats!$D:$D,MATCH($C281,Stats!$A:$A,0)),FALSE),ROUND(D281+(E281-D281)*(1+G281)*((4-1)/(MaxLevel-1))^(2^F281),0),D281+(E281-D281)*(1+G281)*((4-1)/(MaxLevel-1))^(2^F281)))</f>
        <v/>
      </c>
      <c r="L281" s="12" t="str">
        <f>IF(OR(D281="",E281=""),"",IF(IFERROR(INDEX(Stats!$D:$D,MATCH($C281,Stats!$A:$A,0)),FALSE),ROUND(D281+(E281-D281)*(1+G281)*((5-1)/(MaxLevel-1))^(2^F281),0),D281+(E281-D281)*(1+G281)*((5-1)/(MaxLevel-1))^(2^F281)))</f>
        <v/>
      </c>
      <c r="M281" s="12" t="str">
        <f>IF(OR(D281="",E281=""),"",IF(IFERROR(INDEX(Stats!$D:$D,MATCH($C281,Stats!$A:$A,0)),FALSE),ROUND(D281+(E281-D281)*(1+G281)*((6-1)/(MaxLevel-1))^(2^F281),0),D281+(E281-D281)*(1+G281)*((6-1)/(MaxLevel-1))^(2^F281)))</f>
        <v/>
      </c>
      <c r="N281" s="12" t="str">
        <f>IF(OR(D281="",E281=""),"",IF(IFERROR(INDEX(Stats!$D:$D,MATCH($C281,Stats!$A:$A,0)),FALSE),ROUND(D281+(E281-D281)*(1+G281)*((7-1)/(MaxLevel-1))^(2^F281),0),D281+(E281-D281)*(1+G281)*((7-1)/(MaxLevel-1))^(2^F281)))</f>
        <v/>
      </c>
      <c r="O281" s="12" t="str">
        <f>IF(OR(D281="",E281=""),"",IF(IFERROR(INDEX(Stats!$D:$D,MATCH($C281,Stats!$A:$A,0)),FALSE),ROUND(D281+(E281-D281)*(1+G281)*((8-1)/(MaxLevel-1))^(2^F281),0),D281+(E281-D281)*(1+G281)*((8-1)/(MaxLevel-1))^(2^F281)))</f>
        <v/>
      </c>
      <c r="P281" s="12" t="str">
        <f>IF(OR(D281="",E281=""),"",IF(IFERROR(INDEX(Stats!$D:$D,MATCH($C281,Stats!$A:$A,0)),FALSE),ROUND(D281+(E281-D281)*(1+G281)*((9-1)/(MaxLevel-1))^(2^F281),0),D281+(E281-D281)*(1+G281)*((9-1)/(MaxLevel-1))^(2^F281)))</f>
        <v/>
      </c>
      <c r="Q281" s="12" t="str">
        <f>IF(OR(D281="",E281=""),"",IF(IFERROR(INDEX(Stats!$D:$D,MATCH($C281,Stats!$A:$A,0)),FALSE),ROUND(D281+(E281-D281)*(1+G281)*((10-1)/(MaxLevel-1))^(2^F281),0),D281+(E281-D281)*(1+G281)*((10-1)/(MaxLevel-1))^(2^F281)))</f>
        <v/>
      </c>
    </row>
    <row r="282" spans="1:17" x14ac:dyDescent="0.25">
      <c r="A282" s="4" t="s">
        <v>185</v>
      </c>
      <c r="B282" s="19" t="s">
        <v>229</v>
      </c>
      <c r="C282" s="4" t="s">
        <v>52</v>
      </c>
      <c r="D282" s="5"/>
      <c r="E282" s="5"/>
      <c r="F282" s="5"/>
      <c r="G282" s="5"/>
      <c r="H282" s="12" t="str">
        <f>IF(OR(D282="",E282=""),"",IF(IFERROR(INDEX(Stats!$D:$D,MATCH($C282,Stats!$A:$A,0)),FALSE),ROUND(D282+(E282-D282)*(1+G282)*((1-1)/(MaxLevel-1))^(2^F282),0),D282+(E282-D282)*(1+G282)*((1-1)/(MaxLevel-1))^(2^F282)))</f>
        <v/>
      </c>
      <c r="I282" s="12" t="str">
        <f>IF(OR(D282="",E282=""),"",IF(IFERROR(INDEX(Stats!$D:$D,MATCH($C282,Stats!$A:$A,0)),FALSE),ROUND(D282+(E282-D282)*(1+G282)*((2-1)/(MaxLevel-1))^(2^F282),0),D282+(E282-D282)*(1+G282)*((2-1)/(MaxLevel-1))^(2^F282)))</f>
        <v/>
      </c>
      <c r="J282" s="12" t="str">
        <f>IF(OR(D282="",E282=""),"",IF(IFERROR(INDEX(Stats!$D:$D,MATCH($C282,Stats!$A:$A,0)),FALSE),ROUND(D282+(E282-D282)*(1+G282)*((3-1)/(MaxLevel-1))^(2^F282),0),D282+(E282-D282)*(1+G282)*((3-1)/(MaxLevel-1))^(2^F282)))</f>
        <v/>
      </c>
      <c r="K282" s="12" t="str">
        <f>IF(OR(D282="",E282=""),"",IF(IFERROR(INDEX(Stats!$D:$D,MATCH($C282,Stats!$A:$A,0)),FALSE),ROUND(D282+(E282-D282)*(1+G282)*((4-1)/(MaxLevel-1))^(2^F282),0),D282+(E282-D282)*(1+G282)*((4-1)/(MaxLevel-1))^(2^F282)))</f>
        <v/>
      </c>
      <c r="L282" s="12" t="str">
        <f>IF(OR(D282="",E282=""),"",IF(IFERROR(INDEX(Stats!$D:$D,MATCH($C282,Stats!$A:$A,0)),FALSE),ROUND(D282+(E282-D282)*(1+G282)*((5-1)/(MaxLevel-1))^(2^F282),0),D282+(E282-D282)*(1+G282)*((5-1)/(MaxLevel-1))^(2^F282)))</f>
        <v/>
      </c>
      <c r="M282" s="12" t="str">
        <f>IF(OR(D282="",E282=""),"",IF(IFERROR(INDEX(Stats!$D:$D,MATCH($C282,Stats!$A:$A,0)),FALSE),ROUND(D282+(E282-D282)*(1+G282)*((6-1)/(MaxLevel-1))^(2^F282),0),D282+(E282-D282)*(1+G282)*((6-1)/(MaxLevel-1))^(2^F282)))</f>
        <v/>
      </c>
      <c r="N282" s="12" t="str">
        <f>IF(OR(D282="",E282=""),"",IF(IFERROR(INDEX(Stats!$D:$D,MATCH($C282,Stats!$A:$A,0)),FALSE),ROUND(D282+(E282-D282)*(1+G282)*((7-1)/(MaxLevel-1))^(2^F282),0),D282+(E282-D282)*(1+G282)*((7-1)/(MaxLevel-1))^(2^F282)))</f>
        <v/>
      </c>
      <c r="O282" s="12" t="str">
        <f>IF(OR(D282="",E282=""),"",IF(IFERROR(INDEX(Stats!$D:$D,MATCH($C282,Stats!$A:$A,0)),FALSE),ROUND(D282+(E282-D282)*(1+G282)*((8-1)/(MaxLevel-1))^(2^F282),0),D282+(E282-D282)*(1+G282)*((8-1)/(MaxLevel-1))^(2^F282)))</f>
        <v/>
      </c>
      <c r="P282" s="12" t="str">
        <f>IF(OR(D282="",E282=""),"",IF(IFERROR(INDEX(Stats!$D:$D,MATCH($C282,Stats!$A:$A,0)),FALSE),ROUND(D282+(E282-D282)*(1+G282)*((9-1)/(MaxLevel-1))^(2^F282),0),D282+(E282-D282)*(1+G282)*((9-1)/(MaxLevel-1))^(2^F282)))</f>
        <v/>
      </c>
      <c r="Q282" s="12" t="str">
        <f>IF(OR(D282="",E282=""),"",IF(IFERROR(INDEX(Stats!$D:$D,MATCH($C282,Stats!$A:$A,0)),FALSE),ROUND(D282+(E282-D282)*(1+G282)*((10-1)/(MaxLevel-1))^(2^F282),0),D282+(E282-D282)*(1+G282)*((10-1)/(MaxLevel-1))^(2^F282)))</f>
        <v/>
      </c>
    </row>
    <row r="283" spans="1:17" x14ac:dyDescent="0.25">
      <c r="A283" s="4" t="s">
        <v>185</v>
      </c>
      <c r="B283" s="19" t="s">
        <v>229</v>
      </c>
      <c r="C283" s="4" t="s">
        <v>54</v>
      </c>
      <c r="D283" s="5"/>
      <c r="E283" s="5"/>
      <c r="F283" s="5"/>
      <c r="G283" s="5"/>
      <c r="H283" s="12" t="str">
        <f>IF(OR(D283="",E283=""),"",IF(IFERROR(INDEX(Stats!$D:$D,MATCH($C283,Stats!$A:$A,0)),FALSE),ROUND(D283+(E283-D283)*(1+G283)*((1-1)/(MaxLevel-1))^(2^F283),0),D283+(E283-D283)*(1+G283)*((1-1)/(MaxLevel-1))^(2^F283)))</f>
        <v/>
      </c>
      <c r="I283" s="12" t="str">
        <f>IF(OR(D283="",E283=""),"",IF(IFERROR(INDEX(Stats!$D:$D,MATCH($C283,Stats!$A:$A,0)),FALSE),ROUND(D283+(E283-D283)*(1+G283)*((2-1)/(MaxLevel-1))^(2^F283),0),D283+(E283-D283)*(1+G283)*((2-1)/(MaxLevel-1))^(2^F283)))</f>
        <v/>
      </c>
      <c r="J283" s="12" t="str">
        <f>IF(OR(D283="",E283=""),"",IF(IFERROR(INDEX(Stats!$D:$D,MATCH($C283,Stats!$A:$A,0)),FALSE),ROUND(D283+(E283-D283)*(1+G283)*((3-1)/(MaxLevel-1))^(2^F283),0),D283+(E283-D283)*(1+G283)*((3-1)/(MaxLevel-1))^(2^F283)))</f>
        <v/>
      </c>
      <c r="K283" s="12" t="str">
        <f>IF(OR(D283="",E283=""),"",IF(IFERROR(INDEX(Stats!$D:$D,MATCH($C283,Stats!$A:$A,0)),FALSE),ROUND(D283+(E283-D283)*(1+G283)*((4-1)/(MaxLevel-1))^(2^F283),0),D283+(E283-D283)*(1+G283)*((4-1)/(MaxLevel-1))^(2^F283)))</f>
        <v/>
      </c>
      <c r="L283" s="12" t="str">
        <f>IF(OR(D283="",E283=""),"",IF(IFERROR(INDEX(Stats!$D:$D,MATCH($C283,Stats!$A:$A,0)),FALSE),ROUND(D283+(E283-D283)*(1+G283)*((5-1)/(MaxLevel-1))^(2^F283),0),D283+(E283-D283)*(1+G283)*((5-1)/(MaxLevel-1))^(2^F283)))</f>
        <v/>
      </c>
      <c r="M283" s="12" t="str">
        <f>IF(OR(D283="",E283=""),"",IF(IFERROR(INDEX(Stats!$D:$D,MATCH($C283,Stats!$A:$A,0)),FALSE),ROUND(D283+(E283-D283)*(1+G283)*((6-1)/(MaxLevel-1))^(2^F283),0),D283+(E283-D283)*(1+G283)*((6-1)/(MaxLevel-1))^(2^F283)))</f>
        <v/>
      </c>
      <c r="N283" s="12" t="str">
        <f>IF(OR(D283="",E283=""),"",IF(IFERROR(INDEX(Stats!$D:$D,MATCH($C283,Stats!$A:$A,0)),FALSE),ROUND(D283+(E283-D283)*(1+G283)*((7-1)/(MaxLevel-1))^(2^F283),0),D283+(E283-D283)*(1+G283)*((7-1)/(MaxLevel-1))^(2^F283)))</f>
        <v/>
      </c>
      <c r="O283" s="12" t="str">
        <f>IF(OR(D283="",E283=""),"",IF(IFERROR(INDEX(Stats!$D:$D,MATCH($C283,Stats!$A:$A,0)),FALSE),ROUND(D283+(E283-D283)*(1+G283)*((8-1)/(MaxLevel-1))^(2^F283),0),D283+(E283-D283)*(1+G283)*((8-1)/(MaxLevel-1))^(2^F283)))</f>
        <v/>
      </c>
      <c r="P283" s="12" t="str">
        <f>IF(OR(D283="",E283=""),"",IF(IFERROR(INDEX(Stats!$D:$D,MATCH($C283,Stats!$A:$A,0)),FALSE),ROUND(D283+(E283-D283)*(1+G283)*((9-1)/(MaxLevel-1))^(2^F283),0),D283+(E283-D283)*(1+G283)*((9-1)/(MaxLevel-1))^(2^F283)))</f>
        <v/>
      </c>
      <c r="Q283" s="12" t="str">
        <f>IF(OR(D283="",E283=""),"",IF(IFERROR(INDEX(Stats!$D:$D,MATCH($C283,Stats!$A:$A,0)),FALSE),ROUND(D283+(E283-D283)*(1+G283)*((10-1)/(MaxLevel-1))^(2^F283),0),D283+(E283-D283)*(1+G283)*((10-1)/(MaxLevel-1))^(2^F283)))</f>
        <v/>
      </c>
    </row>
    <row r="284" spans="1:17" x14ac:dyDescent="0.25">
      <c r="A284" s="4" t="s">
        <v>185</v>
      </c>
      <c r="B284" s="19" t="s">
        <v>229</v>
      </c>
      <c r="C284" s="4" t="s">
        <v>56</v>
      </c>
      <c r="D284" s="5"/>
      <c r="E284" s="5"/>
      <c r="F284" s="5"/>
      <c r="G284" s="5"/>
      <c r="H284" s="12" t="str">
        <f>IF(OR(D284="",E284=""),"",IF(IFERROR(INDEX(Stats!$D:$D,MATCH($C284,Stats!$A:$A,0)),FALSE),ROUND(D284+(E284-D284)*(1+G284)*((1-1)/(MaxLevel-1))^(2^F284),0),D284+(E284-D284)*(1+G284)*((1-1)/(MaxLevel-1))^(2^F284)))</f>
        <v/>
      </c>
      <c r="I284" s="12" t="str">
        <f>IF(OR(D284="",E284=""),"",IF(IFERROR(INDEX(Stats!$D:$D,MATCH($C284,Stats!$A:$A,0)),FALSE),ROUND(D284+(E284-D284)*(1+G284)*((2-1)/(MaxLevel-1))^(2^F284),0),D284+(E284-D284)*(1+G284)*((2-1)/(MaxLevel-1))^(2^F284)))</f>
        <v/>
      </c>
      <c r="J284" s="12" t="str">
        <f>IF(OR(D284="",E284=""),"",IF(IFERROR(INDEX(Stats!$D:$D,MATCH($C284,Stats!$A:$A,0)),FALSE),ROUND(D284+(E284-D284)*(1+G284)*((3-1)/(MaxLevel-1))^(2^F284),0),D284+(E284-D284)*(1+G284)*((3-1)/(MaxLevel-1))^(2^F284)))</f>
        <v/>
      </c>
      <c r="K284" s="12" t="str">
        <f>IF(OR(D284="",E284=""),"",IF(IFERROR(INDEX(Stats!$D:$D,MATCH($C284,Stats!$A:$A,0)),FALSE),ROUND(D284+(E284-D284)*(1+G284)*((4-1)/(MaxLevel-1))^(2^F284),0),D284+(E284-D284)*(1+G284)*((4-1)/(MaxLevel-1))^(2^F284)))</f>
        <v/>
      </c>
      <c r="L284" s="12" t="str">
        <f>IF(OR(D284="",E284=""),"",IF(IFERROR(INDEX(Stats!$D:$D,MATCH($C284,Stats!$A:$A,0)),FALSE),ROUND(D284+(E284-D284)*(1+G284)*((5-1)/(MaxLevel-1))^(2^F284),0),D284+(E284-D284)*(1+G284)*((5-1)/(MaxLevel-1))^(2^F284)))</f>
        <v/>
      </c>
      <c r="M284" s="12" t="str">
        <f>IF(OR(D284="",E284=""),"",IF(IFERROR(INDEX(Stats!$D:$D,MATCH($C284,Stats!$A:$A,0)),FALSE),ROUND(D284+(E284-D284)*(1+G284)*((6-1)/(MaxLevel-1))^(2^F284),0),D284+(E284-D284)*(1+G284)*((6-1)/(MaxLevel-1))^(2^F284)))</f>
        <v/>
      </c>
      <c r="N284" s="12" t="str">
        <f>IF(OR(D284="",E284=""),"",IF(IFERROR(INDEX(Stats!$D:$D,MATCH($C284,Stats!$A:$A,0)),FALSE),ROUND(D284+(E284-D284)*(1+G284)*((7-1)/(MaxLevel-1))^(2^F284),0),D284+(E284-D284)*(1+G284)*((7-1)/(MaxLevel-1))^(2^F284)))</f>
        <v/>
      </c>
      <c r="O284" s="12" t="str">
        <f>IF(OR(D284="",E284=""),"",IF(IFERROR(INDEX(Stats!$D:$D,MATCH($C284,Stats!$A:$A,0)),FALSE),ROUND(D284+(E284-D284)*(1+G284)*((8-1)/(MaxLevel-1))^(2^F284),0),D284+(E284-D284)*(1+G284)*((8-1)/(MaxLevel-1))^(2^F284)))</f>
        <v/>
      </c>
      <c r="P284" s="12" t="str">
        <f>IF(OR(D284="",E284=""),"",IF(IFERROR(INDEX(Stats!$D:$D,MATCH($C284,Stats!$A:$A,0)),FALSE),ROUND(D284+(E284-D284)*(1+G284)*((9-1)/(MaxLevel-1))^(2^F284),0),D284+(E284-D284)*(1+G284)*((9-1)/(MaxLevel-1))^(2^F284)))</f>
        <v/>
      </c>
      <c r="Q284" s="12" t="str">
        <f>IF(OR(D284="",E284=""),"",IF(IFERROR(INDEX(Stats!$D:$D,MATCH($C284,Stats!$A:$A,0)),FALSE),ROUND(D284+(E284-D284)*(1+G284)*((10-1)/(MaxLevel-1))^(2^F284),0),D284+(E284-D284)*(1+G284)*((10-1)/(MaxLevel-1))^(2^F284)))</f>
        <v/>
      </c>
    </row>
    <row r="285" spans="1:17" x14ac:dyDescent="0.25">
      <c r="A285" s="4" t="s">
        <v>185</v>
      </c>
      <c r="B285" s="19" t="s">
        <v>229</v>
      </c>
      <c r="C285" s="4" t="s">
        <v>58</v>
      </c>
      <c r="D285" s="5"/>
      <c r="E285" s="5"/>
      <c r="F285" s="5"/>
      <c r="G285" s="5"/>
      <c r="H285" s="12" t="str">
        <f>IF(OR(D285="",E285=""),"",IF(IFERROR(INDEX(Stats!$D:$D,MATCH($C285,Stats!$A:$A,0)),FALSE),ROUND(D285+(E285-D285)*(1+G285)*((1-1)/(MaxLevel-1))^(2^F285),0),D285+(E285-D285)*(1+G285)*((1-1)/(MaxLevel-1))^(2^F285)))</f>
        <v/>
      </c>
      <c r="I285" s="12" t="str">
        <f>IF(OR(D285="",E285=""),"",IF(IFERROR(INDEX(Stats!$D:$D,MATCH($C285,Stats!$A:$A,0)),FALSE),ROUND(D285+(E285-D285)*(1+G285)*((2-1)/(MaxLevel-1))^(2^F285),0),D285+(E285-D285)*(1+G285)*((2-1)/(MaxLevel-1))^(2^F285)))</f>
        <v/>
      </c>
      <c r="J285" s="12" t="str">
        <f>IF(OR(D285="",E285=""),"",IF(IFERROR(INDEX(Stats!$D:$D,MATCH($C285,Stats!$A:$A,0)),FALSE),ROUND(D285+(E285-D285)*(1+G285)*((3-1)/(MaxLevel-1))^(2^F285),0),D285+(E285-D285)*(1+G285)*((3-1)/(MaxLevel-1))^(2^F285)))</f>
        <v/>
      </c>
      <c r="K285" s="12" t="str">
        <f>IF(OR(D285="",E285=""),"",IF(IFERROR(INDEX(Stats!$D:$D,MATCH($C285,Stats!$A:$A,0)),FALSE),ROUND(D285+(E285-D285)*(1+G285)*((4-1)/(MaxLevel-1))^(2^F285),0),D285+(E285-D285)*(1+G285)*((4-1)/(MaxLevel-1))^(2^F285)))</f>
        <v/>
      </c>
      <c r="L285" s="12" t="str">
        <f>IF(OR(D285="",E285=""),"",IF(IFERROR(INDEX(Stats!$D:$D,MATCH($C285,Stats!$A:$A,0)),FALSE),ROUND(D285+(E285-D285)*(1+G285)*((5-1)/(MaxLevel-1))^(2^F285),0),D285+(E285-D285)*(1+G285)*((5-1)/(MaxLevel-1))^(2^F285)))</f>
        <v/>
      </c>
      <c r="M285" s="12" t="str">
        <f>IF(OR(D285="",E285=""),"",IF(IFERROR(INDEX(Stats!$D:$D,MATCH($C285,Stats!$A:$A,0)),FALSE),ROUND(D285+(E285-D285)*(1+G285)*((6-1)/(MaxLevel-1))^(2^F285),0),D285+(E285-D285)*(1+G285)*((6-1)/(MaxLevel-1))^(2^F285)))</f>
        <v/>
      </c>
      <c r="N285" s="12" t="str">
        <f>IF(OR(D285="",E285=""),"",IF(IFERROR(INDEX(Stats!$D:$D,MATCH($C285,Stats!$A:$A,0)),FALSE),ROUND(D285+(E285-D285)*(1+G285)*((7-1)/(MaxLevel-1))^(2^F285),0),D285+(E285-D285)*(1+G285)*((7-1)/(MaxLevel-1))^(2^F285)))</f>
        <v/>
      </c>
      <c r="O285" s="12" t="str">
        <f>IF(OR(D285="",E285=""),"",IF(IFERROR(INDEX(Stats!$D:$D,MATCH($C285,Stats!$A:$A,0)),FALSE),ROUND(D285+(E285-D285)*(1+G285)*((8-1)/(MaxLevel-1))^(2^F285),0),D285+(E285-D285)*(1+G285)*((8-1)/(MaxLevel-1))^(2^F285)))</f>
        <v/>
      </c>
      <c r="P285" s="12" t="str">
        <f>IF(OR(D285="",E285=""),"",IF(IFERROR(INDEX(Stats!$D:$D,MATCH($C285,Stats!$A:$A,0)),FALSE),ROUND(D285+(E285-D285)*(1+G285)*((9-1)/(MaxLevel-1))^(2^F285),0),D285+(E285-D285)*(1+G285)*((9-1)/(MaxLevel-1))^(2^F285)))</f>
        <v/>
      </c>
      <c r="Q285" s="12" t="str">
        <f>IF(OR(D285="",E285=""),"",IF(IFERROR(INDEX(Stats!$D:$D,MATCH($C285,Stats!$A:$A,0)),FALSE),ROUND(D285+(E285-D285)*(1+G285)*((10-1)/(MaxLevel-1))^(2^F285),0),D285+(E285-D285)*(1+G285)*((10-1)/(MaxLevel-1))^(2^F285)))</f>
        <v/>
      </c>
    </row>
    <row r="286" spans="1:17" x14ac:dyDescent="0.25">
      <c r="A286" s="4" t="s">
        <v>185</v>
      </c>
      <c r="B286" s="19" t="s">
        <v>229</v>
      </c>
      <c r="C286" s="4" t="s">
        <v>60</v>
      </c>
      <c r="D286" s="5"/>
      <c r="E286" s="5"/>
      <c r="F286" s="5"/>
      <c r="G286" s="5"/>
      <c r="H286" s="12" t="str">
        <f>IF(OR(D286="",E286=""),"",IF(IFERROR(INDEX(Stats!$D:$D,MATCH($C286,Stats!$A:$A,0)),FALSE),ROUND(D286+(E286-D286)*(1+G286)*((1-1)/(MaxLevel-1))^(2^F286),0),D286+(E286-D286)*(1+G286)*((1-1)/(MaxLevel-1))^(2^F286)))</f>
        <v/>
      </c>
      <c r="I286" s="12" t="str">
        <f>IF(OR(D286="",E286=""),"",IF(IFERROR(INDEX(Stats!$D:$D,MATCH($C286,Stats!$A:$A,0)),FALSE),ROUND(D286+(E286-D286)*(1+G286)*((2-1)/(MaxLevel-1))^(2^F286),0),D286+(E286-D286)*(1+G286)*((2-1)/(MaxLevel-1))^(2^F286)))</f>
        <v/>
      </c>
      <c r="J286" s="12" t="str">
        <f>IF(OR(D286="",E286=""),"",IF(IFERROR(INDEX(Stats!$D:$D,MATCH($C286,Stats!$A:$A,0)),FALSE),ROUND(D286+(E286-D286)*(1+G286)*((3-1)/(MaxLevel-1))^(2^F286),0),D286+(E286-D286)*(1+G286)*((3-1)/(MaxLevel-1))^(2^F286)))</f>
        <v/>
      </c>
      <c r="K286" s="12" t="str">
        <f>IF(OR(D286="",E286=""),"",IF(IFERROR(INDEX(Stats!$D:$D,MATCH($C286,Stats!$A:$A,0)),FALSE),ROUND(D286+(E286-D286)*(1+G286)*((4-1)/(MaxLevel-1))^(2^F286),0),D286+(E286-D286)*(1+G286)*((4-1)/(MaxLevel-1))^(2^F286)))</f>
        <v/>
      </c>
      <c r="L286" s="12" t="str">
        <f>IF(OR(D286="",E286=""),"",IF(IFERROR(INDEX(Stats!$D:$D,MATCH($C286,Stats!$A:$A,0)),FALSE),ROUND(D286+(E286-D286)*(1+G286)*((5-1)/(MaxLevel-1))^(2^F286),0),D286+(E286-D286)*(1+G286)*((5-1)/(MaxLevel-1))^(2^F286)))</f>
        <v/>
      </c>
      <c r="M286" s="12" t="str">
        <f>IF(OR(D286="",E286=""),"",IF(IFERROR(INDEX(Stats!$D:$D,MATCH($C286,Stats!$A:$A,0)),FALSE),ROUND(D286+(E286-D286)*(1+G286)*((6-1)/(MaxLevel-1))^(2^F286),0),D286+(E286-D286)*(1+G286)*((6-1)/(MaxLevel-1))^(2^F286)))</f>
        <v/>
      </c>
      <c r="N286" s="12" t="str">
        <f>IF(OR(D286="",E286=""),"",IF(IFERROR(INDEX(Stats!$D:$D,MATCH($C286,Stats!$A:$A,0)),FALSE),ROUND(D286+(E286-D286)*(1+G286)*((7-1)/(MaxLevel-1))^(2^F286),0),D286+(E286-D286)*(1+G286)*((7-1)/(MaxLevel-1))^(2^F286)))</f>
        <v/>
      </c>
      <c r="O286" s="12" t="str">
        <f>IF(OR(D286="",E286=""),"",IF(IFERROR(INDEX(Stats!$D:$D,MATCH($C286,Stats!$A:$A,0)),FALSE),ROUND(D286+(E286-D286)*(1+G286)*((8-1)/(MaxLevel-1))^(2^F286),0),D286+(E286-D286)*(1+G286)*((8-1)/(MaxLevel-1))^(2^F286)))</f>
        <v/>
      </c>
      <c r="P286" s="12" t="str">
        <f>IF(OR(D286="",E286=""),"",IF(IFERROR(INDEX(Stats!$D:$D,MATCH($C286,Stats!$A:$A,0)),FALSE),ROUND(D286+(E286-D286)*(1+G286)*((9-1)/(MaxLevel-1))^(2^F286),0),D286+(E286-D286)*(1+G286)*((9-1)/(MaxLevel-1))^(2^F286)))</f>
        <v/>
      </c>
      <c r="Q286" s="12" t="str">
        <f>IF(OR(D286="",E286=""),"",IF(IFERROR(INDEX(Stats!$D:$D,MATCH($C286,Stats!$A:$A,0)),FALSE),ROUND(D286+(E286-D286)*(1+G286)*((10-1)/(MaxLevel-1))^(2^F286),0),D286+(E286-D286)*(1+G286)*((10-1)/(MaxLevel-1))^(2^F286)))</f>
        <v/>
      </c>
    </row>
    <row r="287" spans="1:17" x14ac:dyDescent="0.25">
      <c r="A287" s="4" t="s">
        <v>185</v>
      </c>
      <c r="B287" s="19" t="s">
        <v>230</v>
      </c>
      <c r="C287" s="4" t="s">
        <v>24</v>
      </c>
      <c r="D287" s="5">
        <v>0</v>
      </c>
      <c r="E287" s="5">
        <v>5000</v>
      </c>
      <c r="F287" s="5">
        <v>1</v>
      </c>
      <c r="G287" s="5">
        <v>0</v>
      </c>
      <c r="H287" s="12">
        <f>IF(OR(D287="",E287=""),"",IF(IFERROR(INDEX(Stats!$D:$D,MATCH($C287,Stats!$A:$A,0)),FALSE),ROUND(D287+(E287-D287)*(1+G287)*((1-1)/(MaxLevel-1))^(2^F287),0),D287+(E287-D287)*(1+G287)*((1-1)/(MaxLevel-1))^(2^F287)))</f>
        <v>0</v>
      </c>
      <c r="I287" s="12">
        <f>IF(OR(D287="",E287=""),"",IF(IFERROR(INDEX(Stats!$D:$D,MATCH($C287,Stats!$A:$A,0)),FALSE),ROUND(D287+(E287-D287)*(1+G287)*((2-1)/(MaxLevel-1))^(2^F287),0),D287+(E287-D287)*(1+G287)*((2-1)/(MaxLevel-1))^(2^F287)))</f>
        <v>62</v>
      </c>
      <c r="J287" s="12">
        <f>IF(OR(D287="",E287=""),"",IF(IFERROR(INDEX(Stats!$D:$D,MATCH($C287,Stats!$A:$A,0)),FALSE),ROUND(D287+(E287-D287)*(1+G287)*((3-1)/(MaxLevel-1))^(2^F287),0),D287+(E287-D287)*(1+G287)*((3-1)/(MaxLevel-1))^(2^F287)))</f>
        <v>247</v>
      </c>
      <c r="K287" s="12">
        <f>IF(OR(D287="",E287=""),"",IF(IFERROR(INDEX(Stats!$D:$D,MATCH($C287,Stats!$A:$A,0)),FALSE),ROUND(D287+(E287-D287)*(1+G287)*((4-1)/(MaxLevel-1))^(2^F287),0),D287+(E287-D287)*(1+G287)*((4-1)/(MaxLevel-1))^(2^F287)))</f>
        <v>556</v>
      </c>
      <c r="L287" s="12">
        <f>IF(OR(D287="",E287=""),"",IF(IFERROR(INDEX(Stats!$D:$D,MATCH($C287,Stats!$A:$A,0)),FALSE),ROUND(D287+(E287-D287)*(1+G287)*((5-1)/(MaxLevel-1))^(2^F287),0),D287+(E287-D287)*(1+G287)*((5-1)/(MaxLevel-1))^(2^F287)))</f>
        <v>988</v>
      </c>
      <c r="M287" s="12">
        <f>IF(OR(D287="",E287=""),"",IF(IFERROR(INDEX(Stats!$D:$D,MATCH($C287,Stats!$A:$A,0)),FALSE),ROUND(D287+(E287-D287)*(1+G287)*((6-1)/(MaxLevel-1))^(2^F287),0),D287+(E287-D287)*(1+G287)*((6-1)/(MaxLevel-1))^(2^F287)))</f>
        <v>1543</v>
      </c>
      <c r="N287" s="12">
        <f>IF(OR(D287="",E287=""),"",IF(IFERROR(INDEX(Stats!$D:$D,MATCH($C287,Stats!$A:$A,0)),FALSE),ROUND(D287+(E287-D287)*(1+G287)*((7-1)/(MaxLevel-1))^(2^F287),0),D287+(E287-D287)*(1+G287)*((7-1)/(MaxLevel-1))^(2^F287)))</f>
        <v>2222</v>
      </c>
      <c r="O287" s="12">
        <f>IF(OR(D287="",E287=""),"",IF(IFERROR(INDEX(Stats!$D:$D,MATCH($C287,Stats!$A:$A,0)),FALSE),ROUND(D287+(E287-D287)*(1+G287)*((8-1)/(MaxLevel-1))^(2^F287),0),D287+(E287-D287)*(1+G287)*((8-1)/(MaxLevel-1))^(2^F287)))</f>
        <v>3025</v>
      </c>
      <c r="P287" s="12">
        <f>IF(OR(D287="",E287=""),"",IF(IFERROR(INDEX(Stats!$D:$D,MATCH($C287,Stats!$A:$A,0)),FALSE),ROUND(D287+(E287-D287)*(1+G287)*((9-1)/(MaxLevel-1))^(2^F287),0),D287+(E287-D287)*(1+G287)*((9-1)/(MaxLevel-1))^(2^F287)))</f>
        <v>3951</v>
      </c>
      <c r="Q287" s="12">
        <f>IF(OR(D287="",E287=""),"",IF(IFERROR(INDEX(Stats!$D:$D,MATCH($C287,Stats!$A:$A,0)),FALSE),ROUND(D287+(E287-D287)*(1+G287)*((10-1)/(MaxLevel-1))^(2^F287),0),D287+(E287-D287)*(1+G287)*((10-1)/(MaxLevel-1))^(2^F287)))</f>
        <v>5000</v>
      </c>
    </row>
    <row r="288" spans="1:17" x14ac:dyDescent="0.25">
      <c r="A288" s="4" t="s">
        <v>185</v>
      </c>
      <c r="B288" s="19" t="s">
        <v>230</v>
      </c>
      <c r="C288" s="4" t="s">
        <v>26</v>
      </c>
      <c r="D288" s="5">
        <v>10</v>
      </c>
      <c r="E288" s="5">
        <v>80</v>
      </c>
      <c r="F288" s="5">
        <v>0</v>
      </c>
      <c r="G288" s="5">
        <v>0</v>
      </c>
      <c r="H288" s="12">
        <f>IF(OR(D288="",E288=""),"",IF(IFERROR(INDEX(Stats!$D:$D,MATCH($C288,Stats!$A:$A,0)),FALSE),ROUND(D288+(E288-D288)*(1+G288)*((1-1)/(MaxLevel-1))^(2^F288),0),D288+(E288-D288)*(1+G288)*((1-1)/(MaxLevel-1))^(2^F288)))</f>
        <v>10</v>
      </c>
      <c r="I288" s="12">
        <f>IF(OR(D288="",E288=""),"",IF(IFERROR(INDEX(Stats!$D:$D,MATCH($C288,Stats!$A:$A,0)),FALSE),ROUND(D288+(E288-D288)*(1+G288)*((2-1)/(MaxLevel-1))^(2^F288),0),D288+(E288-D288)*(1+G288)*((2-1)/(MaxLevel-1))^(2^F288)))</f>
        <v>18</v>
      </c>
      <c r="J288" s="12">
        <f>IF(OR(D288="",E288=""),"",IF(IFERROR(INDEX(Stats!$D:$D,MATCH($C288,Stats!$A:$A,0)),FALSE),ROUND(D288+(E288-D288)*(1+G288)*((3-1)/(MaxLevel-1))^(2^F288),0),D288+(E288-D288)*(1+G288)*((3-1)/(MaxLevel-1))^(2^F288)))</f>
        <v>26</v>
      </c>
      <c r="K288" s="12">
        <f>IF(OR(D288="",E288=""),"",IF(IFERROR(INDEX(Stats!$D:$D,MATCH($C288,Stats!$A:$A,0)),FALSE),ROUND(D288+(E288-D288)*(1+G288)*((4-1)/(MaxLevel-1))^(2^F288),0),D288+(E288-D288)*(1+G288)*((4-1)/(MaxLevel-1))^(2^F288)))</f>
        <v>33</v>
      </c>
      <c r="L288" s="12">
        <f>IF(OR(D288="",E288=""),"",IF(IFERROR(INDEX(Stats!$D:$D,MATCH($C288,Stats!$A:$A,0)),FALSE),ROUND(D288+(E288-D288)*(1+G288)*((5-1)/(MaxLevel-1))^(2^F288),0),D288+(E288-D288)*(1+G288)*((5-1)/(MaxLevel-1))^(2^F288)))</f>
        <v>41</v>
      </c>
      <c r="M288" s="12">
        <f>IF(OR(D288="",E288=""),"",IF(IFERROR(INDEX(Stats!$D:$D,MATCH($C288,Stats!$A:$A,0)),FALSE),ROUND(D288+(E288-D288)*(1+G288)*((6-1)/(MaxLevel-1))^(2^F288),0),D288+(E288-D288)*(1+G288)*((6-1)/(MaxLevel-1))^(2^F288)))</f>
        <v>49</v>
      </c>
      <c r="N288" s="12">
        <f>IF(OR(D288="",E288=""),"",IF(IFERROR(INDEX(Stats!$D:$D,MATCH($C288,Stats!$A:$A,0)),FALSE),ROUND(D288+(E288-D288)*(1+G288)*((7-1)/(MaxLevel-1))^(2^F288),0),D288+(E288-D288)*(1+G288)*((7-1)/(MaxLevel-1))^(2^F288)))</f>
        <v>57</v>
      </c>
      <c r="O288" s="12">
        <f>IF(OR(D288="",E288=""),"",IF(IFERROR(INDEX(Stats!$D:$D,MATCH($C288,Stats!$A:$A,0)),FALSE),ROUND(D288+(E288-D288)*(1+G288)*((8-1)/(MaxLevel-1))^(2^F288),0),D288+(E288-D288)*(1+G288)*((8-1)/(MaxLevel-1))^(2^F288)))</f>
        <v>64</v>
      </c>
      <c r="P288" s="12">
        <f>IF(OR(D288="",E288=""),"",IF(IFERROR(INDEX(Stats!$D:$D,MATCH($C288,Stats!$A:$A,0)),FALSE),ROUND(D288+(E288-D288)*(1+G288)*((9-1)/(MaxLevel-1))^(2^F288),0),D288+(E288-D288)*(1+G288)*((9-1)/(MaxLevel-1))^(2^F288)))</f>
        <v>72</v>
      </c>
      <c r="Q288" s="12">
        <f>IF(OR(D288="",E288=""),"",IF(IFERROR(INDEX(Stats!$D:$D,MATCH($C288,Stats!$A:$A,0)),FALSE),ROUND(D288+(E288-D288)*(1+G288)*((10-1)/(MaxLevel-1))^(2^F288),0),D288+(E288-D288)*(1+G288)*((10-1)/(MaxLevel-1))^(2^F288)))</f>
        <v>80</v>
      </c>
    </row>
    <row r="289" spans="1:17" x14ac:dyDescent="0.25">
      <c r="A289" s="4" t="s">
        <v>185</v>
      </c>
      <c r="B289" s="19" t="s">
        <v>230</v>
      </c>
      <c r="C289" s="4" t="s">
        <v>28</v>
      </c>
      <c r="D289" s="5">
        <v>80</v>
      </c>
      <c r="E289" s="5">
        <v>400</v>
      </c>
      <c r="F289" s="5">
        <v>-0.5</v>
      </c>
      <c r="G289" s="5">
        <v>0</v>
      </c>
      <c r="H289" s="12">
        <f>IF(OR(D289="",E289=""),"",IF(IFERROR(INDEX(Stats!$D:$D,MATCH($C289,Stats!$A:$A,0)),FALSE),ROUND(D289+(E289-D289)*(1+G289)*((1-1)/(MaxLevel-1))^(2^F289),0),D289+(E289-D289)*(1+G289)*((1-1)/(MaxLevel-1))^(2^F289)))</f>
        <v>80</v>
      </c>
      <c r="I289" s="12">
        <f>IF(OR(D289="",E289=""),"",IF(IFERROR(INDEX(Stats!$D:$D,MATCH($C289,Stats!$A:$A,0)),FALSE),ROUND(D289+(E289-D289)*(1+G289)*((2-1)/(MaxLevel-1))^(2^F289),0),D289+(E289-D289)*(1+G289)*((2-1)/(MaxLevel-1))^(2^F289)))</f>
        <v>148</v>
      </c>
      <c r="J289" s="12">
        <f>IF(OR(D289="",E289=""),"",IF(IFERROR(INDEX(Stats!$D:$D,MATCH($C289,Stats!$A:$A,0)),FALSE),ROUND(D289+(E289-D289)*(1+G289)*((3-1)/(MaxLevel-1))^(2^F289),0),D289+(E289-D289)*(1+G289)*((3-1)/(MaxLevel-1))^(2^F289)))</f>
        <v>190</v>
      </c>
      <c r="K289" s="12">
        <f>IF(OR(D289="",E289=""),"",IF(IFERROR(INDEX(Stats!$D:$D,MATCH($C289,Stats!$A:$A,0)),FALSE),ROUND(D289+(E289-D289)*(1+G289)*((4-1)/(MaxLevel-1))^(2^F289),0),D289+(E289-D289)*(1+G289)*((4-1)/(MaxLevel-1))^(2^F289)))</f>
        <v>227</v>
      </c>
      <c r="L289" s="12">
        <f>IF(OR(D289="",E289=""),"",IF(IFERROR(INDEX(Stats!$D:$D,MATCH($C289,Stats!$A:$A,0)),FALSE),ROUND(D289+(E289-D289)*(1+G289)*((5-1)/(MaxLevel-1))^(2^F289),0),D289+(E289-D289)*(1+G289)*((5-1)/(MaxLevel-1))^(2^F289)))</f>
        <v>260</v>
      </c>
      <c r="M289" s="12">
        <f>IF(OR(D289="",E289=""),"",IF(IFERROR(INDEX(Stats!$D:$D,MATCH($C289,Stats!$A:$A,0)),FALSE),ROUND(D289+(E289-D289)*(1+G289)*((6-1)/(MaxLevel-1))^(2^F289),0),D289+(E289-D289)*(1+G289)*((6-1)/(MaxLevel-1))^(2^F289)))</f>
        <v>291</v>
      </c>
      <c r="N289" s="12">
        <f>IF(OR(D289="",E289=""),"",IF(IFERROR(INDEX(Stats!$D:$D,MATCH($C289,Stats!$A:$A,0)),FALSE),ROUND(D289+(E289-D289)*(1+G289)*((7-1)/(MaxLevel-1))^(2^F289),0),D289+(E289-D289)*(1+G289)*((7-1)/(MaxLevel-1))^(2^F289)))</f>
        <v>320</v>
      </c>
      <c r="O289" s="12">
        <f>IF(OR(D289="",E289=""),"",IF(IFERROR(INDEX(Stats!$D:$D,MATCH($C289,Stats!$A:$A,0)),FALSE),ROUND(D289+(E289-D289)*(1+G289)*((8-1)/(MaxLevel-1))^(2^F289),0),D289+(E289-D289)*(1+G289)*((8-1)/(MaxLevel-1))^(2^F289)))</f>
        <v>348</v>
      </c>
      <c r="P289" s="12">
        <f>IF(OR(D289="",E289=""),"",IF(IFERROR(INDEX(Stats!$D:$D,MATCH($C289,Stats!$A:$A,0)),FALSE),ROUND(D289+(E289-D289)*(1+G289)*((9-1)/(MaxLevel-1))^(2^F289),0),D289+(E289-D289)*(1+G289)*((9-1)/(MaxLevel-1))^(2^F289)))</f>
        <v>374</v>
      </c>
      <c r="Q289" s="12">
        <f>IF(OR(D289="",E289=""),"",IF(IFERROR(INDEX(Stats!$D:$D,MATCH($C289,Stats!$A:$A,0)),FALSE),ROUND(D289+(E289-D289)*(1+G289)*((10-1)/(MaxLevel-1))^(2^F289),0),D289+(E289-D289)*(1+G289)*((10-1)/(MaxLevel-1))^(2^F289)))</f>
        <v>400</v>
      </c>
    </row>
    <row r="290" spans="1:17" x14ac:dyDescent="0.25">
      <c r="A290" s="4" t="s">
        <v>185</v>
      </c>
      <c r="B290" s="19" t="s">
        <v>230</v>
      </c>
      <c r="C290" s="4" t="s">
        <v>30</v>
      </c>
      <c r="D290" s="5"/>
      <c r="E290" s="5"/>
      <c r="F290" s="5"/>
      <c r="G290" s="5"/>
      <c r="H290" s="12" t="str">
        <f>IF(OR(D290="",E290=""),"",IF(IFERROR(INDEX(Stats!$D:$D,MATCH($C290,Stats!$A:$A,0)),FALSE),ROUND(D290+(E290-D290)*(1+G290)*((1-1)/(MaxLevel-1))^(2^F290),0),D290+(E290-D290)*(1+G290)*((1-1)/(MaxLevel-1))^(2^F290)))</f>
        <v/>
      </c>
      <c r="I290" s="12" t="str">
        <f>IF(OR(D290="",E290=""),"",IF(IFERROR(INDEX(Stats!$D:$D,MATCH($C290,Stats!$A:$A,0)),FALSE),ROUND(D290+(E290-D290)*(1+G290)*((2-1)/(MaxLevel-1))^(2^F290),0),D290+(E290-D290)*(1+G290)*((2-1)/(MaxLevel-1))^(2^F290)))</f>
        <v/>
      </c>
      <c r="J290" s="12" t="str">
        <f>IF(OR(D290="",E290=""),"",IF(IFERROR(INDEX(Stats!$D:$D,MATCH($C290,Stats!$A:$A,0)),FALSE),ROUND(D290+(E290-D290)*(1+G290)*((3-1)/(MaxLevel-1))^(2^F290),0),D290+(E290-D290)*(1+G290)*((3-1)/(MaxLevel-1))^(2^F290)))</f>
        <v/>
      </c>
      <c r="K290" s="12" t="str">
        <f>IF(OR(D290="",E290=""),"",IF(IFERROR(INDEX(Stats!$D:$D,MATCH($C290,Stats!$A:$A,0)),FALSE),ROUND(D290+(E290-D290)*(1+G290)*((4-1)/(MaxLevel-1))^(2^F290),0),D290+(E290-D290)*(1+G290)*((4-1)/(MaxLevel-1))^(2^F290)))</f>
        <v/>
      </c>
      <c r="L290" s="12" t="str">
        <f>IF(OR(D290="",E290=""),"",IF(IFERROR(INDEX(Stats!$D:$D,MATCH($C290,Stats!$A:$A,0)),FALSE),ROUND(D290+(E290-D290)*(1+G290)*((5-1)/(MaxLevel-1))^(2^F290),0),D290+(E290-D290)*(1+G290)*((5-1)/(MaxLevel-1))^(2^F290)))</f>
        <v/>
      </c>
      <c r="M290" s="12" t="str">
        <f>IF(OR(D290="",E290=""),"",IF(IFERROR(INDEX(Stats!$D:$D,MATCH($C290,Stats!$A:$A,0)),FALSE),ROUND(D290+(E290-D290)*(1+G290)*((6-1)/(MaxLevel-1))^(2^F290),0),D290+(E290-D290)*(1+G290)*((6-1)/(MaxLevel-1))^(2^F290)))</f>
        <v/>
      </c>
      <c r="N290" s="12" t="str">
        <f>IF(OR(D290="",E290=""),"",IF(IFERROR(INDEX(Stats!$D:$D,MATCH($C290,Stats!$A:$A,0)),FALSE),ROUND(D290+(E290-D290)*(1+G290)*((7-1)/(MaxLevel-1))^(2^F290),0),D290+(E290-D290)*(1+G290)*((7-1)/(MaxLevel-1))^(2^F290)))</f>
        <v/>
      </c>
      <c r="O290" s="12" t="str">
        <f>IF(OR(D290="",E290=""),"",IF(IFERROR(INDEX(Stats!$D:$D,MATCH($C290,Stats!$A:$A,0)),FALSE),ROUND(D290+(E290-D290)*(1+G290)*((8-1)/(MaxLevel-1))^(2^F290),0),D290+(E290-D290)*(1+G290)*((8-1)/(MaxLevel-1))^(2^F290)))</f>
        <v/>
      </c>
      <c r="P290" s="12" t="str">
        <f>IF(OR(D290="",E290=""),"",IF(IFERROR(INDEX(Stats!$D:$D,MATCH($C290,Stats!$A:$A,0)),FALSE),ROUND(D290+(E290-D290)*(1+G290)*((9-1)/(MaxLevel-1))^(2^F290),0),D290+(E290-D290)*(1+G290)*((9-1)/(MaxLevel-1))^(2^F290)))</f>
        <v/>
      </c>
      <c r="Q290" s="12" t="str">
        <f>IF(OR(D290="",E290=""),"",IF(IFERROR(INDEX(Stats!$D:$D,MATCH($C290,Stats!$A:$A,0)),FALSE),ROUND(D290+(E290-D290)*(1+G290)*((10-1)/(MaxLevel-1))^(2^F290),0),D290+(E290-D290)*(1+G290)*((10-1)/(MaxLevel-1))^(2^F290)))</f>
        <v/>
      </c>
    </row>
    <row r="291" spans="1:17" x14ac:dyDescent="0.25">
      <c r="A291" s="4" t="s">
        <v>185</v>
      </c>
      <c r="B291" s="19" t="s">
        <v>230</v>
      </c>
      <c r="C291" s="4" t="s">
        <v>32</v>
      </c>
      <c r="D291" s="5"/>
      <c r="E291" s="5"/>
      <c r="F291" s="5"/>
      <c r="G291" s="5"/>
      <c r="H291" s="12" t="str">
        <f>IF(OR(D291="",E291=""),"",IF(IFERROR(INDEX(Stats!$D:$D,MATCH($C291,Stats!$A:$A,0)),FALSE),ROUND(D291+(E291-D291)*(1+G291)*((1-1)/(MaxLevel-1))^(2^F291),0),D291+(E291-D291)*(1+G291)*((1-1)/(MaxLevel-1))^(2^F291)))</f>
        <v/>
      </c>
      <c r="I291" s="12" t="str">
        <f>IF(OR(D291="",E291=""),"",IF(IFERROR(INDEX(Stats!$D:$D,MATCH($C291,Stats!$A:$A,0)),FALSE),ROUND(D291+(E291-D291)*(1+G291)*((2-1)/(MaxLevel-1))^(2^F291),0),D291+(E291-D291)*(1+G291)*((2-1)/(MaxLevel-1))^(2^F291)))</f>
        <v/>
      </c>
      <c r="J291" s="12" t="str">
        <f>IF(OR(D291="",E291=""),"",IF(IFERROR(INDEX(Stats!$D:$D,MATCH($C291,Stats!$A:$A,0)),FALSE),ROUND(D291+(E291-D291)*(1+G291)*((3-1)/(MaxLevel-1))^(2^F291),0),D291+(E291-D291)*(1+G291)*((3-1)/(MaxLevel-1))^(2^F291)))</f>
        <v/>
      </c>
      <c r="K291" s="12" t="str">
        <f>IF(OR(D291="",E291=""),"",IF(IFERROR(INDEX(Stats!$D:$D,MATCH($C291,Stats!$A:$A,0)),FALSE),ROUND(D291+(E291-D291)*(1+G291)*((4-1)/(MaxLevel-1))^(2^F291),0),D291+(E291-D291)*(1+G291)*((4-1)/(MaxLevel-1))^(2^F291)))</f>
        <v/>
      </c>
      <c r="L291" s="12" t="str">
        <f>IF(OR(D291="",E291=""),"",IF(IFERROR(INDEX(Stats!$D:$D,MATCH($C291,Stats!$A:$A,0)),FALSE),ROUND(D291+(E291-D291)*(1+G291)*((5-1)/(MaxLevel-1))^(2^F291),0),D291+(E291-D291)*(1+G291)*((5-1)/(MaxLevel-1))^(2^F291)))</f>
        <v/>
      </c>
      <c r="M291" s="12" t="str">
        <f>IF(OR(D291="",E291=""),"",IF(IFERROR(INDEX(Stats!$D:$D,MATCH($C291,Stats!$A:$A,0)),FALSE),ROUND(D291+(E291-D291)*(1+G291)*((6-1)/(MaxLevel-1))^(2^F291),0),D291+(E291-D291)*(1+G291)*((6-1)/(MaxLevel-1))^(2^F291)))</f>
        <v/>
      </c>
      <c r="N291" s="12" t="str">
        <f>IF(OR(D291="",E291=""),"",IF(IFERROR(INDEX(Stats!$D:$D,MATCH($C291,Stats!$A:$A,0)),FALSE),ROUND(D291+(E291-D291)*(1+G291)*((7-1)/(MaxLevel-1))^(2^F291),0),D291+(E291-D291)*(1+G291)*((7-1)/(MaxLevel-1))^(2^F291)))</f>
        <v/>
      </c>
      <c r="O291" s="12" t="str">
        <f>IF(OR(D291="",E291=""),"",IF(IFERROR(INDEX(Stats!$D:$D,MATCH($C291,Stats!$A:$A,0)),FALSE),ROUND(D291+(E291-D291)*(1+G291)*((8-1)/(MaxLevel-1))^(2^F291),0),D291+(E291-D291)*(1+G291)*((8-1)/(MaxLevel-1))^(2^F291)))</f>
        <v/>
      </c>
      <c r="P291" s="12" t="str">
        <f>IF(OR(D291="",E291=""),"",IF(IFERROR(INDEX(Stats!$D:$D,MATCH($C291,Stats!$A:$A,0)),FALSE),ROUND(D291+(E291-D291)*(1+G291)*((9-1)/(MaxLevel-1))^(2^F291),0),D291+(E291-D291)*(1+G291)*((9-1)/(MaxLevel-1))^(2^F291)))</f>
        <v/>
      </c>
      <c r="Q291" s="12" t="str">
        <f>IF(OR(D291="",E291=""),"",IF(IFERROR(INDEX(Stats!$D:$D,MATCH($C291,Stats!$A:$A,0)),FALSE),ROUND(D291+(E291-D291)*(1+G291)*((10-1)/(MaxLevel-1))^(2^F291),0),D291+(E291-D291)*(1+G291)*((10-1)/(MaxLevel-1))^(2^F291)))</f>
        <v/>
      </c>
    </row>
    <row r="292" spans="1:17" x14ac:dyDescent="0.25">
      <c r="A292" s="4" t="s">
        <v>185</v>
      </c>
      <c r="B292" s="19" t="s">
        <v>230</v>
      </c>
      <c r="C292" s="4" t="s">
        <v>34</v>
      </c>
      <c r="D292" s="5"/>
      <c r="E292" s="5"/>
      <c r="F292" s="5"/>
      <c r="G292" s="5"/>
      <c r="H292" s="12" t="str">
        <f>IF(OR(D292="",E292=""),"",IF(IFERROR(INDEX(Stats!$D:$D,MATCH($C292,Stats!$A:$A,0)),FALSE),ROUND(D292+(E292-D292)*(1+G292)*((1-1)/(MaxLevel-1))^(2^F292),0),D292+(E292-D292)*(1+G292)*((1-1)/(MaxLevel-1))^(2^F292)))</f>
        <v/>
      </c>
      <c r="I292" s="12" t="str">
        <f>IF(OR(D292="",E292=""),"",IF(IFERROR(INDEX(Stats!$D:$D,MATCH($C292,Stats!$A:$A,0)),FALSE),ROUND(D292+(E292-D292)*(1+G292)*((2-1)/(MaxLevel-1))^(2^F292),0),D292+(E292-D292)*(1+G292)*((2-1)/(MaxLevel-1))^(2^F292)))</f>
        <v/>
      </c>
      <c r="J292" s="12" t="str">
        <f>IF(OR(D292="",E292=""),"",IF(IFERROR(INDEX(Stats!$D:$D,MATCH($C292,Stats!$A:$A,0)),FALSE),ROUND(D292+(E292-D292)*(1+G292)*((3-1)/(MaxLevel-1))^(2^F292),0),D292+(E292-D292)*(1+G292)*((3-1)/(MaxLevel-1))^(2^F292)))</f>
        <v/>
      </c>
      <c r="K292" s="12" t="str">
        <f>IF(OR(D292="",E292=""),"",IF(IFERROR(INDEX(Stats!$D:$D,MATCH($C292,Stats!$A:$A,0)),FALSE),ROUND(D292+(E292-D292)*(1+G292)*((4-1)/(MaxLevel-1))^(2^F292),0),D292+(E292-D292)*(1+G292)*((4-1)/(MaxLevel-1))^(2^F292)))</f>
        <v/>
      </c>
      <c r="L292" s="12" t="str">
        <f>IF(OR(D292="",E292=""),"",IF(IFERROR(INDEX(Stats!$D:$D,MATCH($C292,Stats!$A:$A,0)),FALSE),ROUND(D292+(E292-D292)*(1+G292)*((5-1)/(MaxLevel-1))^(2^F292),0),D292+(E292-D292)*(1+G292)*((5-1)/(MaxLevel-1))^(2^F292)))</f>
        <v/>
      </c>
      <c r="M292" s="12" t="str">
        <f>IF(OR(D292="",E292=""),"",IF(IFERROR(INDEX(Stats!$D:$D,MATCH($C292,Stats!$A:$A,0)),FALSE),ROUND(D292+(E292-D292)*(1+G292)*((6-1)/(MaxLevel-1))^(2^F292),0),D292+(E292-D292)*(1+G292)*((6-1)/(MaxLevel-1))^(2^F292)))</f>
        <v/>
      </c>
      <c r="N292" s="12" t="str">
        <f>IF(OR(D292="",E292=""),"",IF(IFERROR(INDEX(Stats!$D:$D,MATCH($C292,Stats!$A:$A,0)),FALSE),ROUND(D292+(E292-D292)*(1+G292)*((7-1)/(MaxLevel-1))^(2^F292),0),D292+(E292-D292)*(1+G292)*((7-1)/(MaxLevel-1))^(2^F292)))</f>
        <v/>
      </c>
      <c r="O292" s="12" t="str">
        <f>IF(OR(D292="",E292=""),"",IF(IFERROR(INDEX(Stats!$D:$D,MATCH($C292,Stats!$A:$A,0)),FALSE),ROUND(D292+(E292-D292)*(1+G292)*((8-1)/(MaxLevel-1))^(2^F292),0),D292+(E292-D292)*(1+G292)*((8-1)/(MaxLevel-1))^(2^F292)))</f>
        <v/>
      </c>
      <c r="P292" s="12" t="str">
        <f>IF(OR(D292="",E292=""),"",IF(IFERROR(INDEX(Stats!$D:$D,MATCH($C292,Stats!$A:$A,0)),FALSE),ROUND(D292+(E292-D292)*(1+G292)*((9-1)/(MaxLevel-1))^(2^F292),0),D292+(E292-D292)*(1+G292)*((9-1)/(MaxLevel-1))^(2^F292)))</f>
        <v/>
      </c>
      <c r="Q292" s="12" t="str">
        <f>IF(OR(D292="",E292=""),"",IF(IFERROR(INDEX(Stats!$D:$D,MATCH($C292,Stats!$A:$A,0)),FALSE),ROUND(D292+(E292-D292)*(1+G292)*((10-1)/(MaxLevel-1))^(2^F292),0),D292+(E292-D292)*(1+G292)*((10-1)/(MaxLevel-1))^(2^F292)))</f>
        <v/>
      </c>
    </row>
    <row r="293" spans="1:17" x14ac:dyDescent="0.25">
      <c r="A293" s="4" t="s">
        <v>185</v>
      </c>
      <c r="B293" s="19" t="s">
        <v>230</v>
      </c>
      <c r="C293" s="4" t="s">
        <v>36</v>
      </c>
      <c r="D293" s="5"/>
      <c r="E293" s="5"/>
      <c r="F293" s="5"/>
      <c r="G293" s="5"/>
      <c r="H293" s="12" t="str">
        <f>IF(OR(D293="",E293=""),"",IF(IFERROR(INDEX(Stats!$D:$D,MATCH($C293,Stats!$A:$A,0)),FALSE),ROUND(D293+(E293-D293)*(1+G293)*((1-1)/(MaxLevel-1))^(2^F293),0),D293+(E293-D293)*(1+G293)*((1-1)/(MaxLevel-1))^(2^F293)))</f>
        <v/>
      </c>
      <c r="I293" s="12" t="str">
        <f>IF(OR(D293="",E293=""),"",IF(IFERROR(INDEX(Stats!$D:$D,MATCH($C293,Stats!$A:$A,0)),FALSE),ROUND(D293+(E293-D293)*(1+G293)*((2-1)/(MaxLevel-1))^(2^F293),0),D293+(E293-D293)*(1+G293)*((2-1)/(MaxLevel-1))^(2^F293)))</f>
        <v/>
      </c>
      <c r="J293" s="12" t="str">
        <f>IF(OR(D293="",E293=""),"",IF(IFERROR(INDEX(Stats!$D:$D,MATCH($C293,Stats!$A:$A,0)),FALSE),ROUND(D293+(E293-D293)*(1+G293)*((3-1)/(MaxLevel-1))^(2^F293),0),D293+(E293-D293)*(1+G293)*((3-1)/(MaxLevel-1))^(2^F293)))</f>
        <v/>
      </c>
      <c r="K293" s="12" t="str">
        <f>IF(OR(D293="",E293=""),"",IF(IFERROR(INDEX(Stats!$D:$D,MATCH($C293,Stats!$A:$A,0)),FALSE),ROUND(D293+(E293-D293)*(1+G293)*((4-1)/(MaxLevel-1))^(2^F293),0),D293+(E293-D293)*(1+G293)*((4-1)/(MaxLevel-1))^(2^F293)))</f>
        <v/>
      </c>
      <c r="L293" s="12" t="str">
        <f>IF(OR(D293="",E293=""),"",IF(IFERROR(INDEX(Stats!$D:$D,MATCH($C293,Stats!$A:$A,0)),FALSE),ROUND(D293+(E293-D293)*(1+G293)*((5-1)/(MaxLevel-1))^(2^F293),0),D293+(E293-D293)*(1+G293)*((5-1)/(MaxLevel-1))^(2^F293)))</f>
        <v/>
      </c>
      <c r="M293" s="12" t="str">
        <f>IF(OR(D293="",E293=""),"",IF(IFERROR(INDEX(Stats!$D:$D,MATCH($C293,Stats!$A:$A,0)),FALSE),ROUND(D293+(E293-D293)*(1+G293)*((6-1)/(MaxLevel-1))^(2^F293),0),D293+(E293-D293)*(1+G293)*((6-1)/(MaxLevel-1))^(2^F293)))</f>
        <v/>
      </c>
      <c r="N293" s="12" t="str">
        <f>IF(OR(D293="",E293=""),"",IF(IFERROR(INDEX(Stats!$D:$D,MATCH($C293,Stats!$A:$A,0)),FALSE),ROUND(D293+(E293-D293)*(1+G293)*((7-1)/(MaxLevel-1))^(2^F293),0),D293+(E293-D293)*(1+G293)*((7-1)/(MaxLevel-1))^(2^F293)))</f>
        <v/>
      </c>
      <c r="O293" s="12" t="str">
        <f>IF(OR(D293="",E293=""),"",IF(IFERROR(INDEX(Stats!$D:$D,MATCH($C293,Stats!$A:$A,0)),FALSE),ROUND(D293+(E293-D293)*(1+G293)*((8-1)/(MaxLevel-1))^(2^F293),0),D293+(E293-D293)*(1+G293)*((8-1)/(MaxLevel-1))^(2^F293)))</f>
        <v/>
      </c>
      <c r="P293" s="12" t="str">
        <f>IF(OR(D293="",E293=""),"",IF(IFERROR(INDEX(Stats!$D:$D,MATCH($C293,Stats!$A:$A,0)),FALSE),ROUND(D293+(E293-D293)*(1+G293)*((9-1)/(MaxLevel-1))^(2^F293),0),D293+(E293-D293)*(1+G293)*((9-1)/(MaxLevel-1))^(2^F293)))</f>
        <v/>
      </c>
      <c r="Q293" s="12" t="str">
        <f>IF(OR(D293="",E293=""),"",IF(IFERROR(INDEX(Stats!$D:$D,MATCH($C293,Stats!$A:$A,0)),FALSE),ROUND(D293+(E293-D293)*(1+G293)*((10-1)/(MaxLevel-1))^(2^F293),0),D293+(E293-D293)*(1+G293)*((10-1)/(MaxLevel-1))^(2^F293)))</f>
        <v/>
      </c>
    </row>
    <row r="294" spans="1:17" x14ac:dyDescent="0.25">
      <c r="A294" s="4" t="s">
        <v>185</v>
      </c>
      <c r="B294" s="19" t="s">
        <v>230</v>
      </c>
      <c r="C294" s="4" t="s">
        <v>38</v>
      </c>
      <c r="D294" s="5">
        <v>1.5</v>
      </c>
      <c r="E294" s="5">
        <v>2</v>
      </c>
      <c r="F294" s="5">
        <v>-1</v>
      </c>
      <c r="G294" s="5">
        <v>0</v>
      </c>
      <c r="H294" s="12">
        <f>IF(OR(D294="",E294=""),"",IF(IFERROR(INDEX(Stats!$D:$D,MATCH($C294,Stats!$A:$A,0)),FALSE),ROUND(D294+(E294-D294)*(1+G294)*((1-1)/(MaxLevel-1))^(2^F294),0),D294+(E294-D294)*(1+G294)*((1-1)/(MaxLevel-1))^(2^F294)))</f>
        <v>1.5</v>
      </c>
      <c r="I294" s="12">
        <f>IF(OR(D294="",E294=""),"",IF(IFERROR(INDEX(Stats!$D:$D,MATCH($C294,Stats!$A:$A,0)),FALSE),ROUND(D294+(E294-D294)*(1+G294)*((2-1)/(MaxLevel-1))^(2^F294),0),D294+(E294-D294)*(1+G294)*((2-1)/(MaxLevel-1))^(2^F294)))</f>
        <v>1.6666666666666667</v>
      </c>
      <c r="J294" s="12">
        <f>IF(OR(D294="",E294=""),"",IF(IFERROR(INDEX(Stats!$D:$D,MATCH($C294,Stats!$A:$A,0)),FALSE),ROUND(D294+(E294-D294)*(1+G294)*((3-1)/(MaxLevel-1))^(2^F294),0),D294+(E294-D294)*(1+G294)*((3-1)/(MaxLevel-1))^(2^F294)))</f>
        <v>1.7357022603955159</v>
      </c>
      <c r="K294" s="12">
        <f>IF(OR(D294="",E294=""),"",IF(IFERROR(INDEX(Stats!$D:$D,MATCH($C294,Stats!$A:$A,0)),FALSE),ROUND(D294+(E294-D294)*(1+G294)*((4-1)/(MaxLevel-1))^(2^F294),0),D294+(E294-D294)*(1+G294)*((4-1)/(MaxLevel-1))^(2^F294)))</f>
        <v>1.7886751345948129</v>
      </c>
      <c r="L294" s="12">
        <f>IF(OR(D294="",E294=""),"",IF(IFERROR(INDEX(Stats!$D:$D,MATCH($C294,Stats!$A:$A,0)),FALSE),ROUND(D294+(E294-D294)*(1+G294)*((5-1)/(MaxLevel-1))^(2^F294),0),D294+(E294-D294)*(1+G294)*((5-1)/(MaxLevel-1))^(2^F294)))</f>
        <v>1.8333333333333333</v>
      </c>
      <c r="M294" s="12">
        <f>IF(OR(D294="",E294=""),"",IF(IFERROR(INDEX(Stats!$D:$D,MATCH($C294,Stats!$A:$A,0)),FALSE),ROUND(D294+(E294-D294)*(1+G294)*((6-1)/(MaxLevel-1))^(2^F294),0),D294+(E294-D294)*(1+G294)*((6-1)/(MaxLevel-1))^(2^F294)))</f>
        <v>1.8726779962499649</v>
      </c>
      <c r="N294" s="12">
        <f>IF(OR(D294="",E294=""),"",IF(IFERROR(INDEX(Stats!$D:$D,MATCH($C294,Stats!$A:$A,0)),FALSE),ROUND(D294+(E294-D294)*(1+G294)*((7-1)/(MaxLevel-1))^(2^F294),0),D294+(E294-D294)*(1+G294)*((7-1)/(MaxLevel-1))^(2^F294)))</f>
        <v>1.9082482904638631</v>
      </c>
      <c r="O294" s="12">
        <f>IF(OR(D294="",E294=""),"",IF(IFERROR(INDEX(Stats!$D:$D,MATCH($C294,Stats!$A:$A,0)),FALSE),ROUND(D294+(E294-D294)*(1+G294)*((8-1)/(MaxLevel-1))^(2^F294),0),D294+(E294-D294)*(1+G294)*((8-1)/(MaxLevel-1))^(2^F294)))</f>
        <v>1.9409585518440984</v>
      </c>
      <c r="P294" s="12">
        <f>IF(OR(D294="",E294=""),"",IF(IFERROR(INDEX(Stats!$D:$D,MATCH($C294,Stats!$A:$A,0)),FALSE),ROUND(D294+(E294-D294)*(1+G294)*((9-1)/(MaxLevel-1))^(2^F294),0),D294+(E294-D294)*(1+G294)*((9-1)/(MaxLevel-1))^(2^F294)))</f>
        <v>1.9714045207910318</v>
      </c>
      <c r="Q294" s="12">
        <f>IF(OR(D294="",E294=""),"",IF(IFERROR(INDEX(Stats!$D:$D,MATCH($C294,Stats!$A:$A,0)),FALSE),ROUND(D294+(E294-D294)*(1+G294)*((10-1)/(MaxLevel-1))^(2^F294),0),D294+(E294-D294)*(1+G294)*((10-1)/(MaxLevel-1))^(2^F294)))</f>
        <v>2</v>
      </c>
    </row>
    <row r="295" spans="1:17" x14ac:dyDescent="0.25">
      <c r="A295" s="4" t="s">
        <v>185</v>
      </c>
      <c r="B295" s="19" t="s">
        <v>230</v>
      </c>
      <c r="C295" s="4" t="s">
        <v>40</v>
      </c>
      <c r="D295" s="5">
        <v>20</v>
      </c>
      <c r="E295" s="5">
        <v>100</v>
      </c>
      <c r="F295" s="5">
        <v>1</v>
      </c>
      <c r="G295" s="5">
        <v>0.1</v>
      </c>
      <c r="H295" s="12">
        <f>IF(OR(D295="",E295=""),"",IF(IFERROR(INDEX(Stats!$D:$D,MATCH($C295,Stats!$A:$A,0)),FALSE),ROUND(D295+(E295-D295)*(1+G295)*((1-1)/(MaxLevel-1))^(2^F295),0),D295+(E295-D295)*(1+G295)*((1-1)/(MaxLevel-1))^(2^F295)))</f>
        <v>20</v>
      </c>
      <c r="I295" s="12">
        <f>IF(OR(D295="",E295=""),"",IF(IFERROR(INDEX(Stats!$D:$D,MATCH($C295,Stats!$A:$A,0)),FALSE),ROUND(D295+(E295-D295)*(1+G295)*((2-1)/(MaxLevel-1))^(2^F295),0),D295+(E295-D295)*(1+G295)*((2-1)/(MaxLevel-1))^(2^F295)))</f>
        <v>21</v>
      </c>
      <c r="J295" s="12">
        <f>IF(OR(D295="",E295=""),"",IF(IFERROR(INDEX(Stats!$D:$D,MATCH($C295,Stats!$A:$A,0)),FALSE),ROUND(D295+(E295-D295)*(1+G295)*((3-1)/(MaxLevel-1))^(2^F295),0),D295+(E295-D295)*(1+G295)*((3-1)/(MaxLevel-1))^(2^F295)))</f>
        <v>24</v>
      </c>
      <c r="K295" s="12">
        <f>IF(OR(D295="",E295=""),"",IF(IFERROR(INDEX(Stats!$D:$D,MATCH($C295,Stats!$A:$A,0)),FALSE),ROUND(D295+(E295-D295)*(1+G295)*((4-1)/(MaxLevel-1))^(2^F295),0),D295+(E295-D295)*(1+G295)*((4-1)/(MaxLevel-1))^(2^F295)))</f>
        <v>30</v>
      </c>
      <c r="L295" s="12">
        <f>IF(OR(D295="",E295=""),"",IF(IFERROR(INDEX(Stats!$D:$D,MATCH($C295,Stats!$A:$A,0)),FALSE),ROUND(D295+(E295-D295)*(1+G295)*((5-1)/(MaxLevel-1))^(2^F295),0),D295+(E295-D295)*(1+G295)*((5-1)/(MaxLevel-1))^(2^F295)))</f>
        <v>37</v>
      </c>
      <c r="M295" s="12">
        <f>IF(OR(D295="",E295=""),"",IF(IFERROR(INDEX(Stats!$D:$D,MATCH($C295,Stats!$A:$A,0)),FALSE),ROUND(D295+(E295-D295)*(1+G295)*((6-1)/(MaxLevel-1))^(2^F295),0),D295+(E295-D295)*(1+G295)*((6-1)/(MaxLevel-1))^(2^F295)))</f>
        <v>47</v>
      </c>
      <c r="N295" s="12">
        <f>IF(OR(D295="",E295=""),"",IF(IFERROR(INDEX(Stats!$D:$D,MATCH($C295,Stats!$A:$A,0)),FALSE),ROUND(D295+(E295-D295)*(1+G295)*((7-1)/(MaxLevel-1))^(2^F295),0),D295+(E295-D295)*(1+G295)*((7-1)/(MaxLevel-1))^(2^F295)))</f>
        <v>59</v>
      </c>
      <c r="O295" s="12">
        <f>IF(OR(D295="",E295=""),"",IF(IFERROR(INDEX(Stats!$D:$D,MATCH($C295,Stats!$A:$A,0)),FALSE),ROUND(D295+(E295-D295)*(1+G295)*((8-1)/(MaxLevel-1))^(2^F295),0),D295+(E295-D295)*(1+G295)*((8-1)/(MaxLevel-1))^(2^F295)))</f>
        <v>73</v>
      </c>
      <c r="P295" s="12">
        <f>IF(OR(D295="",E295=""),"",IF(IFERROR(INDEX(Stats!$D:$D,MATCH($C295,Stats!$A:$A,0)),FALSE),ROUND(D295+(E295-D295)*(1+G295)*((9-1)/(MaxLevel-1))^(2^F295),0),D295+(E295-D295)*(1+G295)*((9-1)/(MaxLevel-1))^(2^F295)))</f>
        <v>90</v>
      </c>
      <c r="Q295" s="12">
        <f>IF(OR(D295="",E295=""),"",IF(IFERROR(INDEX(Stats!$D:$D,MATCH($C295,Stats!$A:$A,0)),FALSE),ROUND(D295+(E295-D295)*(1+G295)*((10-1)/(MaxLevel-1))^(2^F295),0),D295+(E295-D295)*(1+G295)*((10-1)/(MaxLevel-1))^(2^F295)))</f>
        <v>108</v>
      </c>
    </row>
    <row r="296" spans="1:17" x14ac:dyDescent="0.25">
      <c r="A296" s="4" t="s">
        <v>185</v>
      </c>
      <c r="B296" s="19" t="s">
        <v>230</v>
      </c>
      <c r="C296" s="4" t="s">
        <v>42</v>
      </c>
      <c r="D296" s="5"/>
      <c r="E296" s="5"/>
      <c r="F296" s="5"/>
      <c r="G296" s="5"/>
      <c r="H296" s="12" t="str">
        <f>IF(OR(D296="",E296=""),"",IF(IFERROR(INDEX(Stats!$D:$D,MATCH($C296,Stats!$A:$A,0)),FALSE),ROUND(D296+(E296-D296)*(1+G296)*((1-1)/(MaxLevel-1))^(2^F296),0),D296+(E296-D296)*(1+G296)*((1-1)/(MaxLevel-1))^(2^F296)))</f>
        <v/>
      </c>
      <c r="I296" s="12" t="str">
        <f>IF(OR(D296="",E296=""),"",IF(IFERROR(INDEX(Stats!$D:$D,MATCH($C296,Stats!$A:$A,0)),FALSE),ROUND(D296+(E296-D296)*(1+G296)*((2-1)/(MaxLevel-1))^(2^F296),0),D296+(E296-D296)*(1+G296)*((2-1)/(MaxLevel-1))^(2^F296)))</f>
        <v/>
      </c>
      <c r="J296" s="12" t="str">
        <f>IF(OR(D296="",E296=""),"",IF(IFERROR(INDEX(Stats!$D:$D,MATCH($C296,Stats!$A:$A,0)),FALSE),ROUND(D296+(E296-D296)*(1+G296)*((3-1)/(MaxLevel-1))^(2^F296),0),D296+(E296-D296)*(1+G296)*((3-1)/(MaxLevel-1))^(2^F296)))</f>
        <v/>
      </c>
      <c r="K296" s="12" t="str">
        <f>IF(OR(D296="",E296=""),"",IF(IFERROR(INDEX(Stats!$D:$D,MATCH($C296,Stats!$A:$A,0)),FALSE),ROUND(D296+(E296-D296)*(1+G296)*((4-1)/(MaxLevel-1))^(2^F296),0),D296+(E296-D296)*(1+G296)*((4-1)/(MaxLevel-1))^(2^F296)))</f>
        <v/>
      </c>
      <c r="L296" s="12" t="str">
        <f>IF(OR(D296="",E296=""),"",IF(IFERROR(INDEX(Stats!$D:$D,MATCH($C296,Stats!$A:$A,0)),FALSE),ROUND(D296+(E296-D296)*(1+G296)*((5-1)/(MaxLevel-1))^(2^F296),0),D296+(E296-D296)*(1+G296)*((5-1)/(MaxLevel-1))^(2^F296)))</f>
        <v/>
      </c>
      <c r="M296" s="12" t="str">
        <f>IF(OR(D296="",E296=""),"",IF(IFERROR(INDEX(Stats!$D:$D,MATCH($C296,Stats!$A:$A,0)),FALSE),ROUND(D296+(E296-D296)*(1+G296)*((6-1)/(MaxLevel-1))^(2^F296),0),D296+(E296-D296)*(1+G296)*((6-1)/(MaxLevel-1))^(2^F296)))</f>
        <v/>
      </c>
      <c r="N296" s="12" t="str">
        <f>IF(OR(D296="",E296=""),"",IF(IFERROR(INDEX(Stats!$D:$D,MATCH($C296,Stats!$A:$A,0)),FALSE),ROUND(D296+(E296-D296)*(1+G296)*((7-1)/(MaxLevel-1))^(2^F296),0),D296+(E296-D296)*(1+G296)*((7-1)/(MaxLevel-1))^(2^F296)))</f>
        <v/>
      </c>
      <c r="O296" s="12" t="str">
        <f>IF(OR(D296="",E296=""),"",IF(IFERROR(INDEX(Stats!$D:$D,MATCH($C296,Stats!$A:$A,0)),FALSE),ROUND(D296+(E296-D296)*(1+G296)*((8-1)/(MaxLevel-1))^(2^F296),0),D296+(E296-D296)*(1+G296)*((8-1)/(MaxLevel-1))^(2^F296)))</f>
        <v/>
      </c>
      <c r="P296" s="12" t="str">
        <f>IF(OR(D296="",E296=""),"",IF(IFERROR(INDEX(Stats!$D:$D,MATCH($C296,Stats!$A:$A,0)),FALSE),ROUND(D296+(E296-D296)*(1+G296)*((9-1)/(MaxLevel-1))^(2^F296),0),D296+(E296-D296)*(1+G296)*((9-1)/(MaxLevel-1))^(2^F296)))</f>
        <v/>
      </c>
      <c r="Q296" s="12" t="str">
        <f>IF(OR(D296="",E296=""),"",IF(IFERROR(INDEX(Stats!$D:$D,MATCH($C296,Stats!$A:$A,0)),FALSE),ROUND(D296+(E296-D296)*(1+G296)*((10-1)/(MaxLevel-1))^(2^F296),0),D296+(E296-D296)*(1+G296)*((10-1)/(MaxLevel-1))^(2^F296)))</f>
        <v/>
      </c>
    </row>
    <row r="297" spans="1:17" x14ac:dyDescent="0.25">
      <c r="A297" s="4" t="s">
        <v>185</v>
      </c>
      <c r="B297" s="19" t="s">
        <v>230</v>
      </c>
      <c r="C297" s="4" t="s">
        <v>44</v>
      </c>
      <c r="D297" s="5"/>
      <c r="E297" s="5"/>
      <c r="F297" s="5"/>
      <c r="G297" s="5"/>
      <c r="H297" s="12" t="str">
        <f>IF(OR(D297="",E297=""),"",IF(IFERROR(INDEX(Stats!$D:$D,MATCH($C297,Stats!$A:$A,0)),FALSE),ROUND(D297+(E297-D297)*(1+G297)*((1-1)/(MaxLevel-1))^(2^F297),0),D297+(E297-D297)*(1+G297)*((1-1)/(MaxLevel-1))^(2^F297)))</f>
        <v/>
      </c>
      <c r="I297" s="12" t="str">
        <f>IF(OR(D297="",E297=""),"",IF(IFERROR(INDEX(Stats!$D:$D,MATCH($C297,Stats!$A:$A,0)),FALSE),ROUND(D297+(E297-D297)*(1+G297)*((2-1)/(MaxLevel-1))^(2^F297),0),D297+(E297-D297)*(1+G297)*((2-1)/(MaxLevel-1))^(2^F297)))</f>
        <v/>
      </c>
      <c r="J297" s="12" t="str">
        <f>IF(OR(D297="",E297=""),"",IF(IFERROR(INDEX(Stats!$D:$D,MATCH($C297,Stats!$A:$A,0)),FALSE),ROUND(D297+(E297-D297)*(1+G297)*((3-1)/(MaxLevel-1))^(2^F297),0),D297+(E297-D297)*(1+G297)*((3-1)/(MaxLevel-1))^(2^F297)))</f>
        <v/>
      </c>
      <c r="K297" s="12" t="str">
        <f>IF(OR(D297="",E297=""),"",IF(IFERROR(INDEX(Stats!$D:$D,MATCH($C297,Stats!$A:$A,0)),FALSE),ROUND(D297+(E297-D297)*(1+G297)*((4-1)/(MaxLevel-1))^(2^F297),0),D297+(E297-D297)*(1+G297)*((4-1)/(MaxLevel-1))^(2^F297)))</f>
        <v/>
      </c>
      <c r="L297" s="12" t="str">
        <f>IF(OR(D297="",E297=""),"",IF(IFERROR(INDEX(Stats!$D:$D,MATCH($C297,Stats!$A:$A,0)),FALSE),ROUND(D297+(E297-D297)*(1+G297)*((5-1)/(MaxLevel-1))^(2^F297),0),D297+(E297-D297)*(1+G297)*((5-1)/(MaxLevel-1))^(2^F297)))</f>
        <v/>
      </c>
      <c r="M297" s="12" t="str">
        <f>IF(OR(D297="",E297=""),"",IF(IFERROR(INDEX(Stats!$D:$D,MATCH($C297,Stats!$A:$A,0)),FALSE),ROUND(D297+(E297-D297)*(1+G297)*((6-1)/(MaxLevel-1))^(2^F297),0),D297+(E297-D297)*(1+G297)*((6-1)/(MaxLevel-1))^(2^F297)))</f>
        <v/>
      </c>
      <c r="N297" s="12" t="str">
        <f>IF(OR(D297="",E297=""),"",IF(IFERROR(INDEX(Stats!$D:$D,MATCH($C297,Stats!$A:$A,0)),FALSE),ROUND(D297+(E297-D297)*(1+G297)*((7-1)/(MaxLevel-1))^(2^F297),0),D297+(E297-D297)*(1+G297)*((7-1)/(MaxLevel-1))^(2^F297)))</f>
        <v/>
      </c>
      <c r="O297" s="12" t="str">
        <f>IF(OR(D297="",E297=""),"",IF(IFERROR(INDEX(Stats!$D:$D,MATCH($C297,Stats!$A:$A,0)),FALSE),ROUND(D297+(E297-D297)*(1+G297)*((8-1)/(MaxLevel-1))^(2^F297),0),D297+(E297-D297)*(1+G297)*((8-1)/(MaxLevel-1))^(2^F297)))</f>
        <v/>
      </c>
      <c r="P297" s="12" t="str">
        <f>IF(OR(D297="",E297=""),"",IF(IFERROR(INDEX(Stats!$D:$D,MATCH($C297,Stats!$A:$A,0)),FALSE),ROUND(D297+(E297-D297)*(1+G297)*((9-1)/(MaxLevel-1))^(2^F297),0),D297+(E297-D297)*(1+G297)*((9-1)/(MaxLevel-1))^(2^F297)))</f>
        <v/>
      </c>
      <c r="Q297" s="12" t="str">
        <f>IF(OR(D297="",E297=""),"",IF(IFERROR(INDEX(Stats!$D:$D,MATCH($C297,Stats!$A:$A,0)),FALSE),ROUND(D297+(E297-D297)*(1+G297)*((10-1)/(MaxLevel-1))^(2^F297),0),D297+(E297-D297)*(1+G297)*((10-1)/(MaxLevel-1))^(2^F297)))</f>
        <v/>
      </c>
    </row>
    <row r="298" spans="1:17" x14ac:dyDescent="0.25">
      <c r="A298" s="4" t="s">
        <v>185</v>
      </c>
      <c r="B298" s="19" t="s">
        <v>230</v>
      </c>
      <c r="C298" s="4" t="s">
        <v>46</v>
      </c>
      <c r="D298" s="5"/>
      <c r="E298" s="5"/>
      <c r="F298" s="5"/>
      <c r="G298" s="5"/>
      <c r="H298" s="12" t="str">
        <f>IF(OR(D298="",E298=""),"",IF(IFERROR(INDEX(Stats!$D:$D,MATCH($C298,Stats!$A:$A,0)),FALSE),ROUND(D298+(E298-D298)*(1+G298)*((1-1)/(MaxLevel-1))^(2^F298),0),D298+(E298-D298)*(1+G298)*((1-1)/(MaxLevel-1))^(2^F298)))</f>
        <v/>
      </c>
      <c r="I298" s="12" t="str">
        <f>IF(OR(D298="",E298=""),"",IF(IFERROR(INDEX(Stats!$D:$D,MATCH($C298,Stats!$A:$A,0)),FALSE),ROUND(D298+(E298-D298)*(1+G298)*((2-1)/(MaxLevel-1))^(2^F298),0),D298+(E298-D298)*(1+G298)*((2-1)/(MaxLevel-1))^(2^F298)))</f>
        <v/>
      </c>
      <c r="J298" s="12" t="str">
        <f>IF(OR(D298="",E298=""),"",IF(IFERROR(INDEX(Stats!$D:$D,MATCH($C298,Stats!$A:$A,0)),FALSE),ROUND(D298+(E298-D298)*(1+G298)*((3-1)/(MaxLevel-1))^(2^F298),0),D298+(E298-D298)*(1+G298)*((3-1)/(MaxLevel-1))^(2^F298)))</f>
        <v/>
      </c>
      <c r="K298" s="12" t="str">
        <f>IF(OR(D298="",E298=""),"",IF(IFERROR(INDEX(Stats!$D:$D,MATCH($C298,Stats!$A:$A,0)),FALSE),ROUND(D298+(E298-D298)*(1+G298)*((4-1)/(MaxLevel-1))^(2^F298),0),D298+(E298-D298)*(1+G298)*((4-1)/(MaxLevel-1))^(2^F298)))</f>
        <v/>
      </c>
      <c r="L298" s="12" t="str">
        <f>IF(OR(D298="",E298=""),"",IF(IFERROR(INDEX(Stats!$D:$D,MATCH($C298,Stats!$A:$A,0)),FALSE),ROUND(D298+(E298-D298)*(1+G298)*((5-1)/(MaxLevel-1))^(2^F298),0),D298+(E298-D298)*(1+G298)*((5-1)/(MaxLevel-1))^(2^F298)))</f>
        <v/>
      </c>
      <c r="M298" s="12" t="str">
        <f>IF(OR(D298="",E298=""),"",IF(IFERROR(INDEX(Stats!$D:$D,MATCH($C298,Stats!$A:$A,0)),FALSE),ROUND(D298+(E298-D298)*(1+G298)*((6-1)/(MaxLevel-1))^(2^F298),0),D298+(E298-D298)*(1+G298)*((6-1)/(MaxLevel-1))^(2^F298)))</f>
        <v/>
      </c>
      <c r="N298" s="12" t="str">
        <f>IF(OR(D298="",E298=""),"",IF(IFERROR(INDEX(Stats!$D:$D,MATCH($C298,Stats!$A:$A,0)),FALSE),ROUND(D298+(E298-D298)*(1+G298)*((7-1)/(MaxLevel-1))^(2^F298),0),D298+(E298-D298)*(1+G298)*((7-1)/(MaxLevel-1))^(2^F298)))</f>
        <v/>
      </c>
      <c r="O298" s="12" t="str">
        <f>IF(OR(D298="",E298=""),"",IF(IFERROR(INDEX(Stats!$D:$D,MATCH($C298,Stats!$A:$A,0)),FALSE),ROUND(D298+(E298-D298)*(1+G298)*((8-1)/(MaxLevel-1))^(2^F298),0),D298+(E298-D298)*(1+G298)*((8-1)/(MaxLevel-1))^(2^F298)))</f>
        <v/>
      </c>
      <c r="P298" s="12" t="str">
        <f>IF(OR(D298="",E298=""),"",IF(IFERROR(INDEX(Stats!$D:$D,MATCH($C298,Stats!$A:$A,0)),FALSE),ROUND(D298+(E298-D298)*(1+G298)*((9-1)/(MaxLevel-1))^(2^F298),0),D298+(E298-D298)*(1+G298)*((9-1)/(MaxLevel-1))^(2^F298)))</f>
        <v/>
      </c>
      <c r="Q298" s="12" t="str">
        <f>IF(OR(D298="",E298=""),"",IF(IFERROR(INDEX(Stats!$D:$D,MATCH($C298,Stats!$A:$A,0)),FALSE),ROUND(D298+(E298-D298)*(1+G298)*((10-1)/(MaxLevel-1))^(2^F298),0),D298+(E298-D298)*(1+G298)*((10-1)/(MaxLevel-1))^(2^F298)))</f>
        <v/>
      </c>
    </row>
    <row r="299" spans="1:17" x14ac:dyDescent="0.25">
      <c r="A299" s="4" t="s">
        <v>185</v>
      </c>
      <c r="B299" s="19" t="s">
        <v>230</v>
      </c>
      <c r="C299" s="4" t="s">
        <v>48</v>
      </c>
      <c r="D299" s="5"/>
      <c r="E299" s="5"/>
      <c r="F299" s="5"/>
      <c r="G299" s="5"/>
      <c r="H299" s="12" t="str">
        <f>IF(OR(D299="",E299=""),"",IF(IFERROR(INDEX(Stats!$D:$D,MATCH($C299,Stats!$A:$A,0)),FALSE),ROUND(D299+(E299-D299)*(1+G299)*((1-1)/(MaxLevel-1))^(2^F299),0),D299+(E299-D299)*(1+G299)*((1-1)/(MaxLevel-1))^(2^F299)))</f>
        <v/>
      </c>
      <c r="I299" s="12" t="str">
        <f>IF(OR(D299="",E299=""),"",IF(IFERROR(INDEX(Stats!$D:$D,MATCH($C299,Stats!$A:$A,0)),FALSE),ROUND(D299+(E299-D299)*(1+G299)*((2-1)/(MaxLevel-1))^(2^F299),0),D299+(E299-D299)*(1+G299)*((2-1)/(MaxLevel-1))^(2^F299)))</f>
        <v/>
      </c>
      <c r="J299" s="12" t="str">
        <f>IF(OR(D299="",E299=""),"",IF(IFERROR(INDEX(Stats!$D:$D,MATCH($C299,Stats!$A:$A,0)),FALSE),ROUND(D299+(E299-D299)*(1+G299)*((3-1)/(MaxLevel-1))^(2^F299),0),D299+(E299-D299)*(1+G299)*((3-1)/(MaxLevel-1))^(2^F299)))</f>
        <v/>
      </c>
      <c r="K299" s="12" t="str">
        <f>IF(OR(D299="",E299=""),"",IF(IFERROR(INDEX(Stats!$D:$D,MATCH($C299,Stats!$A:$A,0)),FALSE),ROUND(D299+(E299-D299)*(1+G299)*((4-1)/(MaxLevel-1))^(2^F299),0),D299+(E299-D299)*(1+G299)*((4-1)/(MaxLevel-1))^(2^F299)))</f>
        <v/>
      </c>
      <c r="L299" s="12" t="str">
        <f>IF(OR(D299="",E299=""),"",IF(IFERROR(INDEX(Stats!$D:$D,MATCH($C299,Stats!$A:$A,0)),FALSE),ROUND(D299+(E299-D299)*(1+G299)*((5-1)/(MaxLevel-1))^(2^F299),0),D299+(E299-D299)*(1+G299)*((5-1)/(MaxLevel-1))^(2^F299)))</f>
        <v/>
      </c>
      <c r="M299" s="12" t="str">
        <f>IF(OR(D299="",E299=""),"",IF(IFERROR(INDEX(Stats!$D:$D,MATCH($C299,Stats!$A:$A,0)),FALSE),ROUND(D299+(E299-D299)*(1+G299)*((6-1)/(MaxLevel-1))^(2^F299),0),D299+(E299-D299)*(1+G299)*((6-1)/(MaxLevel-1))^(2^F299)))</f>
        <v/>
      </c>
      <c r="N299" s="12" t="str">
        <f>IF(OR(D299="",E299=""),"",IF(IFERROR(INDEX(Stats!$D:$D,MATCH($C299,Stats!$A:$A,0)),FALSE),ROUND(D299+(E299-D299)*(1+G299)*((7-1)/(MaxLevel-1))^(2^F299),0),D299+(E299-D299)*(1+G299)*((7-1)/(MaxLevel-1))^(2^F299)))</f>
        <v/>
      </c>
      <c r="O299" s="12" t="str">
        <f>IF(OR(D299="",E299=""),"",IF(IFERROR(INDEX(Stats!$D:$D,MATCH($C299,Stats!$A:$A,0)),FALSE),ROUND(D299+(E299-D299)*(1+G299)*((8-1)/(MaxLevel-1))^(2^F299),0),D299+(E299-D299)*(1+G299)*((8-1)/(MaxLevel-1))^(2^F299)))</f>
        <v/>
      </c>
      <c r="P299" s="12" t="str">
        <f>IF(OR(D299="",E299=""),"",IF(IFERROR(INDEX(Stats!$D:$D,MATCH($C299,Stats!$A:$A,0)),FALSE),ROUND(D299+(E299-D299)*(1+G299)*((9-1)/(MaxLevel-1))^(2^F299),0),D299+(E299-D299)*(1+G299)*((9-1)/(MaxLevel-1))^(2^F299)))</f>
        <v/>
      </c>
      <c r="Q299" s="12" t="str">
        <f>IF(OR(D299="",E299=""),"",IF(IFERROR(INDEX(Stats!$D:$D,MATCH($C299,Stats!$A:$A,0)),FALSE),ROUND(D299+(E299-D299)*(1+G299)*((10-1)/(MaxLevel-1))^(2^F299),0),D299+(E299-D299)*(1+G299)*((10-1)/(MaxLevel-1))^(2^F299)))</f>
        <v/>
      </c>
    </row>
    <row r="300" spans="1:17" x14ac:dyDescent="0.25">
      <c r="A300" s="4" t="s">
        <v>185</v>
      </c>
      <c r="B300" s="19" t="s">
        <v>230</v>
      </c>
      <c r="C300" s="4" t="s">
        <v>50</v>
      </c>
      <c r="D300" s="5"/>
      <c r="E300" s="5"/>
      <c r="F300" s="5"/>
      <c r="G300" s="5"/>
      <c r="H300" s="12" t="str">
        <f>IF(OR(D300="",E300=""),"",IF(IFERROR(INDEX(Stats!$D:$D,MATCH($C300,Stats!$A:$A,0)),FALSE),ROUND(D300+(E300-D300)*(1+G300)*((1-1)/(MaxLevel-1))^(2^F300),0),D300+(E300-D300)*(1+G300)*((1-1)/(MaxLevel-1))^(2^F300)))</f>
        <v/>
      </c>
      <c r="I300" s="12" t="str">
        <f>IF(OR(D300="",E300=""),"",IF(IFERROR(INDEX(Stats!$D:$D,MATCH($C300,Stats!$A:$A,0)),FALSE),ROUND(D300+(E300-D300)*(1+G300)*((2-1)/(MaxLevel-1))^(2^F300),0),D300+(E300-D300)*(1+G300)*((2-1)/(MaxLevel-1))^(2^F300)))</f>
        <v/>
      </c>
      <c r="J300" s="12" t="str">
        <f>IF(OR(D300="",E300=""),"",IF(IFERROR(INDEX(Stats!$D:$D,MATCH($C300,Stats!$A:$A,0)),FALSE),ROUND(D300+(E300-D300)*(1+G300)*((3-1)/(MaxLevel-1))^(2^F300),0),D300+(E300-D300)*(1+G300)*((3-1)/(MaxLevel-1))^(2^F300)))</f>
        <v/>
      </c>
      <c r="K300" s="12" t="str">
        <f>IF(OR(D300="",E300=""),"",IF(IFERROR(INDEX(Stats!$D:$D,MATCH($C300,Stats!$A:$A,0)),FALSE),ROUND(D300+(E300-D300)*(1+G300)*((4-1)/(MaxLevel-1))^(2^F300),0),D300+(E300-D300)*(1+G300)*((4-1)/(MaxLevel-1))^(2^F300)))</f>
        <v/>
      </c>
      <c r="L300" s="12" t="str">
        <f>IF(OR(D300="",E300=""),"",IF(IFERROR(INDEX(Stats!$D:$D,MATCH($C300,Stats!$A:$A,0)),FALSE),ROUND(D300+(E300-D300)*(1+G300)*((5-1)/(MaxLevel-1))^(2^F300),0),D300+(E300-D300)*(1+G300)*((5-1)/(MaxLevel-1))^(2^F300)))</f>
        <v/>
      </c>
      <c r="M300" s="12" t="str">
        <f>IF(OR(D300="",E300=""),"",IF(IFERROR(INDEX(Stats!$D:$D,MATCH($C300,Stats!$A:$A,0)),FALSE),ROUND(D300+(E300-D300)*(1+G300)*((6-1)/(MaxLevel-1))^(2^F300),0),D300+(E300-D300)*(1+G300)*((6-1)/(MaxLevel-1))^(2^F300)))</f>
        <v/>
      </c>
      <c r="N300" s="12" t="str">
        <f>IF(OR(D300="",E300=""),"",IF(IFERROR(INDEX(Stats!$D:$D,MATCH($C300,Stats!$A:$A,0)),FALSE),ROUND(D300+(E300-D300)*(1+G300)*((7-1)/(MaxLevel-1))^(2^F300),0),D300+(E300-D300)*(1+G300)*((7-1)/(MaxLevel-1))^(2^F300)))</f>
        <v/>
      </c>
      <c r="O300" s="12" t="str">
        <f>IF(OR(D300="",E300=""),"",IF(IFERROR(INDEX(Stats!$D:$D,MATCH($C300,Stats!$A:$A,0)),FALSE),ROUND(D300+(E300-D300)*(1+G300)*((8-1)/(MaxLevel-1))^(2^F300),0),D300+(E300-D300)*(1+G300)*((8-1)/(MaxLevel-1))^(2^F300)))</f>
        <v/>
      </c>
      <c r="P300" s="12" t="str">
        <f>IF(OR(D300="",E300=""),"",IF(IFERROR(INDEX(Stats!$D:$D,MATCH($C300,Stats!$A:$A,0)),FALSE),ROUND(D300+(E300-D300)*(1+G300)*((9-1)/(MaxLevel-1))^(2^F300),0),D300+(E300-D300)*(1+G300)*((9-1)/(MaxLevel-1))^(2^F300)))</f>
        <v/>
      </c>
      <c r="Q300" s="12" t="str">
        <f>IF(OR(D300="",E300=""),"",IF(IFERROR(INDEX(Stats!$D:$D,MATCH($C300,Stats!$A:$A,0)),FALSE),ROUND(D300+(E300-D300)*(1+G300)*((10-1)/(MaxLevel-1))^(2^F300),0),D300+(E300-D300)*(1+G300)*((10-1)/(MaxLevel-1))^(2^F300)))</f>
        <v/>
      </c>
    </row>
    <row r="301" spans="1:17" x14ac:dyDescent="0.25">
      <c r="A301" s="4" t="s">
        <v>185</v>
      </c>
      <c r="B301" s="19" t="s">
        <v>230</v>
      </c>
      <c r="C301" s="4" t="s">
        <v>52</v>
      </c>
      <c r="D301" s="5"/>
      <c r="E301" s="5"/>
      <c r="F301" s="5"/>
      <c r="G301" s="5"/>
      <c r="H301" s="12" t="str">
        <f>IF(OR(D301="",E301=""),"",IF(IFERROR(INDEX(Stats!$D:$D,MATCH($C301,Stats!$A:$A,0)),FALSE),ROUND(D301+(E301-D301)*(1+G301)*((1-1)/(MaxLevel-1))^(2^F301),0),D301+(E301-D301)*(1+G301)*((1-1)/(MaxLevel-1))^(2^F301)))</f>
        <v/>
      </c>
      <c r="I301" s="12" t="str">
        <f>IF(OR(D301="",E301=""),"",IF(IFERROR(INDEX(Stats!$D:$D,MATCH($C301,Stats!$A:$A,0)),FALSE),ROUND(D301+(E301-D301)*(1+G301)*((2-1)/(MaxLevel-1))^(2^F301),0),D301+(E301-D301)*(1+G301)*((2-1)/(MaxLevel-1))^(2^F301)))</f>
        <v/>
      </c>
      <c r="J301" s="12" t="str">
        <f>IF(OR(D301="",E301=""),"",IF(IFERROR(INDEX(Stats!$D:$D,MATCH($C301,Stats!$A:$A,0)),FALSE),ROUND(D301+(E301-D301)*(1+G301)*((3-1)/(MaxLevel-1))^(2^F301),0),D301+(E301-D301)*(1+G301)*((3-1)/(MaxLevel-1))^(2^F301)))</f>
        <v/>
      </c>
      <c r="K301" s="12" t="str">
        <f>IF(OR(D301="",E301=""),"",IF(IFERROR(INDEX(Stats!$D:$D,MATCH($C301,Stats!$A:$A,0)),FALSE),ROUND(D301+(E301-D301)*(1+G301)*((4-1)/(MaxLevel-1))^(2^F301),0),D301+(E301-D301)*(1+G301)*((4-1)/(MaxLevel-1))^(2^F301)))</f>
        <v/>
      </c>
      <c r="L301" s="12" t="str">
        <f>IF(OR(D301="",E301=""),"",IF(IFERROR(INDEX(Stats!$D:$D,MATCH($C301,Stats!$A:$A,0)),FALSE),ROUND(D301+(E301-D301)*(1+G301)*((5-1)/(MaxLevel-1))^(2^F301),0),D301+(E301-D301)*(1+G301)*((5-1)/(MaxLevel-1))^(2^F301)))</f>
        <v/>
      </c>
      <c r="M301" s="12" t="str">
        <f>IF(OR(D301="",E301=""),"",IF(IFERROR(INDEX(Stats!$D:$D,MATCH($C301,Stats!$A:$A,0)),FALSE),ROUND(D301+(E301-D301)*(1+G301)*((6-1)/(MaxLevel-1))^(2^F301),0),D301+(E301-D301)*(1+G301)*((6-1)/(MaxLevel-1))^(2^F301)))</f>
        <v/>
      </c>
      <c r="N301" s="12" t="str">
        <f>IF(OR(D301="",E301=""),"",IF(IFERROR(INDEX(Stats!$D:$D,MATCH($C301,Stats!$A:$A,0)),FALSE),ROUND(D301+(E301-D301)*(1+G301)*((7-1)/(MaxLevel-1))^(2^F301),0),D301+(E301-D301)*(1+G301)*((7-1)/(MaxLevel-1))^(2^F301)))</f>
        <v/>
      </c>
      <c r="O301" s="12" t="str">
        <f>IF(OR(D301="",E301=""),"",IF(IFERROR(INDEX(Stats!$D:$D,MATCH($C301,Stats!$A:$A,0)),FALSE),ROUND(D301+(E301-D301)*(1+G301)*((8-1)/(MaxLevel-1))^(2^F301),0),D301+(E301-D301)*(1+G301)*((8-1)/(MaxLevel-1))^(2^F301)))</f>
        <v/>
      </c>
      <c r="P301" s="12" t="str">
        <f>IF(OR(D301="",E301=""),"",IF(IFERROR(INDEX(Stats!$D:$D,MATCH($C301,Stats!$A:$A,0)),FALSE),ROUND(D301+(E301-D301)*(1+G301)*((9-1)/(MaxLevel-1))^(2^F301),0),D301+(E301-D301)*(1+G301)*((9-1)/(MaxLevel-1))^(2^F301)))</f>
        <v/>
      </c>
      <c r="Q301" s="12" t="str">
        <f>IF(OR(D301="",E301=""),"",IF(IFERROR(INDEX(Stats!$D:$D,MATCH($C301,Stats!$A:$A,0)),FALSE),ROUND(D301+(E301-D301)*(1+G301)*((10-1)/(MaxLevel-1))^(2^F301),0),D301+(E301-D301)*(1+G301)*((10-1)/(MaxLevel-1))^(2^F301)))</f>
        <v/>
      </c>
    </row>
    <row r="302" spans="1:17" x14ac:dyDescent="0.25">
      <c r="A302" s="4" t="s">
        <v>185</v>
      </c>
      <c r="B302" s="19" t="s">
        <v>230</v>
      </c>
      <c r="C302" s="4" t="s">
        <v>54</v>
      </c>
      <c r="D302" s="5"/>
      <c r="E302" s="5"/>
      <c r="F302" s="5"/>
      <c r="G302" s="5"/>
      <c r="H302" s="12" t="str">
        <f>IF(OR(D302="",E302=""),"",IF(IFERROR(INDEX(Stats!$D:$D,MATCH($C302,Stats!$A:$A,0)),FALSE),ROUND(D302+(E302-D302)*(1+G302)*((1-1)/(MaxLevel-1))^(2^F302),0),D302+(E302-D302)*(1+G302)*((1-1)/(MaxLevel-1))^(2^F302)))</f>
        <v/>
      </c>
      <c r="I302" s="12" t="str">
        <f>IF(OR(D302="",E302=""),"",IF(IFERROR(INDEX(Stats!$D:$D,MATCH($C302,Stats!$A:$A,0)),FALSE),ROUND(D302+(E302-D302)*(1+G302)*((2-1)/(MaxLevel-1))^(2^F302),0),D302+(E302-D302)*(1+G302)*((2-1)/(MaxLevel-1))^(2^F302)))</f>
        <v/>
      </c>
      <c r="J302" s="12" t="str">
        <f>IF(OR(D302="",E302=""),"",IF(IFERROR(INDEX(Stats!$D:$D,MATCH($C302,Stats!$A:$A,0)),FALSE),ROUND(D302+(E302-D302)*(1+G302)*((3-1)/(MaxLevel-1))^(2^F302),0),D302+(E302-D302)*(1+G302)*((3-1)/(MaxLevel-1))^(2^F302)))</f>
        <v/>
      </c>
      <c r="K302" s="12" t="str">
        <f>IF(OR(D302="",E302=""),"",IF(IFERROR(INDEX(Stats!$D:$D,MATCH($C302,Stats!$A:$A,0)),FALSE),ROUND(D302+(E302-D302)*(1+G302)*((4-1)/(MaxLevel-1))^(2^F302),0),D302+(E302-D302)*(1+G302)*((4-1)/(MaxLevel-1))^(2^F302)))</f>
        <v/>
      </c>
      <c r="L302" s="12" t="str">
        <f>IF(OR(D302="",E302=""),"",IF(IFERROR(INDEX(Stats!$D:$D,MATCH($C302,Stats!$A:$A,0)),FALSE),ROUND(D302+(E302-D302)*(1+G302)*((5-1)/(MaxLevel-1))^(2^F302),0),D302+(E302-D302)*(1+G302)*((5-1)/(MaxLevel-1))^(2^F302)))</f>
        <v/>
      </c>
      <c r="M302" s="12" t="str">
        <f>IF(OR(D302="",E302=""),"",IF(IFERROR(INDEX(Stats!$D:$D,MATCH($C302,Stats!$A:$A,0)),FALSE),ROUND(D302+(E302-D302)*(1+G302)*((6-1)/(MaxLevel-1))^(2^F302),0),D302+(E302-D302)*(1+G302)*((6-1)/(MaxLevel-1))^(2^F302)))</f>
        <v/>
      </c>
      <c r="N302" s="12" t="str">
        <f>IF(OR(D302="",E302=""),"",IF(IFERROR(INDEX(Stats!$D:$D,MATCH($C302,Stats!$A:$A,0)),FALSE),ROUND(D302+(E302-D302)*(1+G302)*((7-1)/(MaxLevel-1))^(2^F302),0),D302+(E302-D302)*(1+G302)*((7-1)/(MaxLevel-1))^(2^F302)))</f>
        <v/>
      </c>
      <c r="O302" s="12" t="str">
        <f>IF(OR(D302="",E302=""),"",IF(IFERROR(INDEX(Stats!$D:$D,MATCH($C302,Stats!$A:$A,0)),FALSE),ROUND(D302+(E302-D302)*(1+G302)*((8-1)/(MaxLevel-1))^(2^F302),0),D302+(E302-D302)*(1+G302)*((8-1)/(MaxLevel-1))^(2^F302)))</f>
        <v/>
      </c>
      <c r="P302" s="12" t="str">
        <f>IF(OR(D302="",E302=""),"",IF(IFERROR(INDEX(Stats!$D:$D,MATCH($C302,Stats!$A:$A,0)),FALSE),ROUND(D302+(E302-D302)*(1+G302)*((9-1)/(MaxLevel-1))^(2^F302),0),D302+(E302-D302)*(1+G302)*((9-1)/(MaxLevel-1))^(2^F302)))</f>
        <v/>
      </c>
      <c r="Q302" s="12" t="str">
        <f>IF(OR(D302="",E302=""),"",IF(IFERROR(INDEX(Stats!$D:$D,MATCH($C302,Stats!$A:$A,0)),FALSE),ROUND(D302+(E302-D302)*(1+G302)*((10-1)/(MaxLevel-1))^(2^F302),0),D302+(E302-D302)*(1+G302)*((10-1)/(MaxLevel-1))^(2^F302)))</f>
        <v/>
      </c>
    </row>
    <row r="303" spans="1:17" x14ac:dyDescent="0.25">
      <c r="A303" s="4" t="s">
        <v>185</v>
      </c>
      <c r="B303" s="19" t="s">
        <v>230</v>
      </c>
      <c r="C303" s="4" t="s">
        <v>56</v>
      </c>
      <c r="D303" s="5"/>
      <c r="E303" s="5"/>
      <c r="F303" s="5"/>
      <c r="G303" s="5"/>
      <c r="H303" s="12" t="str">
        <f>IF(OR(D303="",E303=""),"",IF(IFERROR(INDEX(Stats!$D:$D,MATCH($C303,Stats!$A:$A,0)),FALSE),ROUND(D303+(E303-D303)*(1+G303)*((1-1)/(MaxLevel-1))^(2^F303),0),D303+(E303-D303)*(1+G303)*((1-1)/(MaxLevel-1))^(2^F303)))</f>
        <v/>
      </c>
      <c r="I303" s="12" t="str">
        <f>IF(OR(D303="",E303=""),"",IF(IFERROR(INDEX(Stats!$D:$D,MATCH($C303,Stats!$A:$A,0)),FALSE),ROUND(D303+(E303-D303)*(1+G303)*((2-1)/(MaxLevel-1))^(2^F303),0),D303+(E303-D303)*(1+G303)*((2-1)/(MaxLevel-1))^(2^F303)))</f>
        <v/>
      </c>
      <c r="J303" s="12" t="str">
        <f>IF(OR(D303="",E303=""),"",IF(IFERROR(INDEX(Stats!$D:$D,MATCH($C303,Stats!$A:$A,0)),FALSE),ROUND(D303+(E303-D303)*(1+G303)*((3-1)/(MaxLevel-1))^(2^F303),0),D303+(E303-D303)*(1+G303)*((3-1)/(MaxLevel-1))^(2^F303)))</f>
        <v/>
      </c>
      <c r="K303" s="12" t="str">
        <f>IF(OR(D303="",E303=""),"",IF(IFERROR(INDEX(Stats!$D:$D,MATCH($C303,Stats!$A:$A,0)),FALSE),ROUND(D303+(E303-D303)*(1+G303)*((4-1)/(MaxLevel-1))^(2^F303),0),D303+(E303-D303)*(1+G303)*((4-1)/(MaxLevel-1))^(2^F303)))</f>
        <v/>
      </c>
      <c r="L303" s="12" t="str">
        <f>IF(OR(D303="",E303=""),"",IF(IFERROR(INDEX(Stats!$D:$D,MATCH($C303,Stats!$A:$A,0)),FALSE),ROUND(D303+(E303-D303)*(1+G303)*((5-1)/(MaxLevel-1))^(2^F303),0),D303+(E303-D303)*(1+G303)*((5-1)/(MaxLevel-1))^(2^F303)))</f>
        <v/>
      </c>
      <c r="M303" s="12" t="str">
        <f>IF(OR(D303="",E303=""),"",IF(IFERROR(INDEX(Stats!$D:$D,MATCH($C303,Stats!$A:$A,0)),FALSE),ROUND(D303+(E303-D303)*(1+G303)*((6-1)/(MaxLevel-1))^(2^F303),0),D303+(E303-D303)*(1+G303)*((6-1)/(MaxLevel-1))^(2^F303)))</f>
        <v/>
      </c>
      <c r="N303" s="12" t="str">
        <f>IF(OR(D303="",E303=""),"",IF(IFERROR(INDEX(Stats!$D:$D,MATCH($C303,Stats!$A:$A,0)),FALSE),ROUND(D303+(E303-D303)*(1+G303)*((7-1)/(MaxLevel-1))^(2^F303),0),D303+(E303-D303)*(1+G303)*((7-1)/(MaxLevel-1))^(2^F303)))</f>
        <v/>
      </c>
      <c r="O303" s="12" t="str">
        <f>IF(OR(D303="",E303=""),"",IF(IFERROR(INDEX(Stats!$D:$D,MATCH($C303,Stats!$A:$A,0)),FALSE),ROUND(D303+(E303-D303)*(1+G303)*((8-1)/(MaxLevel-1))^(2^F303),0),D303+(E303-D303)*(1+G303)*((8-1)/(MaxLevel-1))^(2^F303)))</f>
        <v/>
      </c>
      <c r="P303" s="12" t="str">
        <f>IF(OR(D303="",E303=""),"",IF(IFERROR(INDEX(Stats!$D:$D,MATCH($C303,Stats!$A:$A,0)),FALSE),ROUND(D303+(E303-D303)*(1+G303)*((9-1)/(MaxLevel-1))^(2^F303),0),D303+(E303-D303)*(1+G303)*((9-1)/(MaxLevel-1))^(2^F303)))</f>
        <v/>
      </c>
      <c r="Q303" s="12" t="str">
        <f>IF(OR(D303="",E303=""),"",IF(IFERROR(INDEX(Stats!$D:$D,MATCH($C303,Stats!$A:$A,0)),FALSE),ROUND(D303+(E303-D303)*(1+G303)*((10-1)/(MaxLevel-1))^(2^F303),0),D303+(E303-D303)*(1+G303)*((10-1)/(MaxLevel-1))^(2^F303)))</f>
        <v/>
      </c>
    </row>
    <row r="304" spans="1:17" x14ac:dyDescent="0.25">
      <c r="A304" s="4" t="s">
        <v>185</v>
      </c>
      <c r="B304" s="19" t="s">
        <v>230</v>
      </c>
      <c r="C304" s="4" t="s">
        <v>58</v>
      </c>
      <c r="D304" s="5"/>
      <c r="E304" s="5"/>
      <c r="F304" s="5"/>
      <c r="G304" s="5"/>
      <c r="H304" s="12" t="str">
        <f>IF(OR(D304="",E304=""),"",IF(IFERROR(INDEX(Stats!$D:$D,MATCH($C304,Stats!$A:$A,0)),FALSE),ROUND(D304+(E304-D304)*(1+G304)*((1-1)/(MaxLevel-1))^(2^F304),0),D304+(E304-D304)*(1+G304)*((1-1)/(MaxLevel-1))^(2^F304)))</f>
        <v/>
      </c>
      <c r="I304" s="12" t="str">
        <f>IF(OR(D304="",E304=""),"",IF(IFERROR(INDEX(Stats!$D:$D,MATCH($C304,Stats!$A:$A,0)),FALSE),ROUND(D304+(E304-D304)*(1+G304)*((2-1)/(MaxLevel-1))^(2^F304),0),D304+(E304-D304)*(1+G304)*((2-1)/(MaxLevel-1))^(2^F304)))</f>
        <v/>
      </c>
      <c r="J304" s="12" t="str">
        <f>IF(OR(D304="",E304=""),"",IF(IFERROR(INDEX(Stats!$D:$D,MATCH($C304,Stats!$A:$A,0)),FALSE),ROUND(D304+(E304-D304)*(1+G304)*((3-1)/(MaxLevel-1))^(2^F304),0),D304+(E304-D304)*(1+G304)*((3-1)/(MaxLevel-1))^(2^F304)))</f>
        <v/>
      </c>
      <c r="K304" s="12" t="str">
        <f>IF(OR(D304="",E304=""),"",IF(IFERROR(INDEX(Stats!$D:$D,MATCH($C304,Stats!$A:$A,0)),FALSE),ROUND(D304+(E304-D304)*(1+G304)*((4-1)/(MaxLevel-1))^(2^F304),0),D304+(E304-D304)*(1+G304)*((4-1)/(MaxLevel-1))^(2^F304)))</f>
        <v/>
      </c>
      <c r="L304" s="12" t="str">
        <f>IF(OR(D304="",E304=""),"",IF(IFERROR(INDEX(Stats!$D:$D,MATCH($C304,Stats!$A:$A,0)),FALSE),ROUND(D304+(E304-D304)*(1+G304)*((5-1)/(MaxLevel-1))^(2^F304),0),D304+(E304-D304)*(1+G304)*((5-1)/(MaxLevel-1))^(2^F304)))</f>
        <v/>
      </c>
      <c r="M304" s="12" t="str">
        <f>IF(OR(D304="",E304=""),"",IF(IFERROR(INDEX(Stats!$D:$D,MATCH($C304,Stats!$A:$A,0)),FALSE),ROUND(D304+(E304-D304)*(1+G304)*((6-1)/(MaxLevel-1))^(2^F304),0),D304+(E304-D304)*(1+G304)*((6-1)/(MaxLevel-1))^(2^F304)))</f>
        <v/>
      </c>
      <c r="N304" s="12" t="str">
        <f>IF(OR(D304="",E304=""),"",IF(IFERROR(INDEX(Stats!$D:$D,MATCH($C304,Stats!$A:$A,0)),FALSE),ROUND(D304+(E304-D304)*(1+G304)*((7-1)/(MaxLevel-1))^(2^F304),0),D304+(E304-D304)*(1+G304)*((7-1)/(MaxLevel-1))^(2^F304)))</f>
        <v/>
      </c>
      <c r="O304" s="12" t="str">
        <f>IF(OR(D304="",E304=""),"",IF(IFERROR(INDEX(Stats!$D:$D,MATCH($C304,Stats!$A:$A,0)),FALSE),ROUND(D304+(E304-D304)*(1+G304)*((8-1)/(MaxLevel-1))^(2^F304),0),D304+(E304-D304)*(1+G304)*((8-1)/(MaxLevel-1))^(2^F304)))</f>
        <v/>
      </c>
      <c r="P304" s="12" t="str">
        <f>IF(OR(D304="",E304=""),"",IF(IFERROR(INDEX(Stats!$D:$D,MATCH($C304,Stats!$A:$A,0)),FALSE),ROUND(D304+(E304-D304)*(1+G304)*((9-1)/(MaxLevel-1))^(2^F304),0),D304+(E304-D304)*(1+G304)*((9-1)/(MaxLevel-1))^(2^F304)))</f>
        <v/>
      </c>
      <c r="Q304" s="12" t="str">
        <f>IF(OR(D304="",E304=""),"",IF(IFERROR(INDEX(Stats!$D:$D,MATCH($C304,Stats!$A:$A,0)),FALSE),ROUND(D304+(E304-D304)*(1+G304)*((10-1)/(MaxLevel-1))^(2^F304),0),D304+(E304-D304)*(1+G304)*((10-1)/(MaxLevel-1))^(2^F304)))</f>
        <v/>
      </c>
    </row>
    <row r="305" spans="1:17" x14ac:dyDescent="0.25">
      <c r="A305" s="4" t="s">
        <v>185</v>
      </c>
      <c r="B305" s="19" t="s">
        <v>230</v>
      </c>
      <c r="C305" s="4" t="s">
        <v>60</v>
      </c>
      <c r="D305" s="5"/>
      <c r="E305" s="5"/>
      <c r="F305" s="5"/>
      <c r="G305" s="5"/>
      <c r="H305" s="12" t="str">
        <f>IF(OR(D305="",E305=""),"",IF(IFERROR(INDEX(Stats!$D:$D,MATCH($C305,Stats!$A:$A,0)),FALSE),ROUND(D305+(E305-D305)*(1+G305)*((1-1)/(MaxLevel-1))^(2^F305),0),D305+(E305-D305)*(1+G305)*((1-1)/(MaxLevel-1))^(2^F305)))</f>
        <v/>
      </c>
      <c r="I305" s="12" t="str">
        <f>IF(OR(D305="",E305=""),"",IF(IFERROR(INDEX(Stats!$D:$D,MATCH($C305,Stats!$A:$A,0)),FALSE),ROUND(D305+(E305-D305)*(1+G305)*((2-1)/(MaxLevel-1))^(2^F305),0),D305+(E305-D305)*(1+G305)*((2-1)/(MaxLevel-1))^(2^F305)))</f>
        <v/>
      </c>
      <c r="J305" s="12" t="str">
        <f>IF(OR(D305="",E305=""),"",IF(IFERROR(INDEX(Stats!$D:$D,MATCH($C305,Stats!$A:$A,0)),FALSE),ROUND(D305+(E305-D305)*(1+G305)*((3-1)/(MaxLevel-1))^(2^F305),0),D305+(E305-D305)*(1+G305)*((3-1)/(MaxLevel-1))^(2^F305)))</f>
        <v/>
      </c>
      <c r="K305" s="12" t="str">
        <f>IF(OR(D305="",E305=""),"",IF(IFERROR(INDEX(Stats!$D:$D,MATCH($C305,Stats!$A:$A,0)),FALSE),ROUND(D305+(E305-D305)*(1+G305)*((4-1)/(MaxLevel-1))^(2^F305),0),D305+(E305-D305)*(1+G305)*((4-1)/(MaxLevel-1))^(2^F305)))</f>
        <v/>
      </c>
      <c r="L305" s="12" t="str">
        <f>IF(OR(D305="",E305=""),"",IF(IFERROR(INDEX(Stats!$D:$D,MATCH($C305,Stats!$A:$A,0)),FALSE),ROUND(D305+(E305-D305)*(1+G305)*((5-1)/(MaxLevel-1))^(2^F305),0),D305+(E305-D305)*(1+G305)*((5-1)/(MaxLevel-1))^(2^F305)))</f>
        <v/>
      </c>
      <c r="M305" s="12" t="str">
        <f>IF(OR(D305="",E305=""),"",IF(IFERROR(INDEX(Stats!$D:$D,MATCH($C305,Stats!$A:$A,0)),FALSE),ROUND(D305+(E305-D305)*(1+G305)*((6-1)/(MaxLevel-1))^(2^F305),0),D305+(E305-D305)*(1+G305)*((6-1)/(MaxLevel-1))^(2^F305)))</f>
        <v/>
      </c>
      <c r="N305" s="12" t="str">
        <f>IF(OR(D305="",E305=""),"",IF(IFERROR(INDEX(Stats!$D:$D,MATCH($C305,Stats!$A:$A,0)),FALSE),ROUND(D305+(E305-D305)*(1+G305)*((7-1)/(MaxLevel-1))^(2^F305),0),D305+(E305-D305)*(1+G305)*((7-1)/(MaxLevel-1))^(2^F305)))</f>
        <v/>
      </c>
      <c r="O305" s="12" t="str">
        <f>IF(OR(D305="",E305=""),"",IF(IFERROR(INDEX(Stats!$D:$D,MATCH($C305,Stats!$A:$A,0)),FALSE),ROUND(D305+(E305-D305)*(1+G305)*((8-1)/(MaxLevel-1))^(2^F305),0),D305+(E305-D305)*(1+G305)*((8-1)/(MaxLevel-1))^(2^F305)))</f>
        <v/>
      </c>
      <c r="P305" s="12" t="str">
        <f>IF(OR(D305="",E305=""),"",IF(IFERROR(INDEX(Stats!$D:$D,MATCH($C305,Stats!$A:$A,0)),FALSE),ROUND(D305+(E305-D305)*(1+G305)*((9-1)/(MaxLevel-1))^(2^F305),0),D305+(E305-D305)*(1+G305)*((9-1)/(MaxLevel-1))^(2^F305)))</f>
        <v/>
      </c>
      <c r="Q305" s="12" t="str">
        <f>IF(OR(D305="",E305=""),"",IF(IFERROR(INDEX(Stats!$D:$D,MATCH($C305,Stats!$A:$A,0)),FALSE),ROUND(D305+(E305-D305)*(1+G305)*((10-1)/(MaxLevel-1))^(2^F305),0),D305+(E305-D305)*(1+G305)*((10-1)/(MaxLevel-1))^(2^F305)))</f>
        <v/>
      </c>
    </row>
    <row r="306" spans="1:17" x14ac:dyDescent="0.25">
      <c r="A306" s="4" t="s">
        <v>185</v>
      </c>
      <c r="B306" s="19" t="s">
        <v>231</v>
      </c>
      <c r="C306" s="4" t="s">
        <v>24</v>
      </c>
      <c r="D306" s="5">
        <v>0</v>
      </c>
      <c r="E306" s="5">
        <v>10000</v>
      </c>
      <c r="F306" s="5">
        <v>1</v>
      </c>
      <c r="G306" s="5">
        <v>0</v>
      </c>
      <c r="H306" s="12">
        <f>IF(OR(D306="",E306=""),"",IF(IFERROR(INDEX(Stats!$D:$D,MATCH($C306,Stats!$A:$A,0)),FALSE),ROUND(D306+(E306-D306)*(1+G306)*((1-1)/(MaxLevel-1))^(2^F306),0),D306+(E306-D306)*(1+G306)*((1-1)/(MaxLevel-1))^(2^F306)))</f>
        <v>0</v>
      </c>
      <c r="I306" s="12">
        <f>IF(OR(D306="",E306=""),"",IF(IFERROR(INDEX(Stats!$D:$D,MATCH($C306,Stats!$A:$A,0)),FALSE),ROUND(D306+(E306-D306)*(1+G306)*((2-1)/(MaxLevel-1))^(2^F306),0),D306+(E306-D306)*(1+G306)*((2-1)/(MaxLevel-1))^(2^F306)))</f>
        <v>123</v>
      </c>
      <c r="J306" s="12">
        <f>IF(OR(D306="",E306=""),"",IF(IFERROR(INDEX(Stats!$D:$D,MATCH($C306,Stats!$A:$A,0)),FALSE),ROUND(D306+(E306-D306)*(1+G306)*((3-1)/(MaxLevel-1))^(2^F306),0),D306+(E306-D306)*(1+G306)*((3-1)/(MaxLevel-1))^(2^F306)))</f>
        <v>494</v>
      </c>
      <c r="K306" s="12">
        <f>IF(OR(D306="",E306=""),"",IF(IFERROR(INDEX(Stats!$D:$D,MATCH($C306,Stats!$A:$A,0)),FALSE),ROUND(D306+(E306-D306)*(1+G306)*((4-1)/(MaxLevel-1))^(2^F306),0),D306+(E306-D306)*(1+G306)*((4-1)/(MaxLevel-1))^(2^F306)))</f>
        <v>1111</v>
      </c>
      <c r="L306" s="12">
        <f>IF(OR(D306="",E306=""),"",IF(IFERROR(INDEX(Stats!$D:$D,MATCH($C306,Stats!$A:$A,0)),FALSE),ROUND(D306+(E306-D306)*(1+G306)*((5-1)/(MaxLevel-1))^(2^F306),0),D306+(E306-D306)*(1+G306)*((5-1)/(MaxLevel-1))^(2^F306)))</f>
        <v>1975</v>
      </c>
      <c r="M306" s="12">
        <f>IF(OR(D306="",E306=""),"",IF(IFERROR(INDEX(Stats!$D:$D,MATCH($C306,Stats!$A:$A,0)),FALSE),ROUND(D306+(E306-D306)*(1+G306)*((6-1)/(MaxLevel-1))^(2^F306),0),D306+(E306-D306)*(1+G306)*((6-1)/(MaxLevel-1))^(2^F306)))</f>
        <v>3086</v>
      </c>
      <c r="N306" s="12">
        <f>IF(OR(D306="",E306=""),"",IF(IFERROR(INDEX(Stats!$D:$D,MATCH($C306,Stats!$A:$A,0)),FALSE),ROUND(D306+(E306-D306)*(1+G306)*((7-1)/(MaxLevel-1))^(2^F306),0),D306+(E306-D306)*(1+G306)*((7-1)/(MaxLevel-1))^(2^F306)))</f>
        <v>4444</v>
      </c>
      <c r="O306" s="12">
        <f>IF(OR(D306="",E306=""),"",IF(IFERROR(INDEX(Stats!$D:$D,MATCH($C306,Stats!$A:$A,0)),FALSE),ROUND(D306+(E306-D306)*(1+G306)*((8-1)/(MaxLevel-1))^(2^F306),0),D306+(E306-D306)*(1+G306)*((8-1)/(MaxLevel-1))^(2^F306)))</f>
        <v>6049</v>
      </c>
      <c r="P306" s="12">
        <f>IF(OR(D306="",E306=""),"",IF(IFERROR(INDEX(Stats!$D:$D,MATCH($C306,Stats!$A:$A,0)),FALSE),ROUND(D306+(E306-D306)*(1+G306)*((9-1)/(MaxLevel-1))^(2^F306),0),D306+(E306-D306)*(1+G306)*((9-1)/(MaxLevel-1))^(2^F306)))</f>
        <v>7901</v>
      </c>
      <c r="Q306" s="12">
        <f>IF(OR(D306="",E306=""),"",IF(IFERROR(INDEX(Stats!$D:$D,MATCH($C306,Stats!$A:$A,0)),FALSE),ROUND(D306+(E306-D306)*(1+G306)*((10-1)/(MaxLevel-1))^(2^F306),0),D306+(E306-D306)*(1+G306)*((10-1)/(MaxLevel-1))^(2^F306)))</f>
        <v>10000</v>
      </c>
    </row>
    <row r="307" spans="1:17" x14ac:dyDescent="0.25">
      <c r="A307" s="4" t="s">
        <v>185</v>
      </c>
      <c r="B307" s="19" t="s">
        <v>231</v>
      </c>
      <c r="C307" s="4" t="s">
        <v>26</v>
      </c>
      <c r="D307" s="5">
        <v>25</v>
      </c>
      <c r="E307" s="5">
        <v>150</v>
      </c>
      <c r="F307" s="5">
        <v>0</v>
      </c>
      <c r="G307" s="5">
        <v>0</v>
      </c>
      <c r="H307" s="12">
        <f>IF(OR(D307="",E307=""),"",IF(IFERROR(INDEX(Stats!$D:$D,MATCH($C307,Stats!$A:$A,0)),FALSE),ROUND(D307+(E307-D307)*(1+G307)*((1-1)/(MaxLevel-1))^(2^F307),0),D307+(E307-D307)*(1+G307)*((1-1)/(MaxLevel-1))^(2^F307)))</f>
        <v>25</v>
      </c>
      <c r="I307" s="12">
        <f>IF(OR(D307="",E307=""),"",IF(IFERROR(INDEX(Stats!$D:$D,MATCH($C307,Stats!$A:$A,0)),FALSE),ROUND(D307+(E307-D307)*(1+G307)*((2-1)/(MaxLevel-1))^(2^F307),0),D307+(E307-D307)*(1+G307)*((2-1)/(MaxLevel-1))^(2^F307)))</f>
        <v>39</v>
      </c>
      <c r="J307" s="12">
        <f>IF(OR(D307="",E307=""),"",IF(IFERROR(INDEX(Stats!$D:$D,MATCH($C307,Stats!$A:$A,0)),FALSE),ROUND(D307+(E307-D307)*(1+G307)*((3-1)/(MaxLevel-1))^(2^F307),0),D307+(E307-D307)*(1+G307)*((3-1)/(MaxLevel-1))^(2^F307)))</f>
        <v>53</v>
      </c>
      <c r="K307" s="12">
        <f>IF(OR(D307="",E307=""),"",IF(IFERROR(INDEX(Stats!$D:$D,MATCH($C307,Stats!$A:$A,0)),FALSE),ROUND(D307+(E307-D307)*(1+G307)*((4-1)/(MaxLevel-1))^(2^F307),0),D307+(E307-D307)*(1+G307)*((4-1)/(MaxLevel-1))^(2^F307)))</f>
        <v>67</v>
      </c>
      <c r="L307" s="12">
        <f>IF(OR(D307="",E307=""),"",IF(IFERROR(INDEX(Stats!$D:$D,MATCH($C307,Stats!$A:$A,0)),FALSE),ROUND(D307+(E307-D307)*(1+G307)*((5-1)/(MaxLevel-1))^(2^F307),0),D307+(E307-D307)*(1+G307)*((5-1)/(MaxLevel-1))^(2^F307)))</f>
        <v>81</v>
      </c>
      <c r="M307" s="12">
        <f>IF(OR(D307="",E307=""),"",IF(IFERROR(INDEX(Stats!$D:$D,MATCH($C307,Stats!$A:$A,0)),FALSE),ROUND(D307+(E307-D307)*(1+G307)*((6-1)/(MaxLevel-1))^(2^F307),0),D307+(E307-D307)*(1+G307)*((6-1)/(MaxLevel-1))^(2^F307)))</f>
        <v>94</v>
      </c>
      <c r="N307" s="12">
        <f>IF(OR(D307="",E307=""),"",IF(IFERROR(INDEX(Stats!$D:$D,MATCH($C307,Stats!$A:$A,0)),FALSE),ROUND(D307+(E307-D307)*(1+G307)*((7-1)/(MaxLevel-1))^(2^F307),0),D307+(E307-D307)*(1+G307)*((7-1)/(MaxLevel-1))^(2^F307)))</f>
        <v>108</v>
      </c>
      <c r="O307" s="12">
        <f>IF(OR(D307="",E307=""),"",IF(IFERROR(INDEX(Stats!$D:$D,MATCH($C307,Stats!$A:$A,0)),FALSE),ROUND(D307+(E307-D307)*(1+G307)*((8-1)/(MaxLevel-1))^(2^F307),0),D307+(E307-D307)*(1+G307)*((8-1)/(MaxLevel-1))^(2^F307)))</f>
        <v>122</v>
      </c>
      <c r="P307" s="12">
        <f>IF(OR(D307="",E307=""),"",IF(IFERROR(INDEX(Stats!$D:$D,MATCH($C307,Stats!$A:$A,0)),FALSE),ROUND(D307+(E307-D307)*(1+G307)*((9-1)/(MaxLevel-1))^(2^F307),0),D307+(E307-D307)*(1+G307)*((9-1)/(MaxLevel-1))^(2^F307)))</f>
        <v>136</v>
      </c>
      <c r="Q307" s="12">
        <f>IF(OR(D307="",E307=""),"",IF(IFERROR(INDEX(Stats!$D:$D,MATCH($C307,Stats!$A:$A,0)),FALSE),ROUND(D307+(E307-D307)*(1+G307)*((10-1)/(MaxLevel-1))^(2^F307),0),D307+(E307-D307)*(1+G307)*((10-1)/(MaxLevel-1))^(2^F307)))</f>
        <v>150</v>
      </c>
    </row>
    <row r="308" spans="1:17" x14ac:dyDescent="0.25">
      <c r="A308" s="4" t="s">
        <v>185</v>
      </c>
      <c r="B308" s="19" t="s">
        <v>231</v>
      </c>
      <c r="C308" s="4" t="s">
        <v>28</v>
      </c>
      <c r="D308" s="5">
        <v>300</v>
      </c>
      <c r="E308" s="5">
        <v>1200</v>
      </c>
      <c r="F308" s="5">
        <v>0</v>
      </c>
      <c r="G308" s="5">
        <v>-0.1</v>
      </c>
      <c r="H308" s="12">
        <f>IF(OR(D308="",E308=""),"",IF(IFERROR(INDEX(Stats!$D:$D,MATCH($C308,Stats!$A:$A,0)),FALSE),ROUND(D308+(E308-D308)*(1+G308)*((1-1)/(MaxLevel-1))^(2^F308),0),D308+(E308-D308)*(1+G308)*((1-1)/(MaxLevel-1))^(2^F308)))</f>
        <v>300</v>
      </c>
      <c r="I308" s="12">
        <f>IF(OR(D308="",E308=""),"",IF(IFERROR(INDEX(Stats!$D:$D,MATCH($C308,Stats!$A:$A,0)),FALSE),ROUND(D308+(E308-D308)*(1+G308)*((2-1)/(MaxLevel-1))^(2^F308),0),D308+(E308-D308)*(1+G308)*((2-1)/(MaxLevel-1))^(2^F308)))</f>
        <v>390</v>
      </c>
      <c r="J308" s="12">
        <f>IF(OR(D308="",E308=""),"",IF(IFERROR(INDEX(Stats!$D:$D,MATCH($C308,Stats!$A:$A,0)),FALSE),ROUND(D308+(E308-D308)*(1+G308)*((3-1)/(MaxLevel-1))^(2^F308),0),D308+(E308-D308)*(1+G308)*((3-1)/(MaxLevel-1))^(2^F308)))</f>
        <v>480</v>
      </c>
      <c r="K308" s="12">
        <f>IF(OR(D308="",E308=""),"",IF(IFERROR(INDEX(Stats!$D:$D,MATCH($C308,Stats!$A:$A,0)),FALSE),ROUND(D308+(E308-D308)*(1+G308)*((4-1)/(MaxLevel-1))^(2^F308),0),D308+(E308-D308)*(1+G308)*((4-1)/(MaxLevel-1))^(2^F308)))</f>
        <v>570</v>
      </c>
      <c r="L308" s="12">
        <f>IF(OR(D308="",E308=""),"",IF(IFERROR(INDEX(Stats!$D:$D,MATCH($C308,Stats!$A:$A,0)),FALSE),ROUND(D308+(E308-D308)*(1+G308)*((5-1)/(MaxLevel-1))^(2^F308),0),D308+(E308-D308)*(1+G308)*((5-1)/(MaxLevel-1))^(2^F308)))</f>
        <v>660</v>
      </c>
      <c r="M308" s="12">
        <f>IF(OR(D308="",E308=""),"",IF(IFERROR(INDEX(Stats!$D:$D,MATCH($C308,Stats!$A:$A,0)),FALSE),ROUND(D308+(E308-D308)*(1+G308)*((6-1)/(MaxLevel-1))^(2^F308),0),D308+(E308-D308)*(1+G308)*((6-1)/(MaxLevel-1))^(2^F308)))</f>
        <v>750</v>
      </c>
      <c r="N308" s="12">
        <f>IF(OR(D308="",E308=""),"",IF(IFERROR(INDEX(Stats!$D:$D,MATCH($C308,Stats!$A:$A,0)),FALSE),ROUND(D308+(E308-D308)*(1+G308)*((7-1)/(MaxLevel-1))^(2^F308),0),D308+(E308-D308)*(1+G308)*((7-1)/(MaxLevel-1))^(2^F308)))</f>
        <v>840</v>
      </c>
      <c r="O308" s="12">
        <f>IF(OR(D308="",E308=""),"",IF(IFERROR(INDEX(Stats!$D:$D,MATCH($C308,Stats!$A:$A,0)),FALSE),ROUND(D308+(E308-D308)*(1+G308)*((8-1)/(MaxLevel-1))^(2^F308),0),D308+(E308-D308)*(1+G308)*((8-1)/(MaxLevel-1))^(2^F308)))</f>
        <v>930</v>
      </c>
      <c r="P308" s="12">
        <f>IF(OR(D308="",E308=""),"",IF(IFERROR(INDEX(Stats!$D:$D,MATCH($C308,Stats!$A:$A,0)),FALSE),ROUND(D308+(E308-D308)*(1+G308)*((9-1)/(MaxLevel-1))^(2^F308),0),D308+(E308-D308)*(1+G308)*((9-1)/(MaxLevel-1))^(2^F308)))</f>
        <v>1020</v>
      </c>
      <c r="Q308" s="12">
        <f>IF(OR(D308="",E308=""),"",IF(IFERROR(INDEX(Stats!$D:$D,MATCH($C308,Stats!$A:$A,0)),FALSE),ROUND(D308+(E308-D308)*(1+G308)*((10-1)/(MaxLevel-1))^(2^F308),0),D308+(E308-D308)*(1+G308)*((10-1)/(MaxLevel-1))^(2^F308)))</f>
        <v>1110</v>
      </c>
    </row>
    <row r="309" spans="1:17" x14ac:dyDescent="0.25">
      <c r="A309" s="4" t="s">
        <v>185</v>
      </c>
      <c r="B309" s="19" t="s">
        <v>231</v>
      </c>
      <c r="C309" s="4" t="s">
        <v>30</v>
      </c>
      <c r="D309" s="5">
        <v>25</v>
      </c>
      <c r="E309" s="5">
        <v>110</v>
      </c>
      <c r="F309" s="5">
        <v>0.5</v>
      </c>
      <c r="G309" s="5">
        <v>0</v>
      </c>
      <c r="H309" s="12">
        <f>IF(OR(D309="",E309=""),"",IF(IFERROR(INDEX(Stats!$D:$D,MATCH($C309,Stats!$A:$A,0)),FALSE),ROUND(D309+(E309-D309)*(1+G309)*((1-1)/(MaxLevel-1))^(2^F309),0),D309+(E309-D309)*(1+G309)*((1-1)/(MaxLevel-1))^(2^F309)))</f>
        <v>25</v>
      </c>
      <c r="I309" s="12">
        <f>IF(OR(D309="",E309=""),"",IF(IFERROR(INDEX(Stats!$D:$D,MATCH($C309,Stats!$A:$A,0)),FALSE),ROUND(D309+(E309-D309)*(1+G309)*((2-1)/(MaxLevel-1))^(2^F309),0),D309+(E309-D309)*(1+G309)*((2-1)/(MaxLevel-1))^(2^F309)))</f>
        <v>29</v>
      </c>
      <c r="J309" s="12">
        <f>IF(OR(D309="",E309=""),"",IF(IFERROR(INDEX(Stats!$D:$D,MATCH($C309,Stats!$A:$A,0)),FALSE),ROUND(D309+(E309-D309)*(1+G309)*((3-1)/(MaxLevel-1))^(2^F309),0),D309+(E309-D309)*(1+G309)*((3-1)/(MaxLevel-1))^(2^F309)))</f>
        <v>35</v>
      </c>
      <c r="K309" s="12">
        <f>IF(OR(D309="",E309=""),"",IF(IFERROR(INDEX(Stats!$D:$D,MATCH($C309,Stats!$A:$A,0)),FALSE),ROUND(D309+(E309-D309)*(1+G309)*((4-1)/(MaxLevel-1))^(2^F309),0),D309+(E309-D309)*(1+G309)*((4-1)/(MaxLevel-1))^(2^F309)))</f>
        <v>43</v>
      </c>
      <c r="L309" s="12">
        <f>IF(OR(D309="",E309=""),"",IF(IFERROR(INDEX(Stats!$D:$D,MATCH($C309,Stats!$A:$A,0)),FALSE),ROUND(D309+(E309-D309)*(1+G309)*((5-1)/(MaxLevel-1))^(2^F309),0),D309+(E309-D309)*(1+G309)*((5-1)/(MaxLevel-1))^(2^F309)))</f>
        <v>52</v>
      </c>
      <c r="M309" s="12">
        <f>IF(OR(D309="",E309=""),"",IF(IFERROR(INDEX(Stats!$D:$D,MATCH($C309,Stats!$A:$A,0)),FALSE),ROUND(D309+(E309-D309)*(1+G309)*((6-1)/(MaxLevel-1))^(2^F309),0),D309+(E309-D309)*(1+G309)*((6-1)/(MaxLevel-1))^(2^F309)))</f>
        <v>62</v>
      </c>
      <c r="N309" s="12">
        <f>IF(OR(D309="",E309=""),"",IF(IFERROR(INDEX(Stats!$D:$D,MATCH($C309,Stats!$A:$A,0)),FALSE),ROUND(D309+(E309-D309)*(1+G309)*((7-1)/(MaxLevel-1))^(2^F309),0),D309+(E309-D309)*(1+G309)*((7-1)/(MaxLevel-1))^(2^F309)))</f>
        <v>73</v>
      </c>
      <c r="O309" s="12">
        <f>IF(OR(D309="",E309=""),"",IF(IFERROR(INDEX(Stats!$D:$D,MATCH($C309,Stats!$A:$A,0)),FALSE),ROUND(D309+(E309-D309)*(1+G309)*((8-1)/(MaxLevel-1))^(2^F309),0),D309+(E309-D309)*(1+G309)*((8-1)/(MaxLevel-1))^(2^F309)))</f>
        <v>85</v>
      </c>
      <c r="P309" s="12">
        <f>IF(OR(D309="",E309=""),"",IF(IFERROR(INDEX(Stats!$D:$D,MATCH($C309,Stats!$A:$A,0)),FALSE),ROUND(D309+(E309-D309)*(1+G309)*((9-1)/(MaxLevel-1))^(2^F309),0),D309+(E309-D309)*(1+G309)*((9-1)/(MaxLevel-1))^(2^F309)))</f>
        <v>97</v>
      </c>
      <c r="Q309" s="12">
        <f>IF(OR(D309="",E309=""),"",IF(IFERROR(INDEX(Stats!$D:$D,MATCH($C309,Stats!$A:$A,0)),FALSE),ROUND(D309+(E309-D309)*(1+G309)*((10-1)/(MaxLevel-1))^(2^F309),0),D309+(E309-D309)*(1+G309)*((10-1)/(MaxLevel-1))^(2^F309)))</f>
        <v>110</v>
      </c>
    </row>
    <row r="310" spans="1:17" x14ac:dyDescent="0.25">
      <c r="A310" s="4" t="s">
        <v>185</v>
      </c>
      <c r="B310" s="19" t="s">
        <v>231</v>
      </c>
      <c r="C310" s="4" t="s">
        <v>32</v>
      </c>
      <c r="D310" s="5"/>
      <c r="E310" s="5"/>
      <c r="F310" s="5"/>
      <c r="G310" s="5"/>
      <c r="H310" s="12" t="str">
        <f>IF(OR(D310="",E310=""),"",IF(IFERROR(INDEX(Stats!$D:$D,MATCH($C310,Stats!$A:$A,0)),FALSE),ROUND(D310+(E310-D310)*(1+G310)*((1-1)/(MaxLevel-1))^(2^F310),0),D310+(E310-D310)*(1+G310)*((1-1)/(MaxLevel-1))^(2^F310)))</f>
        <v/>
      </c>
      <c r="I310" s="12" t="str">
        <f>IF(OR(D310="",E310=""),"",IF(IFERROR(INDEX(Stats!$D:$D,MATCH($C310,Stats!$A:$A,0)),FALSE),ROUND(D310+(E310-D310)*(1+G310)*((2-1)/(MaxLevel-1))^(2^F310),0),D310+(E310-D310)*(1+G310)*((2-1)/(MaxLevel-1))^(2^F310)))</f>
        <v/>
      </c>
      <c r="J310" s="12" t="str">
        <f>IF(OR(D310="",E310=""),"",IF(IFERROR(INDEX(Stats!$D:$D,MATCH($C310,Stats!$A:$A,0)),FALSE),ROUND(D310+(E310-D310)*(1+G310)*((3-1)/(MaxLevel-1))^(2^F310),0),D310+(E310-D310)*(1+G310)*((3-1)/(MaxLevel-1))^(2^F310)))</f>
        <v/>
      </c>
      <c r="K310" s="12" t="str">
        <f>IF(OR(D310="",E310=""),"",IF(IFERROR(INDEX(Stats!$D:$D,MATCH($C310,Stats!$A:$A,0)),FALSE),ROUND(D310+(E310-D310)*(1+G310)*((4-1)/(MaxLevel-1))^(2^F310),0),D310+(E310-D310)*(1+G310)*((4-1)/(MaxLevel-1))^(2^F310)))</f>
        <v/>
      </c>
      <c r="L310" s="12" t="str">
        <f>IF(OR(D310="",E310=""),"",IF(IFERROR(INDEX(Stats!$D:$D,MATCH($C310,Stats!$A:$A,0)),FALSE),ROUND(D310+(E310-D310)*(1+G310)*((5-1)/(MaxLevel-1))^(2^F310),0),D310+(E310-D310)*(1+G310)*((5-1)/(MaxLevel-1))^(2^F310)))</f>
        <v/>
      </c>
      <c r="M310" s="12" t="str">
        <f>IF(OR(D310="",E310=""),"",IF(IFERROR(INDEX(Stats!$D:$D,MATCH($C310,Stats!$A:$A,0)),FALSE),ROUND(D310+(E310-D310)*(1+G310)*((6-1)/(MaxLevel-1))^(2^F310),0),D310+(E310-D310)*(1+G310)*((6-1)/(MaxLevel-1))^(2^F310)))</f>
        <v/>
      </c>
      <c r="N310" s="12" t="str">
        <f>IF(OR(D310="",E310=""),"",IF(IFERROR(INDEX(Stats!$D:$D,MATCH($C310,Stats!$A:$A,0)),FALSE),ROUND(D310+(E310-D310)*(1+G310)*((7-1)/(MaxLevel-1))^(2^F310),0),D310+(E310-D310)*(1+G310)*((7-1)/(MaxLevel-1))^(2^F310)))</f>
        <v/>
      </c>
      <c r="O310" s="12" t="str">
        <f>IF(OR(D310="",E310=""),"",IF(IFERROR(INDEX(Stats!$D:$D,MATCH($C310,Stats!$A:$A,0)),FALSE),ROUND(D310+(E310-D310)*(1+G310)*((8-1)/(MaxLevel-1))^(2^F310),0),D310+(E310-D310)*(1+G310)*((8-1)/(MaxLevel-1))^(2^F310)))</f>
        <v/>
      </c>
      <c r="P310" s="12" t="str">
        <f>IF(OR(D310="",E310=""),"",IF(IFERROR(INDEX(Stats!$D:$D,MATCH($C310,Stats!$A:$A,0)),FALSE),ROUND(D310+(E310-D310)*(1+G310)*((9-1)/(MaxLevel-1))^(2^F310),0),D310+(E310-D310)*(1+G310)*((9-1)/(MaxLevel-1))^(2^F310)))</f>
        <v/>
      </c>
      <c r="Q310" s="12" t="str">
        <f>IF(OR(D310="",E310=""),"",IF(IFERROR(INDEX(Stats!$D:$D,MATCH($C310,Stats!$A:$A,0)),FALSE),ROUND(D310+(E310-D310)*(1+G310)*((10-1)/(MaxLevel-1))^(2^F310),0),D310+(E310-D310)*(1+G310)*((10-1)/(MaxLevel-1))^(2^F310)))</f>
        <v/>
      </c>
    </row>
    <row r="311" spans="1:17" x14ac:dyDescent="0.25">
      <c r="A311" s="4" t="s">
        <v>185</v>
      </c>
      <c r="B311" s="19" t="s">
        <v>231</v>
      </c>
      <c r="C311" s="4" t="s">
        <v>34</v>
      </c>
      <c r="D311" s="5"/>
      <c r="E311" s="5"/>
      <c r="F311" s="5"/>
      <c r="G311" s="5"/>
      <c r="H311" s="12" t="str">
        <f>IF(OR(D311="",E311=""),"",IF(IFERROR(INDEX(Stats!$D:$D,MATCH($C311,Stats!$A:$A,0)),FALSE),ROUND(D311+(E311-D311)*(1+G311)*((1-1)/(MaxLevel-1))^(2^F311),0),D311+(E311-D311)*(1+G311)*((1-1)/(MaxLevel-1))^(2^F311)))</f>
        <v/>
      </c>
      <c r="I311" s="12" t="str">
        <f>IF(OR(D311="",E311=""),"",IF(IFERROR(INDEX(Stats!$D:$D,MATCH($C311,Stats!$A:$A,0)),FALSE),ROUND(D311+(E311-D311)*(1+G311)*((2-1)/(MaxLevel-1))^(2^F311),0),D311+(E311-D311)*(1+G311)*((2-1)/(MaxLevel-1))^(2^F311)))</f>
        <v/>
      </c>
      <c r="J311" s="12" t="str">
        <f>IF(OR(D311="",E311=""),"",IF(IFERROR(INDEX(Stats!$D:$D,MATCH($C311,Stats!$A:$A,0)),FALSE),ROUND(D311+(E311-D311)*(1+G311)*((3-1)/(MaxLevel-1))^(2^F311),0),D311+(E311-D311)*(1+G311)*((3-1)/(MaxLevel-1))^(2^F311)))</f>
        <v/>
      </c>
      <c r="K311" s="12" t="str">
        <f>IF(OR(D311="",E311=""),"",IF(IFERROR(INDEX(Stats!$D:$D,MATCH($C311,Stats!$A:$A,0)),FALSE),ROUND(D311+(E311-D311)*(1+G311)*((4-1)/(MaxLevel-1))^(2^F311),0),D311+(E311-D311)*(1+G311)*((4-1)/(MaxLevel-1))^(2^F311)))</f>
        <v/>
      </c>
      <c r="L311" s="12" t="str">
        <f>IF(OR(D311="",E311=""),"",IF(IFERROR(INDEX(Stats!$D:$D,MATCH($C311,Stats!$A:$A,0)),FALSE),ROUND(D311+(E311-D311)*(1+G311)*((5-1)/(MaxLevel-1))^(2^F311),0),D311+(E311-D311)*(1+G311)*((5-1)/(MaxLevel-1))^(2^F311)))</f>
        <v/>
      </c>
      <c r="M311" s="12" t="str">
        <f>IF(OR(D311="",E311=""),"",IF(IFERROR(INDEX(Stats!$D:$D,MATCH($C311,Stats!$A:$A,0)),FALSE),ROUND(D311+(E311-D311)*(1+G311)*((6-1)/(MaxLevel-1))^(2^F311),0),D311+(E311-D311)*(1+G311)*((6-1)/(MaxLevel-1))^(2^F311)))</f>
        <v/>
      </c>
      <c r="N311" s="12" t="str">
        <f>IF(OR(D311="",E311=""),"",IF(IFERROR(INDEX(Stats!$D:$D,MATCH($C311,Stats!$A:$A,0)),FALSE),ROUND(D311+(E311-D311)*(1+G311)*((7-1)/(MaxLevel-1))^(2^F311),0),D311+(E311-D311)*(1+G311)*((7-1)/(MaxLevel-1))^(2^F311)))</f>
        <v/>
      </c>
      <c r="O311" s="12" t="str">
        <f>IF(OR(D311="",E311=""),"",IF(IFERROR(INDEX(Stats!$D:$D,MATCH($C311,Stats!$A:$A,0)),FALSE),ROUND(D311+(E311-D311)*(1+G311)*((8-1)/(MaxLevel-1))^(2^F311),0),D311+(E311-D311)*(1+G311)*((8-1)/(MaxLevel-1))^(2^F311)))</f>
        <v/>
      </c>
      <c r="P311" s="12" t="str">
        <f>IF(OR(D311="",E311=""),"",IF(IFERROR(INDEX(Stats!$D:$D,MATCH($C311,Stats!$A:$A,0)),FALSE),ROUND(D311+(E311-D311)*(1+G311)*((9-1)/(MaxLevel-1))^(2^F311),0),D311+(E311-D311)*(1+G311)*((9-1)/(MaxLevel-1))^(2^F311)))</f>
        <v/>
      </c>
      <c r="Q311" s="12" t="str">
        <f>IF(OR(D311="",E311=""),"",IF(IFERROR(INDEX(Stats!$D:$D,MATCH($C311,Stats!$A:$A,0)),FALSE),ROUND(D311+(E311-D311)*(1+G311)*((10-1)/(MaxLevel-1))^(2^F311),0),D311+(E311-D311)*(1+G311)*((10-1)/(MaxLevel-1))^(2^F311)))</f>
        <v/>
      </c>
    </row>
    <row r="312" spans="1:17" x14ac:dyDescent="0.25">
      <c r="A312" s="4" t="s">
        <v>185</v>
      </c>
      <c r="B312" s="19" t="s">
        <v>231</v>
      </c>
      <c r="C312" s="4" t="s">
        <v>36</v>
      </c>
      <c r="D312" s="5"/>
      <c r="E312" s="5"/>
      <c r="F312" s="5"/>
      <c r="G312" s="5"/>
      <c r="H312" s="12" t="str">
        <f>IF(OR(D312="",E312=""),"",IF(IFERROR(INDEX(Stats!$D:$D,MATCH($C312,Stats!$A:$A,0)),FALSE),ROUND(D312+(E312-D312)*(1+G312)*((1-1)/(MaxLevel-1))^(2^F312),0),D312+(E312-D312)*(1+G312)*((1-1)/(MaxLevel-1))^(2^F312)))</f>
        <v/>
      </c>
      <c r="I312" s="12" t="str">
        <f>IF(OR(D312="",E312=""),"",IF(IFERROR(INDEX(Stats!$D:$D,MATCH($C312,Stats!$A:$A,0)),FALSE),ROUND(D312+(E312-D312)*(1+G312)*((2-1)/(MaxLevel-1))^(2^F312),0),D312+(E312-D312)*(1+G312)*((2-1)/(MaxLevel-1))^(2^F312)))</f>
        <v/>
      </c>
      <c r="J312" s="12" t="str">
        <f>IF(OR(D312="",E312=""),"",IF(IFERROR(INDEX(Stats!$D:$D,MATCH($C312,Stats!$A:$A,0)),FALSE),ROUND(D312+(E312-D312)*(1+G312)*((3-1)/(MaxLevel-1))^(2^F312),0),D312+(E312-D312)*(1+G312)*((3-1)/(MaxLevel-1))^(2^F312)))</f>
        <v/>
      </c>
      <c r="K312" s="12" t="str">
        <f>IF(OR(D312="",E312=""),"",IF(IFERROR(INDEX(Stats!$D:$D,MATCH($C312,Stats!$A:$A,0)),FALSE),ROUND(D312+(E312-D312)*(1+G312)*((4-1)/(MaxLevel-1))^(2^F312),0),D312+(E312-D312)*(1+G312)*((4-1)/(MaxLevel-1))^(2^F312)))</f>
        <v/>
      </c>
      <c r="L312" s="12" t="str">
        <f>IF(OR(D312="",E312=""),"",IF(IFERROR(INDEX(Stats!$D:$D,MATCH($C312,Stats!$A:$A,0)),FALSE),ROUND(D312+(E312-D312)*(1+G312)*((5-1)/(MaxLevel-1))^(2^F312),0),D312+(E312-D312)*(1+G312)*((5-1)/(MaxLevel-1))^(2^F312)))</f>
        <v/>
      </c>
      <c r="M312" s="12" t="str">
        <f>IF(OR(D312="",E312=""),"",IF(IFERROR(INDEX(Stats!$D:$D,MATCH($C312,Stats!$A:$A,0)),FALSE),ROUND(D312+(E312-D312)*(1+G312)*((6-1)/(MaxLevel-1))^(2^F312),0),D312+(E312-D312)*(1+G312)*((6-1)/(MaxLevel-1))^(2^F312)))</f>
        <v/>
      </c>
      <c r="N312" s="12" t="str">
        <f>IF(OR(D312="",E312=""),"",IF(IFERROR(INDEX(Stats!$D:$D,MATCH($C312,Stats!$A:$A,0)),FALSE),ROUND(D312+(E312-D312)*(1+G312)*((7-1)/(MaxLevel-1))^(2^F312),0),D312+(E312-D312)*(1+G312)*((7-1)/(MaxLevel-1))^(2^F312)))</f>
        <v/>
      </c>
      <c r="O312" s="12" t="str">
        <f>IF(OR(D312="",E312=""),"",IF(IFERROR(INDEX(Stats!$D:$D,MATCH($C312,Stats!$A:$A,0)),FALSE),ROUND(D312+(E312-D312)*(1+G312)*((8-1)/(MaxLevel-1))^(2^F312),0),D312+(E312-D312)*(1+G312)*((8-1)/(MaxLevel-1))^(2^F312)))</f>
        <v/>
      </c>
      <c r="P312" s="12" t="str">
        <f>IF(OR(D312="",E312=""),"",IF(IFERROR(INDEX(Stats!$D:$D,MATCH($C312,Stats!$A:$A,0)),FALSE),ROUND(D312+(E312-D312)*(1+G312)*((9-1)/(MaxLevel-1))^(2^F312),0),D312+(E312-D312)*(1+G312)*((9-1)/(MaxLevel-1))^(2^F312)))</f>
        <v/>
      </c>
      <c r="Q312" s="12" t="str">
        <f>IF(OR(D312="",E312=""),"",IF(IFERROR(INDEX(Stats!$D:$D,MATCH($C312,Stats!$A:$A,0)),FALSE),ROUND(D312+(E312-D312)*(1+G312)*((10-1)/(MaxLevel-1))^(2^F312),0),D312+(E312-D312)*(1+G312)*((10-1)/(MaxLevel-1))^(2^F312)))</f>
        <v/>
      </c>
    </row>
    <row r="313" spans="1:17" x14ac:dyDescent="0.25">
      <c r="A313" s="4" t="s">
        <v>185</v>
      </c>
      <c r="B313" s="19" t="s">
        <v>231</v>
      </c>
      <c r="C313" s="4" t="s">
        <v>38</v>
      </c>
      <c r="D313" s="5"/>
      <c r="E313" s="5"/>
      <c r="F313" s="5"/>
      <c r="G313" s="5"/>
      <c r="H313" s="12" t="str">
        <f>IF(OR(D313="",E313=""),"",IF(IFERROR(INDEX(Stats!$D:$D,MATCH($C313,Stats!$A:$A,0)),FALSE),ROUND(D313+(E313-D313)*(1+G313)*((1-1)/(MaxLevel-1))^(2^F313),0),D313+(E313-D313)*(1+G313)*((1-1)/(MaxLevel-1))^(2^F313)))</f>
        <v/>
      </c>
      <c r="I313" s="12" t="str">
        <f>IF(OR(D313="",E313=""),"",IF(IFERROR(INDEX(Stats!$D:$D,MATCH($C313,Stats!$A:$A,0)),FALSE),ROUND(D313+(E313-D313)*(1+G313)*((2-1)/(MaxLevel-1))^(2^F313),0),D313+(E313-D313)*(1+G313)*((2-1)/(MaxLevel-1))^(2^F313)))</f>
        <v/>
      </c>
      <c r="J313" s="12" t="str">
        <f>IF(OR(D313="",E313=""),"",IF(IFERROR(INDEX(Stats!$D:$D,MATCH($C313,Stats!$A:$A,0)),FALSE),ROUND(D313+(E313-D313)*(1+G313)*((3-1)/(MaxLevel-1))^(2^F313),0),D313+(E313-D313)*(1+G313)*((3-1)/(MaxLevel-1))^(2^F313)))</f>
        <v/>
      </c>
      <c r="K313" s="12" t="str">
        <f>IF(OR(D313="",E313=""),"",IF(IFERROR(INDEX(Stats!$D:$D,MATCH($C313,Stats!$A:$A,0)),FALSE),ROUND(D313+(E313-D313)*(1+G313)*((4-1)/(MaxLevel-1))^(2^F313),0),D313+(E313-D313)*(1+G313)*((4-1)/(MaxLevel-1))^(2^F313)))</f>
        <v/>
      </c>
      <c r="L313" s="12" t="str">
        <f>IF(OR(D313="",E313=""),"",IF(IFERROR(INDEX(Stats!$D:$D,MATCH($C313,Stats!$A:$A,0)),FALSE),ROUND(D313+(E313-D313)*(1+G313)*((5-1)/(MaxLevel-1))^(2^F313),0),D313+(E313-D313)*(1+G313)*((5-1)/(MaxLevel-1))^(2^F313)))</f>
        <v/>
      </c>
      <c r="M313" s="12" t="str">
        <f>IF(OR(D313="",E313=""),"",IF(IFERROR(INDEX(Stats!$D:$D,MATCH($C313,Stats!$A:$A,0)),FALSE),ROUND(D313+(E313-D313)*(1+G313)*((6-1)/(MaxLevel-1))^(2^F313),0),D313+(E313-D313)*(1+G313)*((6-1)/(MaxLevel-1))^(2^F313)))</f>
        <v/>
      </c>
      <c r="N313" s="12" t="str">
        <f>IF(OR(D313="",E313=""),"",IF(IFERROR(INDEX(Stats!$D:$D,MATCH($C313,Stats!$A:$A,0)),FALSE),ROUND(D313+(E313-D313)*(1+G313)*((7-1)/(MaxLevel-1))^(2^F313),0),D313+(E313-D313)*(1+G313)*((7-1)/(MaxLevel-1))^(2^F313)))</f>
        <v/>
      </c>
      <c r="O313" s="12" t="str">
        <f>IF(OR(D313="",E313=""),"",IF(IFERROR(INDEX(Stats!$D:$D,MATCH($C313,Stats!$A:$A,0)),FALSE),ROUND(D313+(E313-D313)*(1+G313)*((8-1)/(MaxLevel-1))^(2^F313),0),D313+(E313-D313)*(1+G313)*((8-1)/(MaxLevel-1))^(2^F313)))</f>
        <v/>
      </c>
      <c r="P313" s="12" t="str">
        <f>IF(OR(D313="",E313=""),"",IF(IFERROR(INDEX(Stats!$D:$D,MATCH($C313,Stats!$A:$A,0)),FALSE),ROUND(D313+(E313-D313)*(1+G313)*((9-1)/(MaxLevel-1))^(2^F313),0),D313+(E313-D313)*(1+G313)*((9-1)/(MaxLevel-1))^(2^F313)))</f>
        <v/>
      </c>
      <c r="Q313" s="12" t="str">
        <f>IF(OR(D313="",E313=""),"",IF(IFERROR(INDEX(Stats!$D:$D,MATCH($C313,Stats!$A:$A,0)),FALSE),ROUND(D313+(E313-D313)*(1+G313)*((10-1)/(MaxLevel-1))^(2^F313),0),D313+(E313-D313)*(1+G313)*((10-1)/(MaxLevel-1))^(2^F313)))</f>
        <v/>
      </c>
    </row>
    <row r="314" spans="1:17" x14ac:dyDescent="0.25">
      <c r="A314" s="4" t="s">
        <v>185</v>
      </c>
      <c r="B314" s="19" t="s">
        <v>231</v>
      </c>
      <c r="C314" s="4" t="s">
        <v>40</v>
      </c>
      <c r="D314" s="5"/>
      <c r="E314" s="5"/>
      <c r="F314" s="5"/>
      <c r="G314" s="5"/>
      <c r="H314" s="12" t="str">
        <f>IF(OR(D314="",E314=""),"",IF(IFERROR(INDEX(Stats!$D:$D,MATCH($C314,Stats!$A:$A,0)),FALSE),ROUND(D314+(E314-D314)*(1+G314)*((1-1)/(MaxLevel-1))^(2^F314),0),D314+(E314-D314)*(1+G314)*((1-1)/(MaxLevel-1))^(2^F314)))</f>
        <v/>
      </c>
      <c r="I314" s="12" t="str">
        <f>IF(OR(D314="",E314=""),"",IF(IFERROR(INDEX(Stats!$D:$D,MATCH($C314,Stats!$A:$A,0)),FALSE),ROUND(D314+(E314-D314)*(1+G314)*((2-1)/(MaxLevel-1))^(2^F314),0),D314+(E314-D314)*(1+G314)*((2-1)/(MaxLevel-1))^(2^F314)))</f>
        <v/>
      </c>
      <c r="J314" s="12" t="str">
        <f>IF(OR(D314="",E314=""),"",IF(IFERROR(INDEX(Stats!$D:$D,MATCH($C314,Stats!$A:$A,0)),FALSE),ROUND(D314+(E314-D314)*(1+G314)*((3-1)/(MaxLevel-1))^(2^F314),0),D314+(E314-D314)*(1+G314)*((3-1)/(MaxLevel-1))^(2^F314)))</f>
        <v/>
      </c>
      <c r="K314" s="12" t="str">
        <f>IF(OR(D314="",E314=""),"",IF(IFERROR(INDEX(Stats!$D:$D,MATCH($C314,Stats!$A:$A,0)),FALSE),ROUND(D314+(E314-D314)*(1+G314)*((4-1)/(MaxLevel-1))^(2^F314),0),D314+(E314-D314)*(1+G314)*((4-1)/(MaxLevel-1))^(2^F314)))</f>
        <v/>
      </c>
      <c r="L314" s="12" t="str">
        <f>IF(OR(D314="",E314=""),"",IF(IFERROR(INDEX(Stats!$D:$D,MATCH($C314,Stats!$A:$A,0)),FALSE),ROUND(D314+(E314-D314)*(1+G314)*((5-1)/(MaxLevel-1))^(2^F314),0),D314+(E314-D314)*(1+G314)*((5-1)/(MaxLevel-1))^(2^F314)))</f>
        <v/>
      </c>
      <c r="M314" s="12" t="str">
        <f>IF(OR(D314="",E314=""),"",IF(IFERROR(INDEX(Stats!$D:$D,MATCH($C314,Stats!$A:$A,0)),FALSE),ROUND(D314+(E314-D314)*(1+G314)*((6-1)/(MaxLevel-1))^(2^F314),0),D314+(E314-D314)*(1+G314)*((6-1)/(MaxLevel-1))^(2^F314)))</f>
        <v/>
      </c>
      <c r="N314" s="12" t="str">
        <f>IF(OR(D314="",E314=""),"",IF(IFERROR(INDEX(Stats!$D:$D,MATCH($C314,Stats!$A:$A,0)),FALSE),ROUND(D314+(E314-D314)*(1+G314)*((7-1)/(MaxLevel-1))^(2^F314),0),D314+(E314-D314)*(1+G314)*((7-1)/(MaxLevel-1))^(2^F314)))</f>
        <v/>
      </c>
      <c r="O314" s="12" t="str">
        <f>IF(OR(D314="",E314=""),"",IF(IFERROR(INDEX(Stats!$D:$D,MATCH($C314,Stats!$A:$A,0)),FALSE),ROUND(D314+(E314-D314)*(1+G314)*((8-1)/(MaxLevel-1))^(2^F314),0),D314+(E314-D314)*(1+G314)*((8-1)/(MaxLevel-1))^(2^F314)))</f>
        <v/>
      </c>
      <c r="P314" s="12" t="str">
        <f>IF(OR(D314="",E314=""),"",IF(IFERROR(INDEX(Stats!$D:$D,MATCH($C314,Stats!$A:$A,0)),FALSE),ROUND(D314+(E314-D314)*(1+G314)*((9-1)/(MaxLevel-1))^(2^F314),0),D314+(E314-D314)*(1+G314)*((9-1)/(MaxLevel-1))^(2^F314)))</f>
        <v/>
      </c>
      <c r="Q314" s="12" t="str">
        <f>IF(OR(D314="",E314=""),"",IF(IFERROR(INDEX(Stats!$D:$D,MATCH($C314,Stats!$A:$A,0)),FALSE),ROUND(D314+(E314-D314)*(1+G314)*((10-1)/(MaxLevel-1))^(2^F314),0),D314+(E314-D314)*(1+G314)*((10-1)/(MaxLevel-1))^(2^F314)))</f>
        <v/>
      </c>
    </row>
    <row r="315" spans="1:17" x14ac:dyDescent="0.25">
      <c r="A315" s="4" t="s">
        <v>185</v>
      </c>
      <c r="B315" s="19" t="s">
        <v>231</v>
      </c>
      <c r="C315" s="4" t="s">
        <v>42</v>
      </c>
      <c r="D315" s="5"/>
      <c r="E315" s="5"/>
      <c r="F315" s="5"/>
      <c r="G315" s="5"/>
      <c r="H315" s="12" t="str">
        <f>IF(OR(D315="",E315=""),"",IF(IFERROR(INDEX(Stats!$D:$D,MATCH($C315,Stats!$A:$A,0)),FALSE),ROUND(D315+(E315-D315)*(1+G315)*((1-1)/(MaxLevel-1))^(2^F315),0),D315+(E315-D315)*(1+G315)*((1-1)/(MaxLevel-1))^(2^F315)))</f>
        <v/>
      </c>
      <c r="I315" s="12" t="str">
        <f>IF(OR(D315="",E315=""),"",IF(IFERROR(INDEX(Stats!$D:$D,MATCH($C315,Stats!$A:$A,0)),FALSE),ROUND(D315+(E315-D315)*(1+G315)*((2-1)/(MaxLevel-1))^(2^F315),0),D315+(E315-D315)*(1+G315)*((2-1)/(MaxLevel-1))^(2^F315)))</f>
        <v/>
      </c>
      <c r="J315" s="12" t="str">
        <f>IF(OR(D315="",E315=""),"",IF(IFERROR(INDEX(Stats!$D:$D,MATCH($C315,Stats!$A:$A,0)),FALSE),ROUND(D315+(E315-D315)*(1+G315)*((3-1)/(MaxLevel-1))^(2^F315),0),D315+(E315-D315)*(1+G315)*((3-1)/(MaxLevel-1))^(2^F315)))</f>
        <v/>
      </c>
      <c r="K315" s="12" t="str">
        <f>IF(OR(D315="",E315=""),"",IF(IFERROR(INDEX(Stats!$D:$D,MATCH($C315,Stats!$A:$A,0)),FALSE),ROUND(D315+(E315-D315)*(1+G315)*((4-1)/(MaxLevel-1))^(2^F315),0),D315+(E315-D315)*(1+G315)*((4-1)/(MaxLevel-1))^(2^F315)))</f>
        <v/>
      </c>
      <c r="L315" s="12" t="str">
        <f>IF(OR(D315="",E315=""),"",IF(IFERROR(INDEX(Stats!$D:$D,MATCH($C315,Stats!$A:$A,0)),FALSE),ROUND(D315+(E315-D315)*(1+G315)*((5-1)/(MaxLevel-1))^(2^F315),0),D315+(E315-D315)*(1+G315)*((5-1)/(MaxLevel-1))^(2^F315)))</f>
        <v/>
      </c>
      <c r="M315" s="12" t="str">
        <f>IF(OR(D315="",E315=""),"",IF(IFERROR(INDEX(Stats!$D:$D,MATCH($C315,Stats!$A:$A,0)),FALSE),ROUND(D315+(E315-D315)*(1+G315)*((6-1)/(MaxLevel-1))^(2^F315),0),D315+(E315-D315)*(1+G315)*((6-1)/(MaxLevel-1))^(2^F315)))</f>
        <v/>
      </c>
      <c r="N315" s="12" t="str">
        <f>IF(OR(D315="",E315=""),"",IF(IFERROR(INDEX(Stats!$D:$D,MATCH($C315,Stats!$A:$A,0)),FALSE),ROUND(D315+(E315-D315)*(1+G315)*((7-1)/(MaxLevel-1))^(2^F315),0),D315+(E315-D315)*(1+G315)*((7-1)/(MaxLevel-1))^(2^F315)))</f>
        <v/>
      </c>
      <c r="O315" s="12" t="str">
        <f>IF(OR(D315="",E315=""),"",IF(IFERROR(INDEX(Stats!$D:$D,MATCH($C315,Stats!$A:$A,0)),FALSE),ROUND(D315+(E315-D315)*(1+G315)*((8-1)/(MaxLevel-1))^(2^F315),0),D315+(E315-D315)*(1+G315)*((8-1)/(MaxLevel-1))^(2^F315)))</f>
        <v/>
      </c>
      <c r="P315" s="12" t="str">
        <f>IF(OR(D315="",E315=""),"",IF(IFERROR(INDEX(Stats!$D:$D,MATCH($C315,Stats!$A:$A,0)),FALSE),ROUND(D315+(E315-D315)*(1+G315)*((9-1)/(MaxLevel-1))^(2^F315),0),D315+(E315-D315)*(1+G315)*((9-1)/(MaxLevel-1))^(2^F315)))</f>
        <v/>
      </c>
      <c r="Q315" s="12" t="str">
        <f>IF(OR(D315="",E315=""),"",IF(IFERROR(INDEX(Stats!$D:$D,MATCH($C315,Stats!$A:$A,0)),FALSE),ROUND(D315+(E315-D315)*(1+G315)*((10-1)/(MaxLevel-1))^(2^F315),0),D315+(E315-D315)*(1+G315)*((10-1)/(MaxLevel-1))^(2^F315)))</f>
        <v/>
      </c>
    </row>
    <row r="316" spans="1:17" x14ac:dyDescent="0.25">
      <c r="A316" s="4" t="s">
        <v>185</v>
      </c>
      <c r="B316" s="19" t="s">
        <v>231</v>
      </c>
      <c r="C316" s="4" t="s">
        <v>44</v>
      </c>
      <c r="D316" s="5"/>
      <c r="E316" s="5"/>
      <c r="F316" s="5"/>
      <c r="G316" s="5"/>
      <c r="H316" s="12" t="str">
        <f>IF(OR(D316="",E316=""),"",IF(IFERROR(INDEX(Stats!$D:$D,MATCH($C316,Stats!$A:$A,0)),FALSE),ROUND(D316+(E316-D316)*(1+G316)*((1-1)/(MaxLevel-1))^(2^F316),0),D316+(E316-D316)*(1+G316)*((1-1)/(MaxLevel-1))^(2^F316)))</f>
        <v/>
      </c>
      <c r="I316" s="12" t="str">
        <f>IF(OR(D316="",E316=""),"",IF(IFERROR(INDEX(Stats!$D:$D,MATCH($C316,Stats!$A:$A,0)),FALSE),ROUND(D316+(E316-D316)*(1+G316)*((2-1)/(MaxLevel-1))^(2^F316),0),D316+(E316-D316)*(1+G316)*((2-1)/(MaxLevel-1))^(2^F316)))</f>
        <v/>
      </c>
      <c r="J316" s="12" t="str">
        <f>IF(OR(D316="",E316=""),"",IF(IFERROR(INDEX(Stats!$D:$D,MATCH($C316,Stats!$A:$A,0)),FALSE),ROUND(D316+(E316-D316)*(1+G316)*((3-1)/(MaxLevel-1))^(2^F316),0),D316+(E316-D316)*(1+G316)*((3-1)/(MaxLevel-1))^(2^F316)))</f>
        <v/>
      </c>
      <c r="K316" s="12" t="str">
        <f>IF(OR(D316="",E316=""),"",IF(IFERROR(INDEX(Stats!$D:$D,MATCH($C316,Stats!$A:$A,0)),FALSE),ROUND(D316+(E316-D316)*(1+G316)*((4-1)/(MaxLevel-1))^(2^F316),0),D316+(E316-D316)*(1+G316)*((4-1)/(MaxLevel-1))^(2^F316)))</f>
        <v/>
      </c>
      <c r="L316" s="12" t="str">
        <f>IF(OR(D316="",E316=""),"",IF(IFERROR(INDEX(Stats!$D:$D,MATCH($C316,Stats!$A:$A,0)),FALSE),ROUND(D316+(E316-D316)*(1+G316)*((5-1)/(MaxLevel-1))^(2^F316),0),D316+(E316-D316)*(1+G316)*((5-1)/(MaxLevel-1))^(2^F316)))</f>
        <v/>
      </c>
      <c r="M316" s="12" t="str">
        <f>IF(OR(D316="",E316=""),"",IF(IFERROR(INDEX(Stats!$D:$D,MATCH($C316,Stats!$A:$A,0)),FALSE),ROUND(D316+(E316-D316)*(1+G316)*((6-1)/(MaxLevel-1))^(2^F316),0),D316+(E316-D316)*(1+G316)*((6-1)/(MaxLevel-1))^(2^F316)))</f>
        <v/>
      </c>
      <c r="N316" s="12" t="str">
        <f>IF(OR(D316="",E316=""),"",IF(IFERROR(INDEX(Stats!$D:$D,MATCH($C316,Stats!$A:$A,0)),FALSE),ROUND(D316+(E316-D316)*(1+G316)*((7-1)/(MaxLevel-1))^(2^F316),0),D316+(E316-D316)*(1+G316)*((7-1)/(MaxLevel-1))^(2^F316)))</f>
        <v/>
      </c>
      <c r="O316" s="12" t="str">
        <f>IF(OR(D316="",E316=""),"",IF(IFERROR(INDEX(Stats!$D:$D,MATCH($C316,Stats!$A:$A,0)),FALSE),ROUND(D316+(E316-D316)*(1+G316)*((8-1)/(MaxLevel-1))^(2^F316),0),D316+(E316-D316)*(1+G316)*((8-1)/(MaxLevel-1))^(2^F316)))</f>
        <v/>
      </c>
      <c r="P316" s="12" t="str">
        <f>IF(OR(D316="",E316=""),"",IF(IFERROR(INDEX(Stats!$D:$D,MATCH($C316,Stats!$A:$A,0)),FALSE),ROUND(D316+(E316-D316)*(1+G316)*((9-1)/(MaxLevel-1))^(2^F316),0),D316+(E316-D316)*(1+G316)*((9-1)/(MaxLevel-1))^(2^F316)))</f>
        <v/>
      </c>
      <c r="Q316" s="12" t="str">
        <f>IF(OR(D316="",E316=""),"",IF(IFERROR(INDEX(Stats!$D:$D,MATCH($C316,Stats!$A:$A,0)),FALSE),ROUND(D316+(E316-D316)*(1+G316)*((10-1)/(MaxLevel-1))^(2^F316),0),D316+(E316-D316)*(1+G316)*((10-1)/(MaxLevel-1))^(2^F316)))</f>
        <v/>
      </c>
    </row>
    <row r="317" spans="1:17" x14ac:dyDescent="0.25">
      <c r="A317" s="4" t="s">
        <v>185</v>
      </c>
      <c r="B317" s="19" t="s">
        <v>231</v>
      </c>
      <c r="C317" s="4" t="s">
        <v>46</v>
      </c>
      <c r="D317" s="5">
        <v>300</v>
      </c>
      <c r="E317" s="5">
        <v>320</v>
      </c>
      <c r="F317" s="5">
        <v>0</v>
      </c>
      <c r="G317" s="5">
        <v>0</v>
      </c>
      <c r="H317" s="12">
        <f>IF(OR(D317="",E317=""),"",IF(IFERROR(INDEX(Stats!$D:$D,MATCH($C317,Stats!$A:$A,0)),FALSE),ROUND(D317+(E317-D317)*(1+G317)*((1-1)/(MaxLevel-1))^(2^F317),0),D317+(E317-D317)*(1+G317)*((1-1)/(MaxLevel-1))^(2^F317)))</f>
        <v>300</v>
      </c>
      <c r="I317" s="12">
        <f>IF(OR(D317="",E317=""),"",IF(IFERROR(INDEX(Stats!$D:$D,MATCH($C317,Stats!$A:$A,0)),FALSE),ROUND(D317+(E317-D317)*(1+G317)*((2-1)/(MaxLevel-1))^(2^F317),0),D317+(E317-D317)*(1+G317)*((2-1)/(MaxLevel-1))^(2^F317)))</f>
        <v>302.22222222222223</v>
      </c>
      <c r="J317" s="12">
        <f>IF(OR(D317="",E317=""),"",IF(IFERROR(INDEX(Stats!$D:$D,MATCH($C317,Stats!$A:$A,0)),FALSE),ROUND(D317+(E317-D317)*(1+G317)*((3-1)/(MaxLevel-1))^(2^F317),0),D317+(E317-D317)*(1+G317)*((3-1)/(MaxLevel-1))^(2^F317)))</f>
        <v>304.44444444444446</v>
      </c>
      <c r="K317" s="12">
        <f>IF(OR(D317="",E317=""),"",IF(IFERROR(INDEX(Stats!$D:$D,MATCH($C317,Stats!$A:$A,0)),FALSE),ROUND(D317+(E317-D317)*(1+G317)*((4-1)/(MaxLevel-1))^(2^F317),0),D317+(E317-D317)*(1+G317)*((4-1)/(MaxLevel-1))^(2^F317)))</f>
        <v>306.66666666666669</v>
      </c>
      <c r="L317" s="12">
        <f>IF(OR(D317="",E317=""),"",IF(IFERROR(INDEX(Stats!$D:$D,MATCH($C317,Stats!$A:$A,0)),FALSE),ROUND(D317+(E317-D317)*(1+G317)*((5-1)/(MaxLevel-1))^(2^F317),0),D317+(E317-D317)*(1+G317)*((5-1)/(MaxLevel-1))^(2^F317)))</f>
        <v>308.88888888888891</v>
      </c>
      <c r="M317" s="12">
        <f>IF(OR(D317="",E317=""),"",IF(IFERROR(INDEX(Stats!$D:$D,MATCH($C317,Stats!$A:$A,0)),FALSE),ROUND(D317+(E317-D317)*(1+G317)*((6-1)/(MaxLevel-1))^(2^F317),0),D317+(E317-D317)*(1+G317)*((6-1)/(MaxLevel-1))^(2^F317)))</f>
        <v>311.11111111111109</v>
      </c>
      <c r="N317" s="12">
        <f>IF(OR(D317="",E317=""),"",IF(IFERROR(INDEX(Stats!$D:$D,MATCH($C317,Stats!$A:$A,0)),FALSE),ROUND(D317+(E317-D317)*(1+G317)*((7-1)/(MaxLevel-1))^(2^F317),0),D317+(E317-D317)*(1+G317)*((7-1)/(MaxLevel-1))^(2^F317)))</f>
        <v>313.33333333333331</v>
      </c>
      <c r="O317" s="12">
        <f>IF(OR(D317="",E317=""),"",IF(IFERROR(INDEX(Stats!$D:$D,MATCH($C317,Stats!$A:$A,0)),FALSE),ROUND(D317+(E317-D317)*(1+G317)*((8-1)/(MaxLevel-1))^(2^F317),0),D317+(E317-D317)*(1+G317)*((8-1)/(MaxLevel-1))^(2^F317)))</f>
        <v>315.55555555555554</v>
      </c>
      <c r="P317" s="12">
        <f>IF(OR(D317="",E317=""),"",IF(IFERROR(INDEX(Stats!$D:$D,MATCH($C317,Stats!$A:$A,0)),FALSE),ROUND(D317+(E317-D317)*(1+G317)*((9-1)/(MaxLevel-1))^(2^F317),0),D317+(E317-D317)*(1+G317)*((9-1)/(MaxLevel-1))^(2^F317)))</f>
        <v>317.77777777777777</v>
      </c>
      <c r="Q317" s="12">
        <f>IF(OR(D317="",E317=""),"",IF(IFERROR(INDEX(Stats!$D:$D,MATCH($C317,Stats!$A:$A,0)),FALSE),ROUND(D317+(E317-D317)*(1+G317)*((10-1)/(MaxLevel-1))^(2^F317),0),D317+(E317-D317)*(1+G317)*((10-1)/(MaxLevel-1))^(2^F317)))</f>
        <v>320</v>
      </c>
    </row>
    <row r="318" spans="1:17" x14ac:dyDescent="0.25">
      <c r="A318" s="4" t="s">
        <v>185</v>
      </c>
      <c r="B318" s="19" t="s">
        <v>231</v>
      </c>
      <c r="C318" s="4" t="s">
        <v>48</v>
      </c>
      <c r="D318" s="5"/>
      <c r="E318" s="5"/>
      <c r="F318" s="5"/>
      <c r="G318" s="5"/>
      <c r="H318" s="12" t="str">
        <f>IF(OR(D318="",E318=""),"",IF(IFERROR(INDEX(Stats!$D:$D,MATCH($C318,Stats!$A:$A,0)),FALSE),ROUND(D318+(E318-D318)*(1+G318)*((1-1)/(MaxLevel-1))^(2^F318),0),D318+(E318-D318)*(1+G318)*((1-1)/(MaxLevel-1))^(2^F318)))</f>
        <v/>
      </c>
      <c r="I318" s="12" t="str">
        <f>IF(OR(D318="",E318=""),"",IF(IFERROR(INDEX(Stats!$D:$D,MATCH($C318,Stats!$A:$A,0)),FALSE),ROUND(D318+(E318-D318)*(1+G318)*((2-1)/(MaxLevel-1))^(2^F318),0),D318+(E318-D318)*(1+G318)*((2-1)/(MaxLevel-1))^(2^F318)))</f>
        <v/>
      </c>
      <c r="J318" s="12" t="str">
        <f>IF(OR(D318="",E318=""),"",IF(IFERROR(INDEX(Stats!$D:$D,MATCH($C318,Stats!$A:$A,0)),FALSE),ROUND(D318+(E318-D318)*(1+G318)*((3-1)/(MaxLevel-1))^(2^F318),0),D318+(E318-D318)*(1+G318)*((3-1)/(MaxLevel-1))^(2^F318)))</f>
        <v/>
      </c>
      <c r="K318" s="12" t="str">
        <f>IF(OR(D318="",E318=""),"",IF(IFERROR(INDEX(Stats!$D:$D,MATCH($C318,Stats!$A:$A,0)),FALSE),ROUND(D318+(E318-D318)*(1+G318)*((4-1)/(MaxLevel-1))^(2^F318),0),D318+(E318-D318)*(1+G318)*((4-1)/(MaxLevel-1))^(2^F318)))</f>
        <v/>
      </c>
      <c r="L318" s="12" t="str">
        <f>IF(OR(D318="",E318=""),"",IF(IFERROR(INDEX(Stats!$D:$D,MATCH($C318,Stats!$A:$A,0)),FALSE),ROUND(D318+(E318-D318)*(1+G318)*((5-1)/(MaxLevel-1))^(2^F318),0),D318+(E318-D318)*(1+G318)*((5-1)/(MaxLevel-1))^(2^F318)))</f>
        <v/>
      </c>
      <c r="M318" s="12" t="str">
        <f>IF(OR(D318="",E318=""),"",IF(IFERROR(INDEX(Stats!$D:$D,MATCH($C318,Stats!$A:$A,0)),FALSE),ROUND(D318+(E318-D318)*(1+G318)*((6-1)/(MaxLevel-1))^(2^F318),0),D318+(E318-D318)*(1+G318)*((6-1)/(MaxLevel-1))^(2^F318)))</f>
        <v/>
      </c>
      <c r="N318" s="12" t="str">
        <f>IF(OR(D318="",E318=""),"",IF(IFERROR(INDEX(Stats!$D:$D,MATCH($C318,Stats!$A:$A,0)),FALSE),ROUND(D318+(E318-D318)*(1+G318)*((7-1)/(MaxLevel-1))^(2^F318),0),D318+(E318-D318)*(1+G318)*((7-1)/(MaxLevel-1))^(2^F318)))</f>
        <v/>
      </c>
      <c r="O318" s="12" t="str">
        <f>IF(OR(D318="",E318=""),"",IF(IFERROR(INDEX(Stats!$D:$D,MATCH($C318,Stats!$A:$A,0)),FALSE),ROUND(D318+(E318-D318)*(1+G318)*((8-1)/(MaxLevel-1))^(2^F318),0),D318+(E318-D318)*(1+G318)*((8-1)/(MaxLevel-1))^(2^F318)))</f>
        <v/>
      </c>
      <c r="P318" s="12" t="str">
        <f>IF(OR(D318="",E318=""),"",IF(IFERROR(INDEX(Stats!$D:$D,MATCH($C318,Stats!$A:$A,0)),FALSE),ROUND(D318+(E318-D318)*(1+G318)*((9-1)/(MaxLevel-1))^(2^F318),0),D318+(E318-D318)*(1+G318)*((9-1)/(MaxLevel-1))^(2^F318)))</f>
        <v/>
      </c>
      <c r="Q318" s="12" t="str">
        <f>IF(OR(D318="",E318=""),"",IF(IFERROR(INDEX(Stats!$D:$D,MATCH($C318,Stats!$A:$A,0)),FALSE),ROUND(D318+(E318-D318)*(1+G318)*((10-1)/(MaxLevel-1))^(2^F318),0),D318+(E318-D318)*(1+G318)*((10-1)/(MaxLevel-1))^(2^F318)))</f>
        <v/>
      </c>
    </row>
    <row r="319" spans="1:17" x14ac:dyDescent="0.25">
      <c r="A319" s="4" t="s">
        <v>185</v>
      </c>
      <c r="B319" s="19" t="s">
        <v>231</v>
      </c>
      <c r="C319" s="4" t="s">
        <v>50</v>
      </c>
      <c r="D319" s="5"/>
      <c r="E319" s="5"/>
      <c r="F319" s="5"/>
      <c r="G319" s="5"/>
      <c r="H319" s="12" t="str">
        <f>IF(OR(D319="",E319=""),"",IF(IFERROR(INDEX(Stats!$D:$D,MATCH($C319,Stats!$A:$A,0)),FALSE),ROUND(D319+(E319-D319)*(1+G319)*((1-1)/(MaxLevel-1))^(2^F319),0),D319+(E319-D319)*(1+G319)*((1-1)/(MaxLevel-1))^(2^F319)))</f>
        <v/>
      </c>
      <c r="I319" s="12" t="str">
        <f>IF(OR(D319="",E319=""),"",IF(IFERROR(INDEX(Stats!$D:$D,MATCH($C319,Stats!$A:$A,0)),FALSE),ROUND(D319+(E319-D319)*(1+G319)*((2-1)/(MaxLevel-1))^(2^F319),0),D319+(E319-D319)*(1+G319)*((2-1)/(MaxLevel-1))^(2^F319)))</f>
        <v/>
      </c>
      <c r="J319" s="12" t="str">
        <f>IF(OR(D319="",E319=""),"",IF(IFERROR(INDEX(Stats!$D:$D,MATCH($C319,Stats!$A:$A,0)),FALSE),ROUND(D319+(E319-D319)*(1+G319)*((3-1)/(MaxLevel-1))^(2^F319),0),D319+(E319-D319)*(1+G319)*((3-1)/(MaxLevel-1))^(2^F319)))</f>
        <v/>
      </c>
      <c r="K319" s="12" t="str">
        <f>IF(OR(D319="",E319=""),"",IF(IFERROR(INDEX(Stats!$D:$D,MATCH($C319,Stats!$A:$A,0)),FALSE),ROUND(D319+(E319-D319)*(1+G319)*((4-1)/(MaxLevel-1))^(2^F319),0),D319+(E319-D319)*(1+G319)*((4-1)/(MaxLevel-1))^(2^F319)))</f>
        <v/>
      </c>
      <c r="L319" s="12" t="str">
        <f>IF(OR(D319="",E319=""),"",IF(IFERROR(INDEX(Stats!$D:$D,MATCH($C319,Stats!$A:$A,0)),FALSE),ROUND(D319+(E319-D319)*(1+G319)*((5-1)/(MaxLevel-1))^(2^F319),0),D319+(E319-D319)*(1+G319)*((5-1)/(MaxLevel-1))^(2^F319)))</f>
        <v/>
      </c>
      <c r="M319" s="12" t="str">
        <f>IF(OR(D319="",E319=""),"",IF(IFERROR(INDEX(Stats!$D:$D,MATCH($C319,Stats!$A:$A,0)),FALSE),ROUND(D319+(E319-D319)*(1+G319)*((6-1)/(MaxLevel-1))^(2^F319),0),D319+(E319-D319)*(1+G319)*((6-1)/(MaxLevel-1))^(2^F319)))</f>
        <v/>
      </c>
      <c r="N319" s="12" t="str">
        <f>IF(OR(D319="",E319=""),"",IF(IFERROR(INDEX(Stats!$D:$D,MATCH($C319,Stats!$A:$A,0)),FALSE),ROUND(D319+(E319-D319)*(1+G319)*((7-1)/(MaxLevel-1))^(2^F319),0),D319+(E319-D319)*(1+G319)*((7-1)/(MaxLevel-1))^(2^F319)))</f>
        <v/>
      </c>
      <c r="O319" s="12" t="str">
        <f>IF(OR(D319="",E319=""),"",IF(IFERROR(INDEX(Stats!$D:$D,MATCH($C319,Stats!$A:$A,0)),FALSE),ROUND(D319+(E319-D319)*(1+G319)*((8-1)/(MaxLevel-1))^(2^F319),0),D319+(E319-D319)*(1+G319)*((8-1)/(MaxLevel-1))^(2^F319)))</f>
        <v/>
      </c>
      <c r="P319" s="12" t="str">
        <f>IF(OR(D319="",E319=""),"",IF(IFERROR(INDEX(Stats!$D:$D,MATCH($C319,Stats!$A:$A,0)),FALSE),ROUND(D319+(E319-D319)*(1+G319)*((9-1)/(MaxLevel-1))^(2^F319),0),D319+(E319-D319)*(1+G319)*((9-1)/(MaxLevel-1))^(2^F319)))</f>
        <v/>
      </c>
      <c r="Q319" s="12" t="str">
        <f>IF(OR(D319="",E319=""),"",IF(IFERROR(INDEX(Stats!$D:$D,MATCH($C319,Stats!$A:$A,0)),FALSE),ROUND(D319+(E319-D319)*(1+G319)*((10-1)/(MaxLevel-1))^(2^F319),0),D319+(E319-D319)*(1+G319)*((10-1)/(MaxLevel-1))^(2^F319)))</f>
        <v/>
      </c>
    </row>
    <row r="320" spans="1:17" x14ac:dyDescent="0.25">
      <c r="A320" s="4" t="s">
        <v>185</v>
      </c>
      <c r="B320" s="19" t="s">
        <v>231</v>
      </c>
      <c r="C320" s="4" t="s">
        <v>52</v>
      </c>
      <c r="D320" s="5"/>
      <c r="E320" s="5"/>
      <c r="F320" s="5"/>
      <c r="G320" s="5"/>
      <c r="H320" s="12" t="str">
        <f>IF(OR(D320="",E320=""),"",IF(IFERROR(INDEX(Stats!$D:$D,MATCH($C320,Stats!$A:$A,0)),FALSE),ROUND(D320+(E320-D320)*(1+G320)*((1-1)/(MaxLevel-1))^(2^F320),0),D320+(E320-D320)*(1+G320)*((1-1)/(MaxLevel-1))^(2^F320)))</f>
        <v/>
      </c>
      <c r="I320" s="12" t="str">
        <f>IF(OR(D320="",E320=""),"",IF(IFERROR(INDEX(Stats!$D:$D,MATCH($C320,Stats!$A:$A,0)),FALSE),ROUND(D320+(E320-D320)*(1+G320)*((2-1)/(MaxLevel-1))^(2^F320),0),D320+(E320-D320)*(1+G320)*((2-1)/(MaxLevel-1))^(2^F320)))</f>
        <v/>
      </c>
      <c r="J320" s="12" t="str">
        <f>IF(OR(D320="",E320=""),"",IF(IFERROR(INDEX(Stats!$D:$D,MATCH($C320,Stats!$A:$A,0)),FALSE),ROUND(D320+(E320-D320)*(1+G320)*((3-1)/(MaxLevel-1))^(2^F320),0),D320+(E320-D320)*(1+G320)*((3-1)/(MaxLevel-1))^(2^F320)))</f>
        <v/>
      </c>
      <c r="K320" s="12" t="str">
        <f>IF(OR(D320="",E320=""),"",IF(IFERROR(INDEX(Stats!$D:$D,MATCH($C320,Stats!$A:$A,0)),FALSE),ROUND(D320+(E320-D320)*(1+G320)*((4-1)/(MaxLevel-1))^(2^F320),0),D320+(E320-D320)*(1+G320)*((4-1)/(MaxLevel-1))^(2^F320)))</f>
        <v/>
      </c>
      <c r="L320" s="12" t="str">
        <f>IF(OR(D320="",E320=""),"",IF(IFERROR(INDEX(Stats!$D:$D,MATCH($C320,Stats!$A:$A,0)),FALSE),ROUND(D320+(E320-D320)*(1+G320)*((5-1)/(MaxLevel-1))^(2^F320),0),D320+(E320-D320)*(1+G320)*((5-1)/(MaxLevel-1))^(2^F320)))</f>
        <v/>
      </c>
      <c r="M320" s="12" t="str">
        <f>IF(OR(D320="",E320=""),"",IF(IFERROR(INDEX(Stats!$D:$D,MATCH($C320,Stats!$A:$A,0)),FALSE),ROUND(D320+(E320-D320)*(1+G320)*((6-1)/(MaxLevel-1))^(2^F320),0),D320+(E320-D320)*(1+G320)*((6-1)/(MaxLevel-1))^(2^F320)))</f>
        <v/>
      </c>
      <c r="N320" s="12" t="str">
        <f>IF(OR(D320="",E320=""),"",IF(IFERROR(INDEX(Stats!$D:$D,MATCH($C320,Stats!$A:$A,0)),FALSE),ROUND(D320+(E320-D320)*(1+G320)*((7-1)/(MaxLevel-1))^(2^F320),0),D320+(E320-D320)*(1+G320)*((7-1)/(MaxLevel-1))^(2^F320)))</f>
        <v/>
      </c>
      <c r="O320" s="12" t="str">
        <f>IF(OR(D320="",E320=""),"",IF(IFERROR(INDEX(Stats!$D:$D,MATCH($C320,Stats!$A:$A,0)),FALSE),ROUND(D320+(E320-D320)*(1+G320)*((8-1)/(MaxLevel-1))^(2^F320),0),D320+(E320-D320)*(1+G320)*((8-1)/(MaxLevel-1))^(2^F320)))</f>
        <v/>
      </c>
      <c r="P320" s="12" t="str">
        <f>IF(OR(D320="",E320=""),"",IF(IFERROR(INDEX(Stats!$D:$D,MATCH($C320,Stats!$A:$A,0)),FALSE),ROUND(D320+(E320-D320)*(1+G320)*((9-1)/(MaxLevel-1))^(2^F320),0),D320+(E320-D320)*(1+G320)*((9-1)/(MaxLevel-1))^(2^F320)))</f>
        <v/>
      </c>
      <c r="Q320" s="12" t="str">
        <f>IF(OR(D320="",E320=""),"",IF(IFERROR(INDEX(Stats!$D:$D,MATCH($C320,Stats!$A:$A,0)),FALSE),ROUND(D320+(E320-D320)*(1+G320)*((10-1)/(MaxLevel-1))^(2^F320),0),D320+(E320-D320)*(1+G320)*((10-1)/(MaxLevel-1))^(2^F320)))</f>
        <v/>
      </c>
    </row>
    <row r="321" spans="1:17" x14ac:dyDescent="0.25">
      <c r="A321" s="4" t="s">
        <v>185</v>
      </c>
      <c r="B321" s="19" t="s">
        <v>231</v>
      </c>
      <c r="C321" s="4" t="s">
        <v>54</v>
      </c>
      <c r="D321" s="5"/>
      <c r="E321" s="5"/>
      <c r="F321" s="5"/>
      <c r="G321" s="5"/>
      <c r="H321" s="12" t="str">
        <f>IF(OR(D321="",E321=""),"",IF(IFERROR(INDEX(Stats!$D:$D,MATCH($C321,Stats!$A:$A,0)),FALSE),ROUND(D321+(E321-D321)*(1+G321)*((1-1)/(MaxLevel-1))^(2^F321),0),D321+(E321-D321)*(1+G321)*((1-1)/(MaxLevel-1))^(2^F321)))</f>
        <v/>
      </c>
      <c r="I321" s="12" t="str">
        <f>IF(OR(D321="",E321=""),"",IF(IFERROR(INDEX(Stats!$D:$D,MATCH($C321,Stats!$A:$A,0)),FALSE),ROUND(D321+(E321-D321)*(1+G321)*((2-1)/(MaxLevel-1))^(2^F321),0),D321+(E321-D321)*(1+G321)*((2-1)/(MaxLevel-1))^(2^F321)))</f>
        <v/>
      </c>
      <c r="J321" s="12" t="str">
        <f>IF(OR(D321="",E321=""),"",IF(IFERROR(INDEX(Stats!$D:$D,MATCH($C321,Stats!$A:$A,0)),FALSE),ROUND(D321+(E321-D321)*(1+G321)*((3-1)/(MaxLevel-1))^(2^F321),0),D321+(E321-D321)*(1+G321)*((3-1)/(MaxLevel-1))^(2^F321)))</f>
        <v/>
      </c>
      <c r="K321" s="12" t="str">
        <f>IF(OR(D321="",E321=""),"",IF(IFERROR(INDEX(Stats!$D:$D,MATCH($C321,Stats!$A:$A,0)),FALSE),ROUND(D321+(E321-D321)*(1+G321)*((4-1)/(MaxLevel-1))^(2^F321),0),D321+(E321-D321)*(1+G321)*((4-1)/(MaxLevel-1))^(2^F321)))</f>
        <v/>
      </c>
      <c r="L321" s="12" t="str">
        <f>IF(OR(D321="",E321=""),"",IF(IFERROR(INDEX(Stats!$D:$D,MATCH($C321,Stats!$A:$A,0)),FALSE),ROUND(D321+(E321-D321)*(1+G321)*((5-1)/(MaxLevel-1))^(2^F321),0),D321+(E321-D321)*(1+G321)*((5-1)/(MaxLevel-1))^(2^F321)))</f>
        <v/>
      </c>
      <c r="M321" s="12" t="str">
        <f>IF(OR(D321="",E321=""),"",IF(IFERROR(INDEX(Stats!$D:$D,MATCH($C321,Stats!$A:$A,0)),FALSE),ROUND(D321+(E321-D321)*(1+G321)*((6-1)/(MaxLevel-1))^(2^F321),0),D321+(E321-D321)*(1+G321)*((6-1)/(MaxLevel-1))^(2^F321)))</f>
        <v/>
      </c>
      <c r="N321" s="12" t="str">
        <f>IF(OR(D321="",E321=""),"",IF(IFERROR(INDEX(Stats!$D:$D,MATCH($C321,Stats!$A:$A,0)),FALSE),ROUND(D321+(E321-D321)*(1+G321)*((7-1)/(MaxLevel-1))^(2^F321),0),D321+(E321-D321)*(1+G321)*((7-1)/(MaxLevel-1))^(2^F321)))</f>
        <v/>
      </c>
      <c r="O321" s="12" t="str">
        <f>IF(OR(D321="",E321=""),"",IF(IFERROR(INDEX(Stats!$D:$D,MATCH($C321,Stats!$A:$A,0)),FALSE),ROUND(D321+(E321-D321)*(1+G321)*((8-1)/(MaxLevel-1))^(2^F321),0),D321+(E321-D321)*(1+G321)*((8-1)/(MaxLevel-1))^(2^F321)))</f>
        <v/>
      </c>
      <c r="P321" s="12" t="str">
        <f>IF(OR(D321="",E321=""),"",IF(IFERROR(INDEX(Stats!$D:$D,MATCH($C321,Stats!$A:$A,0)),FALSE),ROUND(D321+(E321-D321)*(1+G321)*((9-1)/(MaxLevel-1))^(2^F321),0),D321+(E321-D321)*(1+G321)*((9-1)/(MaxLevel-1))^(2^F321)))</f>
        <v/>
      </c>
      <c r="Q321" s="12" t="str">
        <f>IF(OR(D321="",E321=""),"",IF(IFERROR(INDEX(Stats!$D:$D,MATCH($C321,Stats!$A:$A,0)),FALSE),ROUND(D321+(E321-D321)*(1+G321)*((10-1)/(MaxLevel-1))^(2^F321),0),D321+(E321-D321)*(1+G321)*((10-1)/(MaxLevel-1))^(2^F321)))</f>
        <v/>
      </c>
    </row>
    <row r="322" spans="1:17" x14ac:dyDescent="0.25">
      <c r="A322" s="4" t="s">
        <v>185</v>
      </c>
      <c r="B322" s="19" t="s">
        <v>231</v>
      </c>
      <c r="C322" s="4" t="s">
        <v>56</v>
      </c>
      <c r="D322" s="5"/>
      <c r="E322" s="5"/>
      <c r="F322" s="5"/>
      <c r="G322" s="5"/>
      <c r="H322" s="12" t="str">
        <f>IF(OR(D322="",E322=""),"",IF(IFERROR(INDEX(Stats!$D:$D,MATCH($C322,Stats!$A:$A,0)),FALSE),ROUND(D322+(E322-D322)*(1+G322)*((1-1)/(MaxLevel-1))^(2^F322),0),D322+(E322-D322)*(1+G322)*((1-1)/(MaxLevel-1))^(2^F322)))</f>
        <v/>
      </c>
      <c r="I322" s="12" t="str">
        <f>IF(OR(D322="",E322=""),"",IF(IFERROR(INDEX(Stats!$D:$D,MATCH($C322,Stats!$A:$A,0)),FALSE),ROUND(D322+(E322-D322)*(1+G322)*((2-1)/(MaxLevel-1))^(2^F322),0),D322+(E322-D322)*(1+G322)*((2-1)/(MaxLevel-1))^(2^F322)))</f>
        <v/>
      </c>
      <c r="J322" s="12" t="str">
        <f>IF(OR(D322="",E322=""),"",IF(IFERROR(INDEX(Stats!$D:$D,MATCH($C322,Stats!$A:$A,0)),FALSE),ROUND(D322+(E322-D322)*(1+G322)*((3-1)/(MaxLevel-1))^(2^F322),0),D322+(E322-D322)*(1+G322)*((3-1)/(MaxLevel-1))^(2^F322)))</f>
        <v/>
      </c>
      <c r="K322" s="12" t="str">
        <f>IF(OR(D322="",E322=""),"",IF(IFERROR(INDEX(Stats!$D:$D,MATCH($C322,Stats!$A:$A,0)),FALSE),ROUND(D322+(E322-D322)*(1+G322)*((4-1)/(MaxLevel-1))^(2^F322),0),D322+(E322-D322)*(1+G322)*((4-1)/(MaxLevel-1))^(2^F322)))</f>
        <v/>
      </c>
      <c r="L322" s="12" t="str">
        <f>IF(OR(D322="",E322=""),"",IF(IFERROR(INDEX(Stats!$D:$D,MATCH($C322,Stats!$A:$A,0)),FALSE),ROUND(D322+(E322-D322)*(1+G322)*((5-1)/(MaxLevel-1))^(2^F322),0),D322+(E322-D322)*(1+G322)*((5-1)/(MaxLevel-1))^(2^F322)))</f>
        <v/>
      </c>
      <c r="M322" s="12" t="str">
        <f>IF(OR(D322="",E322=""),"",IF(IFERROR(INDEX(Stats!$D:$D,MATCH($C322,Stats!$A:$A,0)),FALSE),ROUND(D322+(E322-D322)*(1+G322)*((6-1)/(MaxLevel-1))^(2^F322),0),D322+(E322-D322)*(1+G322)*((6-1)/(MaxLevel-1))^(2^F322)))</f>
        <v/>
      </c>
      <c r="N322" s="12" t="str">
        <f>IF(OR(D322="",E322=""),"",IF(IFERROR(INDEX(Stats!$D:$D,MATCH($C322,Stats!$A:$A,0)),FALSE),ROUND(D322+(E322-D322)*(1+G322)*((7-1)/(MaxLevel-1))^(2^F322),0),D322+(E322-D322)*(1+G322)*((7-1)/(MaxLevel-1))^(2^F322)))</f>
        <v/>
      </c>
      <c r="O322" s="12" t="str">
        <f>IF(OR(D322="",E322=""),"",IF(IFERROR(INDEX(Stats!$D:$D,MATCH($C322,Stats!$A:$A,0)),FALSE),ROUND(D322+(E322-D322)*(1+G322)*((8-1)/(MaxLevel-1))^(2^F322),0),D322+(E322-D322)*(1+G322)*((8-1)/(MaxLevel-1))^(2^F322)))</f>
        <v/>
      </c>
      <c r="P322" s="12" t="str">
        <f>IF(OR(D322="",E322=""),"",IF(IFERROR(INDEX(Stats!$D:$D,MATCH($C322,Stats!$A:$A,0)),FALSE),ROUND(D322+(E322-D322)*(1+G322)*((9-1)/(MaxLevel-1))^(2^F322),0),D322+(E322-D322)*(1+G322)*((9-1)/(MaxLevel-1))^(2^F322)))</f>
        <v/>
      </c>
      <c r="Q322" s="12" t="str">
        <f>IF(OR(D322="",E322=""),"",IF(IFERROR(INDEX(Stats!$D:$D,MATCH($C322,Stats!$A:$A,0)),FALSE),ROUND(D322+(E322-D322)*(1+G322)*((10-1)/(MaxLevel-1))^(2^F322),0),D322+(E322-D322)*(1+G322)*((10-1)/(MaxLevel-1))^(2^F322)))</f>
        <v/>
      </c>
    </row>
    <row r="323" spans="1:17" x14ac:dyDescent="0.25">
      <c r="A323" s="4" t="s">
        <v>185</v>
      </c>
      <c r="B323" s="19" t="s">
        <v>231</v>
      </c>
      <c r="C323" s="4" t="s">
        <v>58</v>
      </c>
      <c r="D323" s="5"/>
      <c r="E323" s="5"/>
      <c r="F323" s="5"/>
      <c r="G323" s="5"/>
      <c r="H323" s="12" t="str">
        <f>IF(OR(D323="",E323=""),"",IF(IFERROR(INDEX(Stats!$D:$D,MATCH($C323,Stats!$A:$A,0)),FALSE),ROUND(D323+(E323-D323)*(1+G323)*((1-1)/(MaxLevel-1))^(2^F323),0),D323+(E323-D323)*(1+G323)*((1-1)/(MaxLevel-1))^(2^F323)))</f>
        <v/>
      </c>
      <c r="I323" s="12" t="str">
        <f>IF(OR(D323="",E323=""),"",IF(IFERROR(INDEX(Stats!$D:$D,MATCH($C323,Stats!$A:$A,0)),FALSE),ROUND(D323+(E323-D323)*(1+G323)*((2-1)/(MaxLevel-1))^(2^F323),0),D323+(E323-D323)*(1+G323)*((2-1)/(MaxLevel-1))^(2^F323)))</f>
        <v/>
      </c>
      <c r="J323" s="12" t="str">
        <f>IF(OR(D323="",E323=""),"",IF(IFERROR(INDEX(Stats!$D:$D,MATCH($C323,Stats!$A:$A,0)),FALSE),ROUND(D323+(E323-D323)*(1+G323)*((3-1)/(MaxLevel-1))^(2^F323),0),D323+(E323-D323)*(1+G323)*((3-1)/(MaxLevel-1))^(2^F323)))</f>
        <v/>
      </c>
      <c r="K323" s="12" t="str">
        <f>IF(OR(D323="",E323=""),"",IF(IFERROR(INDEX(Stats!$D:$D,MATCH($C323,Stats!$A:$A,0)),FALSE),ROUND(D323+(E323-D323)*(1+G323)*((4-1)/(MaxLevel-1))^(2^F323),0),D323+(E323-D323)*(1+G323)*((4-1)/(MaxLevel-1))^(2^F323)))</f>
        <v/>
      </c>
      <c r="L323" s="12" t="str">
        <f>IF(OR(D323="",E323=""),"",IF(IFERROR(INDEX(Stats!$D:$D,MATCH($C323,Stats!$A:$A,0)),FALSE),ROUND(D323+(E323-D323)*(1+G323)*((5-1)/(MaxLevel-1))^(2^F323),0),D323+(E323-D323)*(1+G323)*((5-1)/(MaxLevel-1))^(2^F323)))</f>
        <v/>
      </c>
      <c r="M323" s="12" t="str">
        <f>IF(OR(D323="",E323=""),"",IF(IFERROR(INDEX(Stats!$D:$D,MATCH($C323,Stats!$A:$A,0)),FALSE),ROUND(D323+(E323-D323)*(1+G323)*((6-1)/(MaxLevel-1))^(2^F323),0),D323+(E323-D323)*(1+G323)*((6-1)/(MaxLevel-1))^(2^F323)))</f>
        <v/>
      </c>
      <c r="N323" s="12" t="str">
        <f>IF(OR(D323="",E323=""),"",IF(IFERROR(INDEX(Stats!$D:$D,MATCH($C323,Stats!$A:$A,0)),FALSE),ROUND(D323+(E323-D323)*(1+G323)*((7-1)/(MaxLevel-1))^(2^F323),0),D323+(E323-D323)*(1+G323)*((7-1)/(MaxLevel-1))^(2^F323)))</f>
        <v/>
      </c>
      <c r="O323" s="12" t="str">
        <f>IF(OR(D323="",E323=""),"",IF(IFERROR(INDEX(Stats!$D:$D,MATCH($C323,Stats!$A:$A,0)),FALSE),ROUND(D323+(E323-D323)*(1+G323)*((8-1)/(MaxLevel-1))^(2^F323),0),D323+(E323-D323)*(1+G323)*((8-1)/(MaxLevel-1))^(2^F323)))</f>
        <v/>
      </c>
      <c r="P323" s="12" t="str">
        <f>IF(OR(D323="",E323=""),"",IF(IFERROR(INDEX(Stats!$D:$D,MATCH($C323,Stats!$A:$A,0)),FALSE),ROUND(D323+(E323-D323)*(1+G323)*((9-1)/(MaxLevel-1))^(2^F323),0),D323+(E323-D323)*(1+G323)*((9-1)/(MaxLevel-1))^(2^F323)))</f>
        <v/>
      </c>
      <c r="Q323" s="12" t="str">
        <f>IF(OR(D323="",E323=""),"",IF(IFERROR(INDEX(Stats!$D:$D,MATCH($C323,Stats!$A:$A,0)),FALSE),ROUND(D323+(E323-D323)*(1+G323)*((10-1)/(MaxLevel-1))^(2^F323),0),D323+(E323-D323)*(1+G323)*((10-1)/(MaxLevel-1))^(2^F323)))</f>
        <v/>
      </c>
    </row>
    <row r="324" spans="1:17" x14ac:dyDescent="0.25">
      <c r="A324" s="4" t="s">
        <v>185</v>
      </c>
      <c r="B324" s="19" t="s">
        <v>231</v>
      </c>
      <c r="C324" s="4" t="s">
        <v>60</v>
      </c>
      <c r="D324" s="5"/>
      <c r="E324" s="5"/>
      <c r="F324" s="5"/>
      <c r="G324" s="5"/>
      <c r="H324" s="12" t="str">
        <f>IF(OR(D324="",E324=""),"",IF(IFERROR(INDEX(Stats!$D:$D,MATCH($C324,Stats!$A:$A,0)),FALSE),ROUND(D324+(E324-D324)*(1+G324)*((1-1)/(MaxLevel-1))^(2^F324),0),D324+(E324-D324)*(1+G324)*((1-1)/(MaxLevel-1))^(2^F324)))</f>
        <v/>
      </c>
      <c r="I324" s="12" t="str">
        <f>IF(OR(D324="",E324=""),"",IF(IFERROR(INDEX(Stats!$D:$D,MATCH($C324,Stats!$A:$A,0)),FALSE),ROUND(D324+(E324-D324)*(1+G324)*((2-1)/(MaxLevel-1))^(2^F324),0),D324+(E324-D324)*(1+G324)*((2-1)/(MaxLevel-1))^(2^F324)))</f>
        <v/>
      </c>
      <c r="J324" s="12" t="str">
        <f>IF(OR(D324="",E324=""),"",IF(IFERROR(INDEX(Stats!$D:$D,MATCH($C324,Stats!$A:$A,0)),FALSE),ROUND(D324+(E324-D324)*(1+G324)*((3-1)/(MaxLevel-1))^(2^F324),0),D324+(E324-D324)*(1+G324)*((3-1)/(MaxLevel-1))^(2^F324)))</f>
        <v/>
      </c>
      <c r="K324" s="12" t="str">
        <f>IF(OR(D324="",E324=""),"",IF(IFERROR(INDEX(Stats!$D:$D,MATCH($C324,Stats!$A:$A,0)),FALSE),ROUND(D324+(E324-D324)*(1+G324)*((4-1)/(MaxLevel-1))^(2^F324),0),D324+(E324-D324)*(1+G324)*((4-1)/(MaxLevel-1))^(2^F324)))</f>
        <v/>
      </c>
      <c r="L324" s="12" t="str">
        <f>IF(OR(D324="",E324=""),"",IF(IFERROR(INDEX(Stats!$D:$D,MATCH($C324,Stats!$A:$A,0)),FALSE),ROUND(D324+(E324-D324)*(1+G324)*((5-1)/(MaxLevel-1))^(2^F324),0),D324+(E324-D324)*(1+G324)*((5-1)/(MaxLevel-1))^(2^F324)))</f>
        <v/>
      </c>
      <c r="M324" s="12" t="str">
        <f>IF(OR(D324="",E324=""),"",IF(IFERROR(INDEX(Stats!$D:$D,MATCH($C324,Stats!$A:$A,0)),FALSE),ROUND(D324+(E324-D324)*(1+G324)*((6-1)/(MaxLevel-1))^(2^F324),0),D324+(E324-D324)*(1+G324)*((6-1)/(MaxLevel-1))^(2^F324)))</f>
        <v/>
      </c>
      <c r="N324" s="12" t="str">
        <f>IF(OR(D324="",E324=""),"",IF(IFERROR(INDEX(Stats!$D:$D,MATCH($C324,Stats!$A:$A,0)),FALSE),ROUND(D324+(E324-D324)*(1+G324)*((7-1)/(MaxLevel-1))^(2^F324),0),D324+(E324-D324)*(1+G324)*((7-1)/(MaxLevel-1))^(2^F324)))</f>
        <v/>
      </c>
      <c r="O324" s="12" t="str">
        <f>IF(OR(D324="",E324=""),"",IF(IFERROR(INDEX(Stats!$D:$D,MATCH($C324,Stats!$A:$A,0)),FALSE),ROUND(D324+(E324-D324)*(1+G324)*((8-1)/(MaxLevel-1))^(2^F324),0),D324+(E324-D324)*(1+G324)*((8-1)/(MaxLevel-1))^(2^F324)))</f>
        <v/>
      </c>
      <c r="P324" s="12" t="str">
        <f>IF(OR(D324="",E324=""),"",IF(IFERROR(INDEX(Stats!$D:$D,MATCH($C324,Stats!$A:$A,0)),FALSE),ROUND(D324+(E324-D324)*(1+G324)*((9-1)/(MaxLevel-1))^(2^F324),0),D324+(E324-D324)*(1+G324)*((9-1)/(MaxLevel-1))^(2^F324)))</f>
        <v/>
      </c>
      <c r="Q324" s="12" t="str">
        <f>IF(OR(D324="",E324=""),"",IF(IFERROR(INDEX(Stats!$D:$D,MATCH($C324,Stats!$A:$A,0)),FALSE),ROUND(D324+(E324-D324)*(1+G324)*((10-1)/(MaxLevel-1))^(2^F324),0),D324+(E324-D324)*(1+G324)*((10-1)/(MaxLevel-1))^(2^F324)))</f>
        <v/>
      </c>
    </row>
    <row r="325" spans="1:17" x14ac:dyDescent="0.25">
      <c r="A325" s="4" t="s">
        <v>185</v>
      </c>
      <c r="B325" s="19" t="s">
        <v>232</v>
      </c>
      <c r="C325" s="4" t="s">
        <v>24</v>
      </c>
      <c r="D325" s="5">
        <v>0</v>
      </c>
      <c r="E325" s="5">
        <v>10000</v>
      </c>
      <c r="F325" s="5">
        <v>1</v>
      </c>
      <c r="G325" s="5">
        <v>0</v>
      </c>
      <c r="H325" s="12">
        <f>IF(OR(D325="",E325=""),"",IF(IFERROR(INDEX(Stats!$D:$D,MATCH($C325,Stats!$A:$A,0)),FALSE),ROUND(D325+(E325-D325)*(1+G325)*((1-1)/(MaxLevel-1))^(2^F325),0),D325+(E325-D325)*(1+G325)*((1-1)/(MaxLevel-1))^(2^F325)))</f>
        <v>0</v>
      </c>
      <c r="I325" s="12">
        <f>IF(OR(D325="",E325=""),"",IF(IFERROR(INDEX(Stats!$D:$D,MATCH($C325,Stats!$A:$A,0)),FALSE),ROUND(D325+(E325-D325)*(1+G325)*((2-1)/(MaxLevel-1))^(2^F325),0),D325+(E325-D325)*(1+G325)*((2-1)/(MaxLevel-1))^(2^F325)))</f>
        <v>123</v>
      </c>
      <c r="J325" s="12">
        <f>IF(OR(D325="",E325=""),"",IF(IFERROR(INDEX(Stats!$D:$D,MATCH($C325,Stats!$A:$A,0)),FALSE),ROUND(D325+(E325-D325)*(1+G325)*((3-1)/(MaxLevel-1))^(2^F325),0),D325+(E325-D325)*(1+G325)*((3-1)/(MaxLevel-1))^(2^F325)))</f>
        <v>494</v>
      </c>
      <c r="K325" s="12">
        <f>IF(OR(D325="",E325=""),"",IF(IFERROR(INDEX(Stats!$D:$D,MATCH($C325,Stats!$A:$A,0)),FALSE),ROUND(D325+(E325-D325)*(1+G325)*((4-1)/(MaxLevel-1))^(2^F325),0),D325+(E325-D325)*(1+G325)*((4-1)/(MaxLevel-1))^(2^F325)))</f>
        <v>1111</v>
      </c>
      <c r="L325" s="12">
        <f>IF(OR(D325="",E325=""),"",IF(IFERROR(INDEX(Stats!$D:$D,MATCH($C325,Stats!$A:$A,0)),FALSE),ROUND(D325+(E325-D325)*(1+G325)*((5-1)/(MaxLevel-1))^(2^F325),0),D325+(E325-D325)*(1+G325)*((5-1)/(MaxLevel-1))^(2^F325)))</f>
        <v>1975</v>
      </c>
      <c r="M325" s="12">
        <f>IF(OR(D325="",E325=""),"",IF(IFERROR(INDEX(Stats!$D:$D,MATCH($C325,Stats!$A:$A,0)),FALSE),ROUND(D325+(E325-D325)*(1+G325)*((6-1)/(MaxLevel-1))^(2^F325),0),D325+(E325-D325)*(1+G325)*((6-1)/(MaxLevel-1))^(2^F325)))</f>
        <v>3086</v>
      </c>
      <c r="N325" s="12">
        <f>IF(OR(D325="",E325=""),"",IF(IFERROR(INDEX(Stats!$D:$D,MATCH($C325,Stats!$A:$A,0)),FALSE),ROUND(D325+(E325-D325)*(1+G325)*((7-1)/(MaxLevel-1))^(2^F325),0),D325+(E325-D325)*(1+G325)*((7-1)/(MaxLevel-1))^(2^F325)))</f>
        <v>4444</v>
      </c>
      <c r="O325" s="12">
        <f>IF(OR(D325="",E325=""),"",IF(IFERROR(INDEX(Stats!$D:$D,MATCH($C325,Stats!$A:$A,0)),FALSE),ROUND(D325+(E325-D325)*(1+G325)*((8-1)/(MaxLevel-1))^(2^F325),0),D325+(E325-D325)*(1+G325)*((8-1)/(MaxLevel-1))^(2^F325)))</f>
        <v>6049</v>
      </c>
      <c r="P325" s="12">
        <f>IF(OR(D325="",E325=""),"",IF(IFERROR(INDEX(Stats!$D:$D,MATCH($C325,Stats!$A:$A,0)),FALSE),ROUND(D325+(E325-D325)*(1+G325)*((9-1)/(MaxLevel-1))^(2^F325),0),D325+(E325-D325)*(1+G325)*((9-1)/(MaxLevel-1))^(2^F325)))</f>
        <v>7901</v>
      </c>
      <c r="Q325" s="12">
        <f>IF(OR(D325="",E325=""),"",IF(IFERROR(INDEX(Stats!$D:$D,MATCH($C325,Stats!$A:$A,0)),FALSE),ROUND(D325+(E325-D325)*(1+G325)*((10-1)/(MaxLevel-1))^(2^F325),0),D325+(E325-D325)*(1+G325)*((10-1)/(MaxLevel-1))^(2^F325)))</f>
        <v>10000</v>
      </c>
    </row>
    <row r="326" spans="1:17" x14ac:dyDescent="0.25">
      <c r="A326" s="4" t="s">
        <v>185</v>
      </c>
      <c r="B326" s="19" t="s">
        <v>232</v>
      </c>
      <c r="C326" s="4" t="s">
        <v>26</v>
      </c>
      <c r="D326" s="5">
        <v>25</v>
      </c>
      <c r="E326" s="5">
        <v>150</v>
      </c>
      <c r="F326" s="5">
        <v>0</v>
      </c>
      <c r="G326" s="5">
        <v>0</v>
      </c>
      <c r="H326" s="12">
        <f>IF(OR(D326="",E326=""),"",IF(IFERROR(INDEX(Stats!$D:$D,MATCH($C326,Stats!$A:$A,0)),FALSE),ROUND(D326+(E326-D326)*(1+G326)*((1-1)/(MaxLevel-1))^(2^F326),0),D326+(E326-D326)*(1+G326)*((1-1)/(MaxLevel-1))^(2^F326)))</f>
        <v>25</v>
      </c>
      <c r="I326" s="12">
        <f>IF(OR(D326="",E326=""),"",IF(IFERROR(INDEX(Stats!$D:$D,MATCH($C326,Stats!$A:$A,0)),FALSE),ROUND(D326+(E326-D326)*(1+G326)*((2-1)/(MaxLevel-1))^(2^F326),0),D326+(E326-D326)*(1+G326)*((2-1)/(MaxLevel-1))^(2^F326)))</f>
        <v>39</v>
      </c>
      <c r="J326" s="12">
        <f>IF(OR(D326="",E326=""),"",IF(IFERROR(INDEX(Stats!$D:$D,MATCH($C326,Stats!$A:$A,0)),FALSE),ROUND(D326+(E326-D326)*(1+G326)*((3-1)/(MaxLevel-1))^(2^F326),0),D326+(E326-D326)*(1+G326)*((3-1)/(MaxLevel-1))^(2^F326)))</f>
        <v>53</v>
      </c>
      <c r="K326" s="12">
        <f>IF(OR(D326="",E326=""),"",IF(IFERROR(INDEX(Stats!$D:$D,MATCH($C326,Stats!$A:$A,0)),FALSE),ROUND(D326+(E326-D326)*(1+G326)*((4-1)/(MaxLevel-1))^(2^F326),0),D326+(E326-D326)*(1+G326)*((4-1)/(MaxLevel-1))^(2^F326)))</f>
        <v>67</v>
      </c>
      <c r="L326" s="12">
        <f>IF(OR(D326="",E326=""),"",IF(IFERROR(INDEX(Stats!$D:$D,MATCH($C326,Stats!$A:$A,0)),FALSE),ROUND(D326+(E326-D326)*(1+G326)*((5-1)/(MaxLevel-1))^(2^F326),0),D326+(E326-D326)*(1+G326)*((5-1)/(MaxLevel-1))^(2^F326)))</f>
        <v>81</v>
      </c>
      <c r="M326" s="12">
        <f>IF(OR(D326="",E326=""),"",IF(IFERROR(INDEX(Stats!$D:$D,MATCH($C326,Stats!$A:$A,0)),FALSE),ROUND(D326+(E326-D326)*(1+G326)*((6-1)/(MaxLevel-1))^(2^F326),0),D326+(E326-D326)*(1+G326)*((6-1)/(MaxLevel-1))^(2^F326)))</f>
        <v>94</v>
      </c>
      <c r="N326" s="12">
        <f>IF(OR(D326="",E326=""),"",IF(IFERROR(INDEX(Stats!$D:$D,MATCH($C326,Stats!$A:$A,0)),FALSE),ROUND(D326+(E326-D326)*(1+G326)*((7-1)/(MaxLevel-1))^(2^F326),0),D326+(E326-D326)*(1+G326)*((7-1)/(MaxLevel-1))^(2^F326)))</f>
        <v>108</v>
      </c>
      <c r="O326" s="12">
        <f>IF(OR(D326="",E326=""),"",IF(IFERROR(INDEX(Stats!$D:$D,MATCH($C326,Stats!$A:$A,0)),FALSE),ROUND(D326+(E326-D326)*(1+G326)*((8-1)/(MaxLevel-1))^(2^F326),0),D326+(E326-D326)*(1+G326)*((8-1)/(MaxLevel-1))^(2^F326)))</f>
        <v>122</v>
      </c>
      <c r="P326" s="12">
        <f>IF(OR(D326="",E326=""),"",IF(IFERROR(INDEX(Stats!$D:$D,MATCH($C326,Stats!$A:$A,0)),FALSE),ROUND(D326+(E326-D326)*(1+G326)*((9-1)/(MaxLevel-1))^(2^F326),0),D326+(E326-D326)*(1+G326)*((9-1)/(MaxLevel-1))^(2^F326)))</f>
        <v>136</v>
      </c>
      <c r="Q326" s="12">
        <f>IF(OR(D326="",E326=""),"",IF(IFERROR(INDEX(Stats!$D:$D,MATCH($C326,Stats!$A:$A,0)),FALSE),ROUND(D326+(E326-D326)*(1+G326)*((10-1)/(MaxLevel-1))^(2^F326),0),D326+(E326-D326)*(1+G326)*((10-1)/(MaxLevel-1))^(2^F326)))</f>
        <v>150</v>
      </c>
    </row>
    <row r="327" spans="1:17" x14ac:dyDescent="0.25">
      <c r="A327" s="4" t="s">
        <v>185</v>
      </c>
      <c r="B327" s="19" t="s">
        <v>232</v>
      </c>
      <c r="C327" s="4" t="s">
        <v>28</v>
      </c>
      <c r="D327" s="5">
        <v>300</v>
      </c>
      <c r="E327" s="5">
        <v>1200</v>
      </c>
      <c r="F327" s="5">
        <v>0</v>
      </c>
      <c r="G327" s="5">
        <v>-0.1</v>
      </c>
      <c r="H327" s="12">
        <f>IF(OR(D327="",E327=""),"",IF(IFERROR(INDEX(Stats!$D:$D,MATCH($C327,Stats!$A:$A,0)),FALSE),ROUND(D327+(E327-D327)*(1+G327)*((1-1)/(MaxLevel-1))^(2^F327),0),D327+(E327-D327)*(1+G327)*((1-1)/(MaxLevel-1))^(2^F327)))</f>
        <v>300</v>
      </c>
      <c r="I327" s="12">
        <f>IF(OR(D327="",E327=""),"",IF(IFERROR(INDEX(Stats!$D:$D,MATCH($C327,Stats!$A:$A,0)),FALSE),ROUND(D327+(E327-D327)*(1+G327)*((2-1)/(MaxLevel-1))^(2^F327),0),D327+(E327-D327)*(1+G327)*((2-1)/(MaxLevel-1))^(2^F327)))</f>
        <v>390</v>
      </c>
      <c r="J327" s="12">
        <f>IF(OR(D327="",E327=""),"",IF(IFERROR(INDEX(Stats!$D:$D,MATCH($C327,Stats!$A:$A,0)),FALSE),ROUND(D327+(E327-D327)*(1+G327)*((3-1)/(MaxLevel-1))^(2^F327),0),D327+(E327-D327)*(1+G327)*((3-1)/(MaxLevel-1))^(2^F327)))</f>
        <v>480</v>
      </c>
      <c r="K327" s="12">
        <f>IF(OR(D327="",E327=""),"",IF(IFERROR(INDEX(Stats!$D:$D,MATCH($C327,Stats!$A:$A,0)),FALSE),ROUND(D327+(E327-D327)*(1+G327)*((4-1)/(MaxLevel-1))^(2^F327),0),D327+(E327-D327)*(1+G327)*((4-1)/(MaxLevel-1))^(2^F327)))</f>
        <v>570</v>
      </c>
      <c r="L327" s="12">
        <f>IF(OR(D327="",E327=""),"",IF(IFERROR(INDEX(Stats!$D:$D,MATCH($C327,Stats!$A:$A,0)),FALSE),ROUND(D327+(E327-D327)*(1+G327)*((5-1)/(MaxLevel-1))^(2^F327),0),D327+(E327-D327)*(1+G327)*((5-1)/(MaxLevel-1))^(2^F327)))</f>
        <v>660</v>
      </c>
      <c r="M327" s="12">
        <f>IF(OR(D327="",E327=""),"",IF(IFERROR(INDEX(Stats!$D:$D,MATCH($C327,Stats!$A:$A,0)),FALSE),ROUND(D327+(E327-D327)*(1+G327)*((6-1)/(MaxLevel-1))^(2^F327),0),D327+(E327-D327)*(1+G327)*((6-1)/(MaxLevel-1))^(2^F327)))</f>
        <v>750</v>
      </c>
      <c r="N327" s="12">
        <f>IF(OR(D327="",E327=""),"",IF(IFERROR(INDEX(Stats!$D:$D,MATCH($C327,Stats!$A:$A,0)),FALSE),ROUND(D327+(E327-D327)*(1+G327)*((7-1)/(MaxLevel-1))^(2^F327),0),D327+(E327-D327)*(1+G327)*((7-1)/(MaxLevel-1))^(2^F327)))</f>
        <v>840</v>
      </c>
      <c r="O327" s="12">
        <f>IF(OR(D327="",E327=""),"",IF(IFERROR(INDEX(Stats!$D:$D,MATCH($C327,Stats!$A:$A,0)),FALSE),ROUND(D327+(E327-D327)*(1+G327)*((8-1)/(MaxLevel-1))^(2^F327),0),D327+(E327-D327)*(1+G327)*((8-1)/(MaxLevel-1))^(2^F327)))</f>
        <v>930</v>
      </c>
      <c r="P327" s="12">
        <f>IF(OR(D327="",E327=""),"",IF(IFERROR(INDEX(Stats!$D:$D,MATCH($C327,Stats!$A:$A,0)),FALSE),ROUND(D327+(E327-D327)*(1+G327)*((9-1)/(MaxLevel-1))^(2^F327),0),D327+(E327-D327)*(1+G327)*((9-1)/(MaxLevel-1))^(2^F327)))</f>
        <v>1020</v>
      </c>
      <c r="Q327" s="12">
        <f>IF(OR(D327="",E327=""),"",IF(IFERROR(INDEX(Stats!$D:$D,MATCH($C327,Stats!$A:$A,0)),FALSE),ROUND(D327+(E327-D327)*(1+G327)*((10-1)/(MaxLevel-1))^(2^F327),0),D327+(E327-D327)*(1+G327)*((10-1)/(MaxLevel-1))^(2^F327)))</f>
        <v>1110</v>
      </c>
    </row>
    <row r="328" spans="1:17" x14ac:dyDescent="0.25">
      <c r="A328" s="4" t="s">
        <v>185</v>
      </c>
      <c r="B328" s="19" t="s">
        <v>232</v>
      </c>
      <c r="C328" s="4" t="s">
        <v>30</v>
      </c>
      <c r="D328" s="5">
        <v>25</v>
      </c>
      <c r="E328" s="5">
        <v>110</v>
      </c>
      <c r="F328" s="5">
        <v>0.5</v>
      </c>
      <c r="G328" s="5">
        <v>0</v>
      </c>
      <c r="H328" s="12">
        <f>IF(OR(D328="",E328=""),"",IF(IFERROR(INDEX(Stats!$D:$D,MATCH($C328,Stats!$A:$A,0)),FALSE),ROUND(D328+(E328-D328)*(1+G328)*((1-1)/(MaxLevel-1))^(2^F328),0),D328+(E328-D328)*(1+G328)*((1-1)/(MaxLevel-1))^(2^F328)))</f>
        <v>25</v>
      </c>
      <c r="I328" s="12">
        <f>IF(OR(D328="",E328=""),"",IF(IFERROR(INDEX(Stats!$D:$D,MATCH($C328,Stats!$A:$A,0)),FALSE),ROUND(D328+(E328-D328)*(1+G328)*((2-1)/(MaxLevel-1))^(2^F328),0),D328+(E328-D328)*(1+G328)*((2-1)/(MaxLevel-1))^(2^F328)))</f>
        <v>29</v>
      </c>
      <c r="J328" s="12">
        <f>IF(OR(D328="",E328=""),"",IF(IFERROR(INDEX(Stats!$D:$D,MATCH($C328,Stats!$A:$A,0)),FALSE),ROUND(D328+(E328-D328)*(1+G328)*((3-1)/(MaxLevel-1))^(2^F328),0),D328+(E328-D328)*(1+G328)*((3-1)/(MaxLevel-1))^(2^F328)))</f>
        <v>35</v>
      </c>
      <c r="K328" s="12">
        <f>IF(OR(D328="",E328=""),"",IF(IFERROR(INDEX(Stats!$D:$D,MATCH($C328,Stats!$A:$A,0)),FALSE),ROUND(D328+(E328-D328)*(1+G328)*((4-1)/(MaxLevel-1))^(2^F328),0),D328+(E328-D328)*(1+G328)*((4-1)/(MaxLevel-1))^(2^F328)))</f>
        <v>43</v>
      </c>
      <c r="L328" s="12">
        <f>IF(OR(D328="",E328=""),"",IF(IFERROR(INDEX(Stats!$D:$D,MATCH($C328,Stats!$A:$A,0)),FALSE),ROUND(D328+(E328-D328)*(1+G328)*((5-1)/(MaxLevel-1))^(2^F328),0),D328+(E328-D328)*(1+G328)*((5-1)/(MaxLevel-1))^(2^F328)))</f>
        <v>52</v>
      </c>
      <c r="M328" s="12">
        <f>IF(OR(D328="",E328=""),"",IF(IFERROR(INDEX(Stats!$D:$D,MATCH($C328,Stats!$A:$A,0)),FALSE),ROUND(D328+(E328-D328)*(1+G328)*((6-1)/(MaxLevel-1))^(2^F328),0),D328+(E328-D328)*(1+G328)*((6-1)/(MaxLevel-1))^(2^F328)))</f>
        <v>62</v>
      </c>
      <c r="N328" s="12">
        <f>IF(OR(D328="",E328=""),"",IF(IFERROR(INDEX(Stats!$D:$D,MATCH($C328,Stats!$A:$A,0)),FALSE),ROUND(D328+(E328-D328)*(1+G328)*((7-1)/(MaxLevel-1))^(2^F328),0),D328+(E328-D328)*(1+G328)*((7-1)/(MaxLevel-1))^(2^F328)))</f>
        <v>73</v>
      </c>
      <c r="O328" s="12">
        <f>IF(OR(D328="",E328=""),"",IF(IFERROR(INDEX(Stats!$D:$D,MATCH($C328,Stats!$A:$A,0)),FALSE),ROUND(D328+(E328-D328)*(1+G328)*((8-1)/(MaxLevel-1))^(2^F328),0),D328+(E328-D328)*(1+G328)*((8-1)/(MaxLevel-1))^(2^F328)))</f>
        <v>85</v>
      </c>
      <c r="P328" s="12">
        <f>IF(OR(D328="",E328=""),"",IF(IFERROR(INDEX(Stats!$D:$D,MATCH($C328,Stats!$A:$A,0)),FALSE),ROUND(D328+(E328-D328)*(1+G328)*((9-1)/(MaxLevel-1))^(2^F328),0),D328+(E328-D328)*(1+G328)*((9-1)/(MaxLevel-1))^(2^F328)))</f>
        <v>97</v>
      </c>
      <c r="Q328" s="12">
        <f>IF(OR(D328="",E328=""),"",IF(IFERROR(INDEX(Stats!$D:$D,MATCH($C328,Stats!$A:$A,0)),FALSE),ROUND(D328+(E328-D328)*(1+G328)*((10-1)/(MaxLevel-1))^(2^F328),0),D328+(E328-D328)*(1+G328)*((10-1)/(MaxLevel-1))^(2^F328)))</f>
        <v>110</v>
      </c>
    </row>
    <row r="329" spans="1:17" x14ac:dyDescent="0.25">
      <c r="A329" s="4" t="s">
        <v>185</v>
      </c>
      <c r="B329" s="19" t="s">
        <v>232</v>
      </c>
      <c r="C329" s="4" t="s">
        <v>32</v>
      </c>
      <c r="D329" s="5"/>
      <c r="E329" s="5"/>
      <c r="F329" s="5"/>
      <c r="G329" s="5"/>
      <c r="H329" s="12" t="str">
        <f>IF(OR(D329="",E329=""),"",IF(IFERROR(INDEX(Stats!$D:$D,MATCH($C329,Stats!$A:$A,0)),FALSE),ROUND(D329+(E329-D329)*(1+G329)*((1-1)/(MaxLevel-1))^(2^F329),0),D329+(E329-D329)*(1+G329)*((1-1)/(MaxLevel-1))^(2^F329)))</f>
        <v/>
      </c>
      <c r="I329" s="12" t="str">
        <f>IF(OR(D329="",E329=""),"",IF(IFERROR(INDEX(Stats!$D:$D,MATCH($C329,Stats!$A:$A,0)),FALSE),ROUND(D329+(E329-D329)*(1+G329)*((2-1)/(MaxLevel-1))^(2^F329),0),D329+(E329-D329)*(1+G329)*((2-1)/(MaxLevel-1))^(2^F329)))</f>
        <v/>
      </c>
      <c r="J329" s="12" t="str">
        <f>IF(OR(D329="",E329=""),"",IF(IFERROR(INDEX(Stats!$D:$D,MATCH($C329,Stats!$A:$A,0)),FALSE),ROUND(D329+(E329-D329)*(1+G329)*((3-1)/(MaxLevel-1))^(2^F329),0),D329+(E329-D329)*(1+G329)*((3-1)/(MaxLevel-1))^(2^F329)))</f>
        <v/>
      </c>
      <c r="K329" s="12" t="str">
        <f>IF(OR(D329="",E329=""),"",IF(IFERROR(INDEX(Stats!$D:$D,MATCH($C329,Stats!$A:$A,0)),FALSE),ROUND(D329+(E329-D329)*(1+G329)*((4-1)/(MaxLevel-1))^(2^F329),0),D329+(E329-D329)*(1+G329)*((4-1)/(MaxLevel-1))^(2^F329)))</f>
        <v/>
      </c>
      <c r="L329" s="12" t="str">
        <f>IF(OR(D329="",E329=""),"",IF(IFERROR(INDEX(Stats!$D:$D,MATCH($C329,Stats!$A:$A,0)),FALSE),ROUND(D329+(E329-D329)*(1+G329)*((5-1)/(MaxLevel-1))^(2^F329),0),D329+(E329-D329)*(1+G329)*((5-1)/(MaxLevel-1))^(2^F329)))</f>
        <v/>
      </c>
      <c r="M329" s="12" t="str">
        <f>IF(OR(D329="",E329=""),"",IF(IFERROR(INDEX(Stats!$D:$D,MATCH($C329,Stats!$A:$A,0)),FALSE),ROUND(D329+(E329-D329)*(1+G329)*((6-1)/(MaxLevel-1))^(2^F329),0),D329+(E329-D329)*(1+G329)*((6-1)/(MaxLevel-1))^(2^F329)))</f>
        <v/>
      </c>
      <c r="N329" s="12" t="str">
        <f>IF(OR(D329="",E329=""),"",IF(IFERROR(INDEX(Stats!$D:$D,MATCH($C329,Stats!$A:$A,0)),FALSE),ROUND(D329+(E329-D329)*(1+G329)*((7-1)/(MaxLevel-1))^(2^F329),0),D329+(E329-D329)*(1+G329)*((7-1)/(MaxLevel-1))^(2^F329)))</f>
        <v/>
      </c>
      <c r="O329" s="12" t="str">
        <f>IF(OR(D329="",E329=""),"",IF(IFERROR(INDEX(Stats!$D:$D,MATCH($C329,Stats!$A:$A,0)),FALSE),ROUND(D329+(E329-D329)*(1+G329)*((8-1)/(MaxLevel-1))^(2^F329),0),D329+(E329-D329)*(1+G329)*((8-1)/(MaxLevel-1))^(2^F329)))</f>
        <v/>
      </c>
      <c r="P329" s="12" t="str">
        <f>IF(OR(D329="",E329=""),"",IF(IFERROR(INDEX(Stats!$D:$D,MATCH($C329,Stats!$A:$A,0)),FALSE),ROUND(D329+(E329-D329)*(1+G329)*((9-1)/(MaxLevel-1))^(2^F329),0),D329+(E329-D329)*(1+G329)*((9-1)/(MaxLevel-1))^(2^F329)))</f>
        <v/>
      </c>
      <c r="Q329" s="12" t="str">
        <f>IF(OR(D329="",E329=""),"",IF(IFERROR(INDEX(Stats!$D:$D,MATCH($C329,Stats!$A:$A,0)),FALSE),ROUND(D329+(E329-D329)*(1+G329)*((10-1)/(MaxLevel-1))^(2^F329),0),D329+(E329-D329)*(1+G329)*((10-1)/(MaxLevel-1))^(2^F329)))</f>
        <v/>
      </c>
    </row>
    <row r="330" spans="1:17" x14ac:dyDescent="0.25">
      <c r="A330" s="4" t="s">
        <v>185</v>
      </c>
      <c r="B330" s="19" t="s">
        <v>232</v>
      </c>
      <c r="C330" s="4" t="s">
        <v>34</v>
      </c>
      <c r="D330" s="5"/>
      <c r="E330" s="5"/>
      <c r="F330" s="5"/>
      <c r="G330" s="5"/>
      <c r="H330" s="12" t="str">
        <f>IF(OR(D330="",E330=""),"",IF(IFERROR(INDEX(Stats!$D:$D,MATCH($C330,Stats!$A:$A,0)),FALSE),ROUND(D330+(E330-D330)*(1+G330)*((1-1)/(MaxLevel-1))^(2^F330),0),D330+(E330-D330)*(1+G330)*((1-1)/(MaxLevel-1))^(2^F330)))</f>
        <v/>
      </c>
      <c r="I330" s="12" t="str">
        <f>IF(OR(D330="",E330=""),"",IF(IFERROR(INDEX(Stats!$D:$D,MATCH($C330,Stats!$A:$A,0)),FALSE),ROUND(D330+(E330-D330)*(1+G330)*((2-1)/(MaxLevel-1))^(2^F330),0),D330+(E330-D330)*(1+G330)*((2-1)/(MaxLevel-1))^(2^F330)))</f>
        <v/>
      </c>
      <c r="J330" s="12" t="str">
        <f>IF(OR(D330="",E330=""),"",IF(IFERROR(INDEX(Stats!$D:$D,MATCH($C330,Stats!$A:$A,0)),FALSE),ROUND(D330+(E330-D330)*(1+G330)*((3-1)/(MaxLevel-1))^(2^F330),0),D330+(E330-D330)*(1+G330)*((3-1)/(MaxLevel-1))^(2^F330)))</f>
        <v/>
      </c>
      <c r="K330" s="12" t="str">
        <f>IF(OR(D330="",E330=""),"",IF(IFERROR(INDEX(Stats!$D:$D,MATCH($C330,Stats!$A:$A,0)),FALSE),ROUND(D330+(E330-D330)*(1+G330)*((4-1)/(MaxLevel-1))^(2^F330),0),D330+(E330-D330)*(1+G330)*((4-1)/(MaxLevel-1))^(2^F330)))</f>
        <v/>
      </c>
      <c r="L330" s="12" t="str">
        <f>IF(OR(D330="",E330=""),"",IF(IFERROR(INDEX(Stats!$D:$D,MATCH($C330,Stats!$A:$A,0)),FALSE),ROUND(D330+(E330-D330)*(1+G330)*((5-1)/(MaxLevel-1))^(2^F330),0),D330+(E330-D330)*(1+G330)*((5-1)/(MaxLevel-1))^(2^F330)))</f>
        <v/>
      </c>
      <c r="M330" s="12" t="str">
        <f>IF(OR(D330="",E330=""),"",IF(IFERROR(INDEX(Stats!$D:$D,MATCH($C330,Stats!$A:$A,0)),FALSE),ROUND(D330+(E330-D330)*(1+G330)*((6-1)/(MaxLevel-1))^(2^F330),0),D330+(E330-D330)*(1+G330)*((6-1)/(MaxLevel-1))^(2^F330)))</f>
        <v/>
      </c>
      <c r="N330" s="12" t="str">
        <f>IF(OR(D330="",E330=""),"",IF(IFERROR(INDEX(Stats!$D:$D,MATCH($C330,Stats!$A:$A,0)),FALSE),ROUND(D330+(E330-D330)*(1+G330)*((7-1)/(MaxLevel-1))^(2^F330),0),D330+(E330-D330)*(1+G330)*((7-1)/(MaxLevel-1))^(2^F330)))</f>
        <v/>
      </c>
      <c r="O330" s="12" t="str">
        <f>IF(OR(D330="",E330=""),"",IF(IFERROR(INDEX(Stats!$D:$D,MATCH($C330,Stats!$A:$A,0)),FALSE),ROUND(D330+(E330-D330)*(1+G330)*((8-1)/(MaxLevel-1))^(2^F330),0),D330+(E330-D330)*(1+G330)*((8-1)/(MaxLevel-1))^(2^F330)))</f>
        <v/>
      </c>
      <c r="P330" s="12" t="str">
        <f>IF(OR(D330="",E330=""),"",IF(IFERROR(INDEX(Stats!$D:$D,MATCH($C330,Stats!$A:$A,0)),FALSE),ROUND(D330+(E330-D330)*(1+G330)*((9-1)/(MaxLevel-1))^(2^F330),0),D330+(E330-D330)*(1+G330)*((9-1)/(MaxLevel-1))^(2^F330)))</f>
        <v/>
      </c>
      <c r="Q330" s="12" t="str">
        <f>IF(OR(D330="",E330=""),"",IF(IFERROR(INDEX(Stats!$D:$D,MATCH($C330,Stats!$A:$A,0)),FALSE),ROUND(D330+(E330-D330)*(1+G330)*((10-1)/(MaxLevel-1))^(2^F330),0),D330+(E330-D330)*(1+G330)*((10-1)/(MaxLevel-1))^(2^F330)))</f>
        <v/>
      </c>
    </row>
    <row r="331" spans="1:17" x14ac:dyDescent="0.25">
      <c r="A331" s="4" t="s">
        <v>185</v>
      </c>
      <c r="B331" s="19" t="s">
        <v>232</v>
      </c>
      <c r="C331" s="4" t="s">
        <v>36</v>
      </c>
      <c r="D331" s="5"/>
      <c r="E331" s="5"/>
      <c r="F331" s="5"/>
      <c r="G331" s="5"/>
      <c r="H331" s="12" t="str">
        <f>IF(OR(D331="",E331=""),"",IF(IFERROR(INDEX(Stats!$D:$D,MATCH($C331,Stats!$A:$A,0)),FALSE),ROUND(D331+(E331-D331)*(1+G331)*((1-1)/(MaxLevel-1))^(2^F331),0),D331+(E331-D331)*(1+G331)*((1-1)/(MaxLevel-1))^(2^F331)))</f>
        <v/>
      </c>
      <c r="I331" s="12" t="str">
        <f>IF(OR(D331="",E331=""),"",IF(IFERROR(INDEX(Stats!$D:$D,MATCH($C331,Stats!$A:$A,0)),FALSE),ROUND(D331+(E331-D331)*(1+G331)*((2-1)/(MaxLevel-1))^(2^F331),0),D331+(E331-D331)*(1+G331)*((2-1)/(MaxLevel-1))^(2^F331)))</f>
        <v/>
      </c>
      <c r="J331" s="12" t="str">
        <f>IF(OR(D331="",E331=""),"",IF(IFERROR(INDEX(Stats!$D:$D,MATCH($C331,Stats!$A:$A,0)),FALSE),ROUND(D331+(E331-D331)*(1+G331)*((3-1)/(MaxLevel-1))^(2^F331),0),D331+(E331-D331)*(1+G331)*((3-1)/(MaxLevel-1))^(2^F331)))</f>
        <v/>
      </c>
      <c r="K331" s="12" t="str">
        <f>IF(OR(D331="",E331=""),"",IF(IFERROR(INDEX(Stats!$D:$D,MATCH($C331,Stats!$A:$A,0)),FALSE),ROUND(D331+(E331-D331)*(1+G331)*((4-1)/(MaxLevel-1))^(2^F331),0),D331+(E331-D331)*(1+G331)*((4-1)/(MaxLevel-1))^(2^F331)))</f>
        <v/>
      </c>
      <c r="L331" s="12" t="str">
        <f>IF(OR(D331="",E331=""),"",IF(IFERROR(INDEX(Stats!$D:$D,MATCH($C331,Stats!$A:$A,0)),FALSE),ROUND(D331+(E331-D331)*(1+G331)*((5-1)/(MaxLevel-1))^(2^F331),0),D331+(E331-D331)*(1+G331)*((5-1)/(MaxLevel-1))^(2^F331)))</f>
        <v/>
      </c>
      <c r="M331" s="12" t="str">
        <f>IF(OR(D331="",E331=""),"",IF(IFERROR(INDEX(Stats!$D:$D,MATCH($C331,Stats!$A:$A,0)),FALSE),ROUND(D331+(E331-D331)*(1+G331)*((6-1)/(MaxLevel-1))^(2^F331),0),D331+(E331-D331)*(1+G331)*((6-1)/(MaxLevel-1))^(2^F331)))</f>
        <v/>
      </c>
      <c r="N331" s="12" t="str">
        <f>IF(OR(D331="",E331=""),"",IF(IFERROR(INDEX(Stats!$D:$D,MATCH($C331,Stats!$A:$A,0)),FALSE),ROUND(D331+(E331-D331)*(1+G331)*((7-1)/(MaxLevel-1))^(2^F331),0),D331+(E331-D331)*(1+G331)*((7-1)/(MaxLevel-1))^(2^F331)))</f>
        <v/>
      </c>
      <c r="O331" s="12" t="str">
        <f>IF(OR(D331="",E331=""),"",IF(IFERROR(INDEX(Stats!$D:$D,MATCH($C331,Stats!$A:$A,0)),FALSE),ROUND(D331+(E331-D331)*(1+G331)*((8-1)/(MaxLevel-1))^(2^F331),0),D331+(E331-D331)*(1+G331)*((8-1)/(MaxLevel-1))^(2^F331)))</f>
        <v/>
      </c>
      <c r="P331" s="12" t="str">
        <f>IF(OR(D331="",E331=""),"",IF(IFERROR(INDEX(Stats!$D:$D,MATCH($C331,Stats!$A:$A,0)),FALSE),ROUND(D331+(E331-D331)*(1+G331)*((9-1)/(MaxLevel-1))^(2^F331),0),D331+(E331-D331)*(1+G331)*((9-1)/(MaxLevel-1))^(2^F331)))</f>
        <v/>
      </c>
      <c r="Q331" s="12" t="str">
        <f>IF(OR(D331="",E331=""),"",IF(IFERROR(INDEX(Stats!$D:$D,MATCH($C331,Stats!$A:$A,0)),FALSE),ROUND(D331+(E331-D331)*(1+G331)*((10-1)/(MaxLevel-1))^(2^F331),0),D331+(E331-D331)*(1+G331)*((10-1)/(MaxLevel-1))^(2^F331)))</f>
        <v/>
      </c>
    </row>
    <row r="332" spans="1:17" x14ac:dyDescent="0.25">
      <c r="A332" s="4" t="s">
        <v>185</v>
      </c>
      <c r="B332" s="19" t="s">
        <v>232</v>
      </c>
      <c r="C332" s="4" t="s">
        <v>38</v>
      </c>
      <c r="D332" s="5"/>
      <c r="E332" s="5"/>
      <c r="F332" s="5"/>
      <c r="G332" s="5"/>
      <c r="H332" s="12" t="str">
        <f>IF(OR(D332="",E332=""),"",IF(IFERROR(INDEX(Stats!$D:$D,MATCH($C332,Stats!$A:$A,0)),FALSE),ROUND(D332+(E332-D332)*(1+G332)*((1-1)/(MaxLevel-1))^(2^F332),0),D332+(E332-D332)*(1+G332)*((1-1)/(MaxLevel-1))^(2^F332)))</f>
        <v/>
      </c>
      <c r="I332" s="12" t="str">
        <f>IF(OR(D332="",E332=""),"",IF(IFERROR(INDEX(Stats!$D:$D,MATCH($C332,Stats!$A:$A,0)),FALSE),ROUND(D332+(E332-D332)*(1+G332)*((2-1)/(MaxLevel-1))^(2^F332),0),D332+(E332-D332)*(1+G332)*((2-1)/(MaxLevel-1))^(2^F332)))</f>
        <v/>
      </c>
      <c r="J332" s="12" t="str">
        <f>IF(OR(D332="",E332=""),"",IF(IFERROR(INDEX(Stats!$D:$D,MATCH($C332,Stats!$A:$A,0)),FALSE),ROUND(D332+(E332-D332)*(1+G332)*((3-1)/(MaxLevel-1))^(2^F332),0),D332+(E332-D332)*(1+G332)*((3-1)/(MaxLevel-1))^(2^F332)))</f>
        <v/>
      </c>
      <c r="K332" s="12" t="str">
        <f>IF(OR(D332="",E332=""),"",IF(IFERROR(INDEX(Stats!$D:$D,MATCH($C332,Stats!$A:$A,0)),FALSE),ROUND(D332+(E332-D332)*(1+G332)*((4-1)/(MaxLevel-1))^(2^F332),0),D332+(E332-D332)*(1+G332)*((4-1)/(MaxLevel-1))^(2^F332)))</f>
        <v/>
      </c>
      <c r="L332" s="12" t="str">
        <f>IF(OR(D332="",E332=""),"",IF(IFERROR(INDEX(Stats!$D:$D,MATCH($C332,Stats!$A:$A,0)),FALSE),ROUND(D332+(E332-D332)*(1+G332)*((5-1)/(MaxLevel-1))^(2^F332),0),D332+(E332-D332)*(1+G332)*((5-1)/(MaxLevel-1))^(2^F332)))</f>
        <v/>
      </c>
      <c r="M332" s="12" t="str">
        <f>IF(OR(D332="",E332=""),"",IF(IFERROR(INDEX(Stats!$D:$D,MATCH($C332,Stats!$A:$A,0)),FALSE),ROUND(D332+(E332-D332)*(1+G332)*((6-1)/(MaxLevel-1))^(2^F332),0),D332+(E332-D332)*(1+G332)*((6-1)/(MaxLevel-1))^(2^F332)))</f>
        <v/>
      </c>
      <c r="N332" s="12" t="str">
        <f>IF(OR(D332="",E332=""),"",IF(IFERROR(INDEX(Stats!$D:$D,MATCH($C332,Stats!$A:$A,0)),FALSE),ROUND(D332+(E332-D332)*(1+G332)*((7-1)/(MaxLevel-1))^(2^F332),0),D332+(E332-D332)*(1+G332)*((7-1)/(MaxLevel-1))^(2^F332)))</f>
        <v/>
      </c>
      <c r="O332" s="12" t="str">
        <f>IF(OR(D332="",E332=""),"",IF(IFERROR(INDEX(Stats!$D:$D,MATCH($C332,Stats!$A:$A,0)),FALSE),ROUND(D332+(E332-D332)*(1+G332)*((8-1)/(MaxLevel-1))^(2^F332),0),D332+(E332-D332)*(1+G332)*((8-1)/(MaxLevel-1))^(2^F332)))</f>
        <v/>
      </c>
      <c r="P332" s="12" t="str">
        <f>IF(OR(D332="",E332=""),"",IF(IFERROR(INDEX(Stats!$D:$D,MATCH($C332,Stats!$A:$A,0)),FALSE),ROUND(D332+(E332-D332)*(1+G332)*((9-1)/(MaxLevel-1))^(2^F332),0),D332+(E332-D332)*(1+G332)*((9-1)/(MaxLevel-1))^(2^F332)))</f>
        <v/>
      </c>
      <c r="Q332" s="12" t="str">
        <f>IF(OR(D332="",E332=""),"",IF(IFERROR(INDEX(Stats!$D:$D,MATCH($C332,Stats!$A:$A,0)),FALSE),ROUND(D332+(E332-D332)*(1+G332)*((10-1)/(MaxLevel-1))^(2^F332),0),D332+(E332-D332)*(1+G332)*((10-1)/(MaxLevel-1))^(2^F332)))</f>
        <v/>
      </c>
    </row>
    <row r="333" spans="1:17" x14ac:dyDescent="0.25">
      <c r="A333" s="4" t="s">
        <v>185</v>
      </c>
      <c r="B333" s="19" t="s">
        <v>232</v>
      </c>
      <c r="C333" s="4" t="s">
        <v>40</v>
      </c>
      <c r="D333" s="5"/>
      <c r="E333" s="5"/>
      <c r="F333" s="5"/>
      <c r="G333" s="5"/>
      <c r="H333" s="12" t="str">
        <f>IF(OR(D333="",E333=""),"",IF(IFERROR(INDEX(Stats!$D:$D,MATCH($C333,Stats!$A:$A,0)),FALSE),ROUND(D333+(E333-D333)*(1+G333)*((1-1)/(MaxLevel-1))^(2^F333),0),D333+(E333-D333)*(1+G333)*((1-1)/(MaxLevel-1))^(2^F333)))</f>
        <v/>
      </c>
      <c r="I333" s="12" t="str">
        <f>IF(OR(D333="",E333=""),"",IF(IFERROR(INDEX(Stats!$D:$D,MATCH($C333,Stats!$A:$A,0)),FALSE),ROUND(D333+(E333-D333)*(1+G333)*((2-1)/(MaxLevel-1))^(2^F333),0),D333+(E333-D333)*(1+G333)*((2-1)/(MaxLevel-1))^(2^F333)))</f>
        <v/>
      </c>
      <c r="J333" s="12" t="str">
        <f>IF(OR(D333="",E333=""),"",IF(IFERROR(INDEX(Stats!$D:$D,MATCH($C333,Stats!$A:$A,0)),FALSE),ROUND(D333+(E333-D333)*(1+G333)*((3-1)/(MaxLevel-1))^(2^F333),0),D333+(E333-D333)*(1+G333)*((3-1)/(MaxLevel-1))^(2^F333)))</f>
        <v/>
      </c>
      <c r="K333" s="12" t="str">
        <f>IF(OR(D333="",E333=""),"",IF(IFERROR(INDEX(Stats!$D:$D,MATCH($C333,Stats!$A:$A,0)),FALSE),ROUND(D333+(E333-D333)*(1+G333)*((4-1)/(MaxLevel-1))^(2^F333),0),D333+(E333-D333)*(1+G333)*((4-1)/(MaxLevel-1))^(2^F333)))</f>
        <v/>
      </c>
      <c r="L333" s="12" t="str">
        <f>IF(OR(D333="",E333=""),"",IF(IFERROR(INDEX(Stats!$D:$D,MATCH($C333,Stats!$A:$A,0)),FALSE),ROUND(D333+(E333-D333)*(1+G333)*((5-1)/(MaxLevel-1))^(2^F333),0),D333+(E333-D333)*(1+G333)*((5-1)/(MaxLevel-1))^(2^F333)))</f>
        <v/>
      </c>
      <c r="M333" s="12" t="str">
        <f>IF(OR(D333="",E333=""),"",IF(IFERROR(INDEX(Stats!$D:$D,MATCH($C333,Stats!$A:$A,0)),FALSE),ROUND(D333+(E333-D333)*(1+G333)*((6-1)/(MaxLevel-1))^(2^F333),0),D333+(E333-D333)*(1+G333)*((6-1)/(MaxLevel-1))^(2^F333)))</f>
        <v/>
      </c>
      <c r="N333" s="12" t="str">
        <f>IF(OR(D333="",E333=""),"",IF(IFERROR(INDEX(Stats!$D:$D,MATCH($C333,Stats!$A:$A,0)),FALSE),ROUND(D333+(E333-D333)*(1+G333)*((7-1)/(MaxLevel-1))^(2^F333),0),D333+(E333-D333)*(1+G333)*((7-1)/(MaxLevel-1))^(2^F333)))</f>
        <v/>
      </c>
      <c r="O333" s="12" t="str">
        <f>IF(OR(D333="",E333=""),"",IF(IFERROR(INDEX(Stats!$D:$D,MATCH($C333,Stats!$A:$A,0)),FALSE),ROUND(D333+(E333-D333)*(1+G333)*((8-1)/(MaxLevel-1))^(2^F333),0),D333+(E333-D333)*(1+G333)*((8-1)/(MaxLevel-1))^(2^F333)))</f>
        <v/>
      </c>
      <c r="P333" s="12" t="str">
        <f>IF(OR(D333="",E333=""),"",IF(IFERROR(INDEX(Stats!$D:$D,MATCH($C333,Stats!$A:$A,0)),FALSE),ROUND(D333+(E333-D333)*(1+G333)*((9-1)/(MaxLevel-1))^(2^F333),0),D333+(E333-D333)*(1+G333)*((9-1)/(MaxLevel-1))^(2^F333)))</f>
        <v/>
      </c>
      <c r="Q333" s="12" t="str">
        <f>IF(OR(D333="",E333=""),"",IF(IFERROR(INDEX(Stats!$D:$D,MATCH($C333,Stats!$A:$A,0)),FALSE),ROUND(D333+(E333-D333)*(1+G333)*((10-1)/(MaxLevel-1))^(2^F333),0),D333+(E333-D333)*(1+G333)*((10-1)/(MaxLevel-1))^(2^F333)))</f>
        <v/>
      </c>
    </row>
    <row r="334" spans="1:17" x14ac:dyDescent="0.25">
      <c r="A334" s="4" t="s">
        <v>185</v>
      </c>
      <c r="B334" s="19" t="s">
        <v>232</v>
      </c>
      <c r="C334" s="4" t="s">
        <v>42</v>
      </c>
      <c r="D334" s="5"/>
      <c r="E334" s="5"/>
      <c r="F334" s="5"/>
      <c r="G334" s="5"/>
      <c r="H334" s="12" t="str">
        <f>IF(OR(D334="",E334=""),"",IF(IFERROR(INDEX(Stats!$D:$D,MATCH($C334,Stats!$A:$A,0)),FALSE),ROUND(D334+(E334-D334)*(1+G334)*((1-1)/(MaxLevel-1))^(2^F334),0),D334+(E334-D334)*(1+G334)*((1-1)/(MaxLevel-1))^(2^F334)))</f>
        <v/>
      </c>
      <c r="I334" s="12" t="str">
        <f>IF(OR(D334="",E334=""),"",IF(IFERROR(INDEX(Stats!$D:$D,MATCH($C334,Stats!$A:$A,0)),FALSE),ROUND(D334+(E334-D334)*(1+G334)*((2-1)/(MaxLevel-1))^(2^F334),0),D334+(E334-D334)*(1+G334)*((2-1)/(MaxLevel-1))^(2^F334)))</f>
        <v/>
      </c>
      <c r="J334" s="12" t="str">
        <f>IF(OR(D334="",E334=""),"",IF(IFERROR(INDEX(Stats!$D:$D,MATCH($C334,Stats!$A:$A,0)),FALSE),ROUND(D334+(E334-D334)*(1+G334)*((3-1)/(MaxLevel-1))^(2^F334),0),D334+(E334-D334)*(1+G334)*((3-1)/(MaxLevel-1))^(2^F334)))</f>
        <v/>
      </c>
      <c r="K334" s="12" t="str">
        <f>IF(OR(D334="",E334=""),"",IF(IFERROR(INDEX(Stats!$D:$D,MATCH($C334,Stats!$A:$A,0)),FALSE),ROUND(D334+(E334-D334)*(1+G334)*((4-1)/(MaxLevel-1))^(2^F334),0),D334+(E334-D334)*(1+G334)*((4-1)/(MaxLevel-1))^(2^F334)))</f>
        <v/>
      </c>
      <c r="L334" s="12" t="str">
        <f>IF(OR(D334="",E334=""),"",IF(IFERROR(INDEX(Stats!$D:$D,MATCH($C334,Stats!$A:$A,0)),FALSE),ROUND(D334+(E334-D334)*(1+G334)*((5-1)/(MaxLevel-1))^(2^F334),0),D334+(E334-D334)*(1+G334)*((5-1)/(MaxLevel-1))^(2^F334)))</f>
        <v/>
      </c>
      <c r="M334" s="12" t="str">
        <f>IF(OR(D334="",E334=""),"",IF(IFERROR(INDEX(Stats!$D:$D,MATCH($C334,Stats!$A:$A,0)),FALSE),ROUND(D334+(E334-D334)*(1+G334)*((6-1)/(MaxLevel-1))^(2^F334),0),D334+(E334-D334)*(1+G334)*((6-1)/(MaxLevel-1))^(2^F334)))</f>
        <v/>
      </c>
      <c r="N334" s="12" t="str">
        <f>IF(OR(D334="",E334=""),"",IF(IFERROR(INDEX(Stats!$D:$D,MATCH($C334,Stats!$A:$A,0)),FALSE),ROUND(D334+(E334-D334)*(1+G334)*((7-1)/(MaxLevel-1))^(2^F334),0),D334+(E334-D334)*(1+G334)*((7-1)/(MaxLevel-1))^(2^F334)))</f>
        <v/>
      </c>
      <c r="O334" s="12" t="str">
        <f>IF(OR(D334="",E334=""),"",IF(IFERROR(INDEX(Stats!$D:$D,MATCH($C334,Stats!$A:$A,0)),FALSE),ROUND(D334+(E334-D334)*(1+G334)*((8-1)/(MaxLevel-1))^(2^F334),0),D334+(E334-D334)*(1+G334)*((8-1)/(MaxLevel-1))^(2^F334)))</f>
        <v/>
      </c>
      <c r="P334" s="12" t="str">
        <f>IF(OR(D334="",E334=""),"",IF(IFERROR(INDEX(Stats!$D:$D,MATCH($C334,Stats!$A:$A,0)),FALSE),ROUND(D334+(E334-D334)*(1+G334)*((9-1)/(MaxLevel-1))^(2^F334),0),D334+(E334-D334)*(1+G334)*((9-1)/(MaxLevel-1))^(2^F334)))</f>
        <v/>
      </c>
      <c r="Q334" s="12" t="str">
        <f>IF(OR(D334="",E334=""),"",IF(IFERROR(INDEX(Stats!$D:$D,MATCH($C334,Stats!$A:$A,0)),FALSE),ROUND(D334+(E334-D334)*(1+G334)*((10-1)/(MaxLevel-1))^(2^F334),0),D334+(E334-D334)*(1+G334)*((10-1)/(MaxLevel-1))^(2^F334)))</f>
        <v/>
      </c>
    </row>
    <row r="335" spans="1:17" x14ac:dyDescent="0.25">
      <c r="A335" s="4" t="s">
        <v>185</v>
      </c>
      <c r="B335" s="19" t="s">
        <v>232</v>
      </c>
      <c r="C335" s="4" t="s">
        <v>44</v>
      </c>
      <c r="D335" s="5"/>
      <c r="E335" s="5"/>
      <c r="F335" s="5"/>
      <c r="G335" s="5"/>
      <c r="H335" s="12" t="str">
        <f>IF(OR(D335="",E335=""),"",IF(IFERROR(INDEX(Stats!$D:$D,MATCH($C335,Stats!$A:$A,0)),FALSE),ROUND(D335+(E335-D335)*(1+G335)*((1-1)/(MaxLevel-1))^(2^F335),0),D335+(E335-D335)*(1+G335)*((1-1)/(MaxLevel-1))^(2^F335)))</f>
        <v/>
      </c>
      <c r="I335" s="12" t="str">
        <f>IF(OR(D335="",E335=""),"",IF(IFERROR(INDEX(Stats!$D:$D,MATCH($C335,Stats!$A:$A,0)),FALSE),ROUND(D335+(E335-D335)*(1+G335)*((2-1)/(MaxLevel-1))^(2^F335),0),D335+(E335-D335)*(1+G335)*((2-1)/(MaxLevel-1))^(2^F335)))</f>
        <v/>
      </c>
      <c r="J335" s="12" t="str">
        <f>IF(OR(D335="",E335=""),"",IF(IFERROR(INDEX(Stats!$D:$D,MATCH($C335,Stats!$A:$A,0)),FALSE),ROUND(D335+(E335-D335)*(1+G335)*((3-1)/(MaxLevel-1))^(2^F335),0),D335+(E335-D335)*(1+G335)*((3-1)/(MaxLevel-1))^(2^F335)))</f>
        <v/>
      </c>
      <c r="K335" s="12" t="str">
        <f>IF(OR(D335="",E335=""),"",IF(IFERROR(INDEX(Stats!$D:$D,MATCH($C335,Stats!$A:$A,0)),FALSE),ROUND(D335+(E335-D335)*(1+G335)*((4-1)/(MaxLevel-1))^(2^F335),0),D335+(E335-D335)*(1+G335)*((4-1)/(MaxLevel-1))^(2^F335)))</f>
        <v/>
      </c>
      <c r="L335" s="12" t="str">
        <f>IF(OR(D335="",E335=""),"",IF(IFERROR(INDEX(Stats!$D:$D,MATCH($C335,Stats!$A:$A,0)),FALSE),ROUND(D335+(E335-D335)*(1+G335)*((5-1)/(MaxLevel-1))^(2^F335),0),D335+(E335-D335)*(1+G335)*((5-1)/(MaxLevel-1))^(2^F335)))</f>
        <v/>
      </c>
      <c r="M335" s="12" t="str">
        <f>IF(OR(D335="",E335=""),"",IF(IFERROR(INDEX(Stats!$D:$D,MATCH($C335,Stats!$A:$A,0)),FALSE),ROUND(D335+(E335-D335)*(1+G335)*((6-1)/(MaxLevel-1))^(2^F335),0),D335+(E335-D335)*(1+G335)*((6-1)/(MaxLevel-1))^(2^F335)))</f>
        <v/>
      </c>
      <c r="N335" s="12" t="str">
        <f>IF(OR(D335="",E335=""),"",IF(IFERROR(INDEX(Stats!$D:$D,MATCH($C335,Stats!$A:$A,0)),FALSE),ROUND(D335+(E335-D335)*(1+G335)*((7-1)/(MaxLevel-1))^(2^F335),0),D335+(E335-D335)*(1+G335)*((7-1)/(MaxLevel-1))^(2^F335)))</f>
        <v/>
      </c>
      <c r="O335" s="12" t="str">
        <f>IF(OR(D335="",E335=""),"",IF(IFERROR(INDEX(Stats!$D:$D,MATCH($C335,Stats!$A:$A,0)),FALSE),ROUND(D335+(E335-D335)*(1+G335)*((8-1)/(MaxLevel-1))^(2^F335),0),D335+(E335-D335)*(1+G335)*((8-1)/(MaxLevel-1))^(2^F335)))</f>
        <v/>
      </c>
      <c r="P335" s="12" t="str">
        <f>IF(OR(D335="",E335=""),"",IF(IFERROR(INDEX(Stats!$D:$D,MATCH($C335,Stats!$A:$A,0)),FALSE),ROUND(D335+(E335-D335)*(1+G335)*((9-1)/(MaxLevel-1))^(2^F335),0),D335+(E335-D335)*(1+G335)*((9-1)/(MaxLevel-1))^(2^F335)))</f>
        <v/>
      </c>
      <c r="Q335" s="12" t="str">
        <f>IF(OR(D335="",E335=""),"",IF(IFERROR(INDEX(Stats!$D:$D,MATCH($C335,Stats!$A:$A,0)),FALSE),ROUND(D335+(E335-D335)*(1+G335)*((10-1)/(MaxLevel-1))^(2^F335),0),D335+(E335-D335)*(1+G335)*((10-1)/(MaxLevel-1))^(2^F335)))</f>
        <v/>
      </c>
    </row>
    <row r="336" spans="1:17" x14ac:dyDescent="0.25">
      <c r="A336" s="4" t="s">
        <v>185</v>
      </c>
      <c r="B336" s="19" t="s">
        <v>232</v>
      </c>
      <c r="C336" s="4" t="s">
        <v>46</v>
      </c>
      <c r="D336" s="5">
        <v>300</v>
      </c>
      <c r="E336" s="5">
        <v>320</v>
      </c>
      <c r="F336" s="5">
        <v>0</v>
      </c>
      <c r="G336" s="5">
        <v>0</v>
      </c>
      <c r="H336" s="12">
        <f>IF(OR(D336="",E336=""),"",IF(IFERROR(INDEX(Stats!$D:$D,MATCH($C336,Stats!$A:$A,0)),FALSE),ROUND(D336+(E336-D336)*(1+G336)*((1-1)/(MaxLevel-1))^(2^F336),0),D336+(E336-D336)*(1+G336)*((1-1)/(MaxLevel-1))^(2^F336)))</f>
        <v>300</v>
      </c>
      <c r="I336" s="12">
        <f>IF(OR(D336="",E336=""),"",IF(IFERROR(INDEX(Stats!$D:$D,MATCH($C336,Stats!$A:$A,0)),FALSE),ROUND(D336+(E336-D336)*(1+G336)*((2-1)/(MaxLevel-1))^(2^F336),0),D336+(E336-D336)*(1+G336)*((2-1)/(MaxLevel-1))^(2^F336)))</f>
        <v>302.22222222222223</v>
      </c>
      <c r="J336" s="12">
        <f>IF(OR(D336="",E336=""),"",IF(IFERROR(INDEX(Stats!$D:$D,MATCH($C336,Stats!$A:$A,0)),FALSE),ROUND(D336+(E336-D336)*(1+G336)*((3-1)/(MaxLevel-1))^(2^F336),0),D336+(E336-D336)*(1+G336)*((3-1)/(MaxLevel-1))^(2^F336)))</f>
        <v>304.44444444444446</v>
      </c>
      <c r="K336" s="12">
        <f>IF(OR(D336="",E336=""),"",IF(IFERROR(INDEX(Stats!$D:$D,MATCH($C336,Stats!$A:$A,0)),FALSE),ROUND(D336+(E336-D336)*(1+G336)*((4-1)/(MaxLevel-1))^(2^F336),0),D336+(E336-D336)*(1+G336)*((4-1)/(MaxLevel-1))^(2^F336)))</f>
        <v>306.66666666666669</v>
      </c>
      <c r="L336" s="12">
        <f>IF(OR(D336="",E336=""),"",IF(IFERROR(INDEX(Stats!$D:$D,MATCH($C336,Stats!$A:$A,0)),FALSE),ROUND(D336+(E336-D336)*(1+G336)*((5-1)/(MaxLevel-1))^(2^F336),0),D336+(E336-D336)*(1+G336)*((5-1)/(MaxLevel-1))^(2^F336)))</f>
        <v>308.88888888888891</v>
      </c>
      <c r="M336" s="12">
        <f>IF(OR(D336="",E336=""),"",IF(IFERROR(INDEX(Stats!$D:$D,MATCH($C336,Stats!$A:$A,0)),FALSE),ROUND(D336+(E336-D336)*(1+G336)*((6-1)/(MaxLevel-1))^(2^F336),0),D336+(E336-D336)*(1+G336)*((6-1)/(MaxLevel-1))^(2^F336)))</f>
        <v>311.11111111111109</v>
      </c>
      <c r="N336" s="12">
        <f>IF(OR(D336="",E336=""),"",IF(IFERROR(INDEX(Stats!$D:$D,MATCH($C336,Stats!$A:$A,0)),FALSE),ROUND(D336+(E336-D336)*(1+G336)*((7-1)/(MaxLevel-1))^(2^F336),0),D336+(E336-D336)*(1+G336)*((7-1)/(MaxLevel-1))^(2^F336)))</f>
        <v>313.33333333333331</v>
      </c>
      <c r="O336" s="12">
        <f>IF(OR(D336="",E336=""),"",IF(IFERROR(INDEX(Stats!$D:$D,MATCH($C336,Stats!$A:$A,0)),FALSE),ROUND(D336+(E336-D336)*(1+G336)*((8-1)/(MaxLevel-1))^(2^F336),0),D336+(E336-D336)*(1+G336)*((8-1)/(MaxLevel-1))^(2^F336)))</f>
        <v>315.55555555555554</v>
      </c>
      <c r="P336" s="12">
        <f>IF(OR(D336="",E336=""),"",IF(IFERROR(INDEX(Stats!$D:$D,MATCH($C336,Stats!$A:$A,0)),FALSE),ROUND(D336+(E336-D336)*(1+G336)*((9-1)/(MaxLevel-1))^(2^F336),0),D336+(E336-D336)*(1+G336)*((9-1)/(MaxLevel-1))^(2^F336)))</f>
        <v>317.77777777777777</v>
      </c>
      <c r="Q336" s="12">
        <f>IF(OR(D336="",E336=""),"",IF(IFERROR(INDEX(Stats!$D:$D,MATCH($C336,Stats!$A:$A,0)),FALSE),ROUND(D336+(E336-D336)*(1+G336)*((10-1)/(MaxLevel-1))^(2^F336),0),D336+(E336-D336)*(1+G336)*((10-1)/(MaxLevel-1))^(2^F336)))</f>
        <v>320</v>
      </c>
    </row>
    <row r="337" spans="1:17" x14ac:dyDescent="0.25">
      <c r="A337" s="4" t="s">
        <v>185</v>
      </c>
      <c r="B337" s="19" t="s">
        <v>232</v>
      </c>
      <c r="C337" s="4" t="s">
        <v>48</v>
      </c>
      <c r="D337" s="5"/>
      <c r="E337" s="5"/>
      <c r="F337" s="5"/>
      <c r="G337" s="5"/>
      <c r="H337" s="12" t="str">
        <f>IF(OR(D337="",E337=""),"",IF(IFERROR(INDEX(Stats!$D:$D,MATCH($C337,Stats!$A:$A,0)),FALSE),ROUND(D337+(E337-D337)*(1+G337)*((1-1)/(MaxLevel-1))^(2^F337),0),D337+(E337-D337)*(1+G337)*((1-1)/(MaxLevel-1))^(2^F337)))</f>
        <v/>
      </c>
      <c r="I337" s="12" t="str">
        <f>IF(OR(D337="",E337=""),"",IF(IFERROR(INDEX(Stats!$D:$D,MATCH($C337,Stats!$A:$A,0)),FALSE),ROUND(D337+(E337-D337)*(1+G337)*((2-1)/(MaxLevel-1))^(2^F337),0),D337+(E337-D337)*(1+G337)*((2-1)/(MaxLevel-1))^(2^F337)))</f>
        <v/>
      </c>
      <c r="J337" s="12" t="str">
        <f>IF(OR(D337="",E337=""),"",IF(IFERROR(INDEX(Stats!$D:$D,MATCH($C337,Stats!$A:$A,0)),FALSE),ROUND(D337+(E337-D337)*(1+G337)*((3-1)/(MaxLevel-1))^(2^F337),0),D337+(E337-D337)*(1+G337)*((3-1)/(MaxLevel-1))^(2^F337)))</f>
        <v/>
      </c>
      <c r="K337" s="12" t="str">
        <f>IF(OR(D337="",E337=""),"",IF(IFERROR(INDEX(Stats!$D:$D,MATCH($C337,Stats!$A:$A,0)),FALSE),ROUND(D337+(E337-D337)*(1+G337)*((4-1)/(MaxLevel-1))^(2^F337),0),D337+(E337-D337)*(1+G337)*((4-1)/(MaxLevel-1))^(2^F337)))</f>
        <v/>
      </c>
      <c r="L337" s="12" t="str">
        <f>IF(OR(D337="",E337=""),"",IF(IFERROR(INDEX(Stats!$D:$D,MATCH($C337,Stats!$A:$A,0)),FALSE),ROUND(D337+(E337-D337)*(1+G337)*((5-1)/(MaxLevel-1))^(2^F337),0),D337+(E337-D337)*(1+G337)*((5-1)/(MaxLevel-1))^(2^F337)))</f>
        <v/>
      </c>
      <c r="M337" s="12" t="str">
        <f>IF(OR(D337="",E337=""),"",IF(IFERROR(INDEX(Stats!$D:$D,MATCH($C337,Stats!$A:$A,0)),FALSE),ROUND(D337+(E337-D337)*(1+G337)*((6-1)/(MaxLevel-1))^(2^F337),0),D337+(E337-D337)*(1+G337)*((6-1)/(MaxLevel-1))^(2^F337)))</f>
        <v/>
      </c>
      <c r="N337" s="12" t="str">
        <f>IF(OR(D337="",E337=""),"",IF(IFERROR(INDEX(Stats!$D:$D,MATCH($C337,Stats!$A:$A,0)),FALSE),ROUND(D337+(E337-D337)*(1+G337)*((7-1)/(MaxLevel-1))^(2^F337),0),D337+(E337-D337)*(1+G337)*((7-1)/(MaxLevel-1))^(2^F337)))</f>
        <v/>
      </c>
      <c r="O337" s="12" t="str">
        <f>IF(OR(D337="",E337=""),"",IF(IFERROR(INDEX(Stats!$D:$D,MATCH($C337,Stats!$A:$A,0)),FALSE),ROUND(D337+(E337-D337)*(1+G337)*((8-1)/(MaxLevel-1))^(2^F337),0),D337+(E337-D337)*(1+G337)*((8-1)/(MaxLevel-1))^(2^F337)))</f>
        <v/>
      </c>
      <c r="P337" s="12" t="str">
        <f>IF(OR(D337="",E337=""),"",IF(IFERROR(INDEX(Stats!$D:$D,MATCH($C337,Stats!$A:$A,0)),FALSE),ROUND(D337+(E337-D337)*(1+G337)*((9-1)/(MaxLevel-1))^(2^F337),0),D337+(E337-D337)*(1+G337)*((9-1)/(MaxLevel-1))^(2^F337)))</f>
        <v/>
      </c>
      <c r="Q337" s="12" t="str">
        <f>IF(OR(D337="",E337=""),"",IF(IFERROR(INDEX(Stats!$D:$D,MATCH($C337,Stats!$A:$A,0)),FALSE),ROUND(D337+(E337-D337)*(1+G337)*((10-1)/(MaxLevel-1))^(2^F337),0),D337+(E337-D337)*(1+G337)*((10-1)/(MaxLevel-1))^(2^F337)))</f>
        <v/>
      </c>
    </row>
    <row r="338" spans="1:17" x14ac:dyDescent="0.25">
      <c r="A338" s="4" t="s">
        <v>185</v>
      </c>
      <c r="B338" s="19" t="s">
        <v>232</v>
      </c>
      <c r="C338" s="4" t="s">
        <v>50</v>
      </c>
      <c r="D338" s="5"/>
      <c r="E338" s="5"/>
      <c r="F338" s="5"/>
      <c r="G338" s="5"/>
      <c r="H338" s="12" t="str">
        <f>IF(OR(D338="",E338=""),"",IF(IFERROR(INDEX(Stats!$D:$D,MATCH($C338,Stats!$A:$A,0)),FALSE),ROUND(D338+(E338-D338)*(1+G338)*((1-1)/(MaxLevel-1))^(2^F338),0),D338+(E338-D338)*(1+G338)*((1-1)/(MaxLevel-1))^(2^F338)))</f>
        <v/>
      </c>
      <c r="I338" s="12" t="str">
        <f>IF(OR(D338="",E338=""),"",IF(IFERROR(INDEX(Stats!$D:$D,MATCH($C338,Stats!$A:$A,0)),FALSE),ROUND(D338+(E338-D338)*(1+G338)*((2-1)/(MaxLevel-1))^(2^F338),0),D338+(E338-D338)*(1+G338)*((2-1)/(MaxLevel-1))^(2^F338)))</f>
        <v/>
      </c>
      <c r="J338" s="12" t="str">
        <f>IF(OR(D338="",E338=""),"",IF(IFERROR(INDEX(Stats!$D:$D,MATCH($C338,Stats!$A:$A,0)),FALSE),ROUND(D338+(E338-D338)*(1+G338)*((3-1)/(MaxLevel-1))^(2^F338),0),D338+(E338-D338)*(1+G338)*((3-1)/(MaxLevel-1))^(2^F338)))</f>
        <v/>
      </c>
      <c r="K338" s="12" t="str">
        <f>IF(OR(D338="",E338=""),"",IF(IFERROR(INDEX(Stats!$D:$D,MATCH($C338,Stats!$A:$A,0)),FALSE),ROUND(D338+(E338-D338)*(1+G338)*((4-1)/(MaxLevel-1))^(2^F338),0),D338+(E338-D338)*(1+G338)*((4-1)/(MaxLevel-1))^(2^F338)))</f>
        <v/>
      </c>
      <c r="L338" s="12" t="str">
        <f>IF(OR(D338="",E338=""),"",IF(IFERROR(INDEX(Stats!$D:$D,MATCH($C338,Stats!$A:$A,0)),FALSE),ROUND(D338+(E338-D338)*(1+G338)*((5-1)/(MaxLevel-1))^(2^F338),0),D338+(E338-D338)*(1+G338)*((5-1)/(MaxLevel-1))^(2^F338)))</f>
        <v/>
      </c>
      <c r="M338" s="12" t="str">
        <f>IF(OR(D338="",E338=""),"",IF(IFERROR(INDEX(Stats!$D:$D,MATCH($C338,Stats!$A:$A,0)),FALSE),ROUND(D338+(E338-D338)*(1+G338)*((6-1)/(MaxLevel-1))^(2^F338),0),D338+(E338-D338)*(1+G338)*((6-1)/(MaxLevel-1))^(2^F338)))</f>
        <v/>
      </c>
      <c r="N338" s="12" t="str">
        <f>IF(OR(D338="",E338=""),"",IF(IFERROR(INDEX(Stats!$D:$D,MATCH($C338,Stats!$A:$A,0)),FALSE),ROUND(D338+(E338-D338)*(1+G338)*((7-1)/(MaxLevel-1))^(2^F338),0),D338+(E338-D338)*(1+G338)*((7-1)/(MaxLevel-1))^(2^F338)))</f>
        <v/>
      </c>
      <c r="O338" s="12" t="str">
        <f>IF(OR(D338="",E338=""),"",IF(IFERROR(INDEX(Stats!$D:$D,MATCH($C338,Stats!$A:$A,0)),FALSE),ROUND(D338+(E338-D338)*(1+G338)*((8-1)/(MaxLevel-1))^(2^F338),0),D338+(E338-D338)*(1+G338)*((8-1)/(MaxLevel-1))^(2^F338)))</f>
        <v/>
      </c>
      <c r="P338" s="12" t="str">
        <f>IF(OR(D338="",E338=""),"",IF(IFERROR(INDEX(Stats!$D:$D,MATCH($C338,Stats!$A:$A,0)),FALSE),ROUND(D338+(E338-D338)*(1+G338)*((9-1)/(MaxLevel-1))^(2^F338),0),D338+(E338-D338)*(1+G338)*((9-1)/(MaxLevel-1))^(2^F338)))</f>
        <v/>
      </c>
      <c r="Q338" s="12" t="str">
        <f>IF(OR(D338="",E338=""),"",IF(IFERROR(INDEX(Stats!$D:$D,MATCH($C338,Stats!$A:$A,0)),FALSE),ROUND(D338+(E338-D338)*(1+G338)*((10-1)/(MaxLevel-1))^(2^F338),0),D338+(E338-D338)*(1+G338)*((10-1)/(MaxLevel-1))^(2^F338)))</f>
        <v/>
      </c>
    </row>
    <row r="339" spans="1:17" x14ac:dyDescent="0.25">
      <c r="A339" s="4" t="s">
        <v>185</v>
      </c>
      <c r="B339" s="19" t="s">
        <v>232</v>
      </c>
      <c r="C339" s="4" t="s">
        <v>52</v>
      </c>
      <c r="D339" s="5"/>
      <c r="E339" s="5"/>
      <c r="F339" s="5"/>
      <c r="G339" s="5"/>
      <c r="H339" s="12" t="str">
        <f>IF(OR(D339="",E339=""),"",IF(IFERROR(INDEX(Stats!$D:$D,MATCH($C339,Stats!$A:$A,0)),FALSE),ROUND(D339+(E339-D339)*(1+G339)*((1-1)/(MaxLevel-1))^(2^F339),0),D339+(E339-D339)*(1+G339)*((1-1)/(MaxLevel-1))^(2^F339)))</f>
        <v/>
      </c>
      <c r="I339" s="12" t="str">
        <f>IF(OR(D339="",E339=""),"",IF(IFERROR(INDEX(Stats!$D:$D,MATCH($C339,Stats!$A:$A,0)),FALSE),ROUND(D339+(E339-D339)*(1+G339)*((2-1)/(MaxLevel-1))^(2^F339),0),D339+(E339-D339)*(1+G339)*((2-1)/(MaxLevel-1))^(2^F339)))</f>
        <v/>
      </c>
      <c r="J339" s="12" t="str">
        <f>IF(OR(D339="",E339=""),"",IF(IFERROR(INDEX(Stats!$D:$D,MATCH($C339,Stats!$A:$A,0)),FALSE),ROUND(D339+(E339-D339)*(1+G339)*((3-1)/(MaxLevel-1))^(2^F339),0),D339+(E339-D339)*(1+G339)*((3-1)/(MaxLevel-1))^(2^F339)))</f>
        <v/>
      </c>
      <c r="K339" s="12" t="str">
        <f>IF(OR(D339="",E339=""),"",IF(IFERROR(INDEX(Stats!$D:$D,MATCH($C339,Stats!$A:$A,0)),FALSE),ROUND(D339+(E339-D339)*(1+G339)*((4-1)/(MaxLevel-1))^(2^F339),0),D339+(E339-D339)*(1+G339)*((4-1)/(MaxLevel-1))^(2^F339)))</f>
        <v/>
      </c>
      <c r="L339" s="12" t="str">
        <f>IF(OR(D339="",E339=""),"",IF(IFERROR(INDEX(Stats!$D:$D,MATCH($C339,Stats!$A:$A,0)),FALSE),ROUND(D339+(E339-D339)*(1+G339)*((5-1)/(MaxLevel-1))^(2^F339),0),D339+(E339-D339)*(1+G339)*((5-1)/(MaxLevel-1))^(2^F339)))</f>
        <v/>
      </c>
      <c r="M339" s="12" t="str">
        <f>IF(OR(D339="",E339=""),"",IF(IFERROR(INDEX(Stats!$D:$D,MATCH($C339,Stats!$A:$A,0)),FALSE),ROUND(D339+(E339-D339)*(1+G339)*((6-1)/(MaxLevel-1))^(2^F339),0),D339+(E339-D339)*(1+G339)*((6-1)/(MaxLevel-1))^(2^F339)))</f>
        <v/>
      </c>
      <c r="N339" s="12" t="str">
        <f>IF(OR(D339="",E339=""),"",IF(IFERROR(INDEX(Stats!$D:$D,MATCH($C339,Stats!$A:$A,0)),FALSE),ROUND(D339+(E339-D339)*(1+G339)*((7-1)/(MaxLevel-1))^(2^F339),0),D339+(E339-D339)*(1+G339)*((7-1)/(MaxLevel-1))^(2^F339)))</f>
        <v/>
      </c>
      <c r="O339" s="12" t="str">
        <f>IF(OR(D339="",E339=""),"",IF(IFERROR(INDEX(Stats!$D:$D,MATCH($C339,Stats!$A:$A,0)),FALSE),ROUND(D339+(E339-D339)*(1+G339)*((8-1)/(MaxLevel-1))^(2^F339),0),D339+(E339-D339)*(1+G339)*((8-1)/(MaxLevel-1))^(2^F339)))</f>
        <v/>
      </c>
      <c r="P339" s="12" t="str">
        <f>IF(OR(D339="",E339=""),"",IF(IFERROR(INDEX(Stats!$D:$D,MATCH($C339,Stats!$A:$A,0)),FALSE),ROUND(D339+(E339-D339)*(1+G339)*((9-1)/(MaxLevel-1))^(2^F339),0),D339+(E339-D339)*(1+G339)*((9-1)/(MaxLevel-1))^(2^F339)))</f>
        <v/>
      </c>
      <c r="Q339" s="12" t="str">
        <f>IF(OR(D339="",E339=""),"",IF(IFERROR(INDEX(Stats!$D:$D,MATCH($C339,Stats!$A:$A,0)),FALSE),ROUND(D339+(E339-D339)*(1+G339)*((10-1)/(MaxLevel-1))^(2^F339),0),D339+(E339-D339)*(1+G339)*((10-1)/(MaxLevel-1))^(2^F339)))</f>
        <v/>
      </c>
    </row>
    <row r="340" spans="1:17" x14ac:dyDescent="0.25">
      <c r="A340" s="4" t="s">
        <v>185</v>
      </c>
      <c r="B340" s="19" t="s">
        <v>232</v>
      </c>
      <c r="C340" s="4" t="s">
        <v>54</v>
      </c>
      <c r="D340" s="5"/>
      <c r="E340" s="5"/>
      <c r="F340" s="5"/>
      <c r="G340" s="5"/>
      <c r="H340" s="12" t="str">
        <f>IF(OR(D340="",E340=""),"",IF(IFERROR(INDEX(Stats!$D:$D,MATCH($C340,Stats!$A:$A,0)),FALSE),ROUND(D340+(E340-D340)*(1+G340)*((1-1)/(MaxLevel-1))^(2^F340),0),D340+(E340-D340)*(1+G340)*((1-1)/(MaxLevel-1))^(2^F340)))</f>
        <v/>
      </c>
      <c r="I340" s="12" t="str">
        <f>IF(OR(D340="",E340=""),"",IF(IFERROR(INDEX(Stats!$D:$D,MATCH($C340,Stats!$A:$A,0)),FALSE),ROUND(D340+(E340-D340)*(1+G340)*((2-1)/(MaxLevel-1))^(2^F340),0),D340+(E340-D340)*(1+G340)*((2-1)/(MaxLevel-1))^(2^F340)))</f>
        <v/>
      </c>
      <c r="J340" s="12" t="str">
        <f>IF(OR(D340="",E340=""),"",IF(IFERROR(INDEX(Stats!$D:$D,MATCH($C340,Stats!$A:$A,0)),FALSE),ROUND(D340+(E340-D340)*(1+G340)*((3-1)/(MaxLevel-1))^(2^F340),0),D340+(E340-D340)*(1+G340)*((3-1)/(MaxLevel-1))^(2^F340)))</f>
        <v/>
      </c>
      <c r="K340" s="12" t="str">
        <f>IF(OR(D340="",E340=""),"",IF(IFERROR(INDEX(Stats!$D:$D,MATCH($C340,Stats!$A:$A,0)),FALSE),ROUND(D340+(E340-D340)*(1+G340)*((4-1)/(MaxLevel-1))^(2^F340),0),D340+(E340-D340)*(1+G340)*((4-1)/(MaxLevel-1))^(2^F340)))</f>
        <v/>
      </c>
      <c r="L340" s="12" t="str">
        <f>IF(OR(D340="",E340=""),"",IF(IFERROR(INDEX(Stats!$D:$D,MATCH($C340,Stats!$A:$A,0)),FALSE),ROUND(D340+(E340-D340)*(1+G340)*((5-1)/(MaxLevel-1))^(2^F340),0),D340+(E340-D340)*(1+G340)*((5-1)/(MaxLevel-1))^(2^F340)))</f>
        <v/>
      </c>
      <c r="M340" s="12" t="str">
        <f>IF(OR(D340="",E340=""),"",IF(IFERROR(INDEX(Stats!$D:$D,MATCH($C340,Stats!$A:$A,0)),FALSE),ROUND(D340+(E340-D340)*(1+G340)*((6-1)/(MaxLevel-1))^(2^F340),0),D340+(E340-D340)*(1+G340)*((6-1)/(MaxLevel-1))^(2^F340)))</f>
        <v/>
      </c>
      <c r="N340" s="12" t="str">
        <f>IF(OR(D340="",E340=""),"",IF(IFERROR(INDEX(Stats!$D:$D,MATCH($C340,Stats!$A:$A,0)),FALSE),ROUND(D340+(E340-D340)*(1+G340)*((7-1)/(MaxLevel-1))^(2^F340),0),D340+(E340-D340)*(1+G340)*((7-1)/(MaxLevel-1))^(2^F340)))</f>
        <v/>
      </c>
      <c r="O340" s="12" t="str">
        <f>IF(OR(D340="",E340=""),"",IF(IFERROR(INDEX(Stats!$D:$D,MATCH($C340,Stats!$A:$A,0)),FALSE),ROUND(D340+(E340-D340)*(1+G340)*((8-1)/(MaxLevel-1))^(2^F340),0),D340+(E340-D340)*(1+G340)*((8-1)/(MaxLevel-1))^(2^F340)))</f>
        <v/>
      </c>
      <c r="P340" s="12" t="str">
        <f>IF(OR(D340="",E340=""),"",IF(IFERROR(INDEX(Stats!$D:$D,MATCH($C340,Stats!$A:$A,0)),FALSE),ROUND(D340+(E340-D340)*(1+G340)*((9-1)/(MaxLevel-1))^(2^F340),0),D340+(E340-D340)*(1+G340)*((9-1)/(MaxLevel-1))^(2^F340)))</f>
        <v/>
      </c>
      <c r="Q340" s="12" t="str">
        <f>IF(OR(D340="",E340=""),"",IF(IFERROR(INDEX(Stats!$D:$D,MATCH($C340,Stats!$A:$A,0)),FALSE),ROUND(D340+(E340-D340)*(1+G340)*((10-1)/(MaxLevel-1))^(2^F340),0),D340+(E340-D340)*(1+G340)*((10-1)/(MaxLevel-1))^(2^F340)))</f>
        <v/>
      </c>
    </row>
    <row r="341" spans="1:17" x14ac:dyDescent="0.25">
      <c r="A341" s="4" t="s">
        <v>185</v>
      </c>
      <c r="B341" s="19" t="s">
        <v>232</v>
      </c>
      <c r="C341" s="4" t="s">
        <v>56</v>
      </c>
      <c r="D341" s="5"/>
      <c r="E341" s="5"/>
      <c r="F341" s="5"/>
      <c r="G341" s="5"/>
      <c r="H341" s="12" t="str">
        <f>IF(OR(D341="",E341=""),"",IF(IFERROR(INDEX(Stats!$D:$D,MATCH($C341,Stats!$A:$A,0)),FALSE),ROUND(D341+(E341-D341)*(1+G341)*((1-1)/(MaxLevel-1))^(2^F341),0),D341+(E341-D341)*(1+G341)*((1-1)/(MaxLevel-1))^(2^F341)))</f>
        <v/>
      </c>
      <c r="I341" s="12" t="str">
        <f>IF(OR(D341="",E341=""),"",IF(IFERROR(INDEX(Stats!$D:$D,MATCH($C341,Stats!$A:$A,0)),FALSE),ROUND(D341+(E341-D341)*(1+G341)*((2-1)/(MaxLevel-1))^(2^F341),0),D341+(E341-D341)*(1+G341)*((2-1)/(MaxLevel-1))^(2^F341)))</f>
        <v/>
      </c>
      <c r="J341" s="12" t="str">
        <f>IF(OR(D341="",E341=""),"",IF(IFERROR(INDEX(Stats!$D:$D,MATCH($C341,Stats!$A:$A,0)),FALSE),ROUND(D341+(E341-D341)*(1+G341)*((3-1)/(MaxLevel-1))^(2^F341),0),D341+(E341-D341)*(1+G341)*((3-1)/(MaxLevel-1))^(2^F341)))</f>
        <v/>
      </c>
      <c r="K341" s="12" t="str">
        <f>IF(OR(D341="",E341=""),"",IF(IFERROR(INDEX(Stats!$D:$D,MATCH($C341,Stats!$A:$A,0)),FALSE),ROUND(D341+(E341-D341)*(1+G341)*((4-1)/(MaxLevel-1))^(2^F341),0),D341+(E341-D341)*(1+G341)*((4-1)/(MaxLevel-1))^(2^F341)))</f>
        <v/>
      </c>
      <c r="L341" s="12" t="str">
        <f>IF(OR(D341="",E341=""),"",IF(IFERROR(INDEX(Stats!$D:$D,MATCH($C341,Stats!$A:$A,0)),FALSE),ROUND(D341+(E341-D341)*(1+G341)*((5-1)/(MaxLevel-1))^(2^F341),0),D341+(E341-D341)*(1+G341)*((5-1)/(MaxLevel-1))^(2^F341)))</f>
        <v/>
      </c>
      <c r="M341" s="12" t="str">
        <f>IF(OR(D341="",E341=""),"",IF(IFERROR(INDEX(Stats!$D:$D,MATCH($C341,Stats!$A:$A,0)),FALSE),ROUND(D341+(E341-D341)*(1+G341)*((6-1)/(MaxLevel-1))^(2^F341),0),D341+(E341-D341)*(1+G341)*((6-1)/(MaxLevel-1))^(2^F341)))</f>
        <v/>
      </c>
      <c r="N341" s="12" t="str">
        <f>IF(OR(D341="",E341=""),"",IF(IFERROR(INDEX(Stats!$D:$D,MATCH($C341,Stats!$A:$A,0)),FALSE),ROUND(D341+(E341-D341)*(1+G341)*((7-1)/(MaxLevel-1))^(2^F341),0),D341+(E341-D341)*(1+G341)*((7-1)/(MaxLevel-1))^(2^F341)))</f>
        <v/>
      </c>
      <c r="O341" s="12" t="str">
        <f>IF(OR(D341="",E341=""),"",IF(IFERROR(INDEX(Stats!$D:$D,MATCH($C341,Stats!$A:$A,0)),FALSE),ROUND(D341+(E341-D341)*(1+G341)*((8-1)/(MaxLevel-1))^(2^F341),0),D341+(E341-D341)*(1+G341)*((8-1)/(MaxLevel-1))^(2^F341)))</f>
        <v/>
      </c>
      <c r="P341" s="12" t="str">
        <f>IF(OR(D341="",E341=""),"",IF(IFERROR(INDEX(Stats!$D:$D,MATCH($C341,Stats!$A:$A,0)),FALSE),ROUND(D341+(E341-D341)*(1+G341)*((9-1)/(MaxLevel-1))^(2^F341),0),D341+(E341-D341)*(1+G341)*((9-1)/(MaxLevel-1))^(2^F341)))</f>
        <v/>
      </c>
      <c r="Q341" s="12" t="str">
        <f>IF(OR(D341="",E341=""),"",IF(IFERROR(INDEX(Stats!$D:$D,MATCH($C341,Stats!$A:$A,0)),FALSE),ROUND(D341+(E341-D341)*(1+G341)*((10-1)/(MaxLevel-1))^(2^F341),0),D341+(E341-D341)*(1+G341)*((10-1)/(MaxLevel-1))^(2^F341)))</f>
        <v/>
      </c>
    </row>
    <row r="342" spans="1:17" x14ac:dyDescent="0.25">
      <c r="A342" s="4" t="s">
        <v>185</v>
      </c>
      <c r="B342" s="19" t="s">
        <v>232</v>
      </c>
      <c r="C342" s="4" t="s">
        <v>58</v>
      </c>
      <c r="D342" s="5"/>
      <c r="E342" s="5"/>
      <c r="F342" s="5"/>
      <c r="G342" s="5"/>
      <c r="H342" s="12" t="str">
        <f>IF(OR(D342="",E342=""),"",IF(IFERROR(INDEX(Stats!$D:$D,MATCH($C342,Stats!$A:$A,0)),FALSE),ROUND(D342+(E342-D342)*(1+G342)*((1-1)/(MaxLevel-1))^(2^F342),0),D342+(E342-D342)*(1+G342)*((1-1)/(MaxLevel-1))^(2^F342)))</f>
        <v/>
      </c>
      <c r="I342" s="12" t="str">
        <f>IF(OR(D342="",E342=""),"",IF(IFERROR(INDEX(Stats!$D:$D,MATCH($C342,Stats!$A:$A,0)),FALSE),ROUND(D342+(E342-D342)*(1+G342)*((2-1)/(MaxLevel-1))^(2^F342),0),D342+(E342-D342)*(1+G342)*((2-1)/(MaxLevel-1))^(2^F342)))</f>
        <v/>
      </c>
      <c r="J342" s="12" t="str">
        <f>IF(OR(D342="",E342=""),"",IF(IFERROR(INDEX(Stats!$D:$D,MATCH($C342,Stats!$A:$A,0)),FALSE),ROUND(D342+(E342-D342)*(1+G342)*((3-1)/(MaxLevel-1))^(2^F342),0),D342+(E342-D342)*(1+G342)*((3-1)/(MaxLevel-1))^(2^F342)))</f>
        <v/>
      </c>
      <c r="K342" s="12" t="str">
        <f>IF(OR(D342="",E342=""),"",IF(IFERROR(INDEX(Stats!$D:$D,MATCH($C342,Stats!$A:$A,0)),FALSE),ROUND(D342+(E342-D342)*(1+G342)*((4-1)/(MaxLevel-1))^(2^F342),0),D342+(E342-D342)*(1+G342)*((4-1)/(MaxLevel-1))^(2^F342)))</f>
        <v/>
      </c>
      <c r="L342" s="12" t="str">
        <f>IF(OR(D342="",E342=""),"",IF(IFERROR(INDEX(Stats!$D:$D,MATCH($C342,Stats!$A:$A,0)),FALSE),ROUND(D342+(E342-D342)*(1+G342)*((5-1)/(MaxLevel-1))^(2^F342),0),D342+(E342-D342)*(1+G342)*((5-1)/(MaxLevel-1))^(2^F342)))</f>
        <v/>
      </c>
      <c r="M342" s="12" t="str">
        <f>IF(OR(D342="",E342=""),"",IF(IFERROR(INDEX(Stats!$D:$D,MATCH($C342,Stats!$A:$A,0)),FALSE),ROUND(D342+(E342-D342)*(1+G342)*((6-1)/(MaxLevel-1))^(2^F342),0),D342+(E342-D342)*(1+G342)*((6-1)/(MaxLevel-1))^(2^F342)))</f>
        <v/>
      </c>
      <c r="N342" s="12" t="str">
        <f>IF(OR(D342="",E342=""),"",IF(IFERROR(INDEX(Stats!$D:$D,MATCH($C342,Stats!$A:$A,0)),FALSE),ROUND(D342+(E342-D342)*(1+G342)*((7-1)/(MaxLevel-1))^(2^F342),0),D342+(E342-D342)*(1+G342)*((7-1)/(MaxLevel-1))^(2^F342)))</f>
        <v/>
      </c>
      <c r="O342" s="12" t="str">
        <f>IF(OR(D342="",E342=""),"",IF(IFERROR(INDEX(Stats!$D:$D,MATCH($C342,Stats!$A:$A,0)),FALSE),ROUND(D342+(E342-D342)*(1+G342)*((8-1)/(MaxLevel-1))^(2^F342),0),D342+(E342-D342)*(1+G342)*((8-1)/(MaxLevel-1))^(2^F342)))</f>
        <v/>
      </c>
      <c r="P342" s="12" t="str">
        <f>IF(OR(D342="",E342=""),"",IF(IFERROR(INDEX(Stats!$D:$D,MATCH($C342,Stats!$A:$A,0)),FALSE),ROUND(D342+(E342-D342)*(1+G342)*((9-1)/(MaxLevel-1))^(2^F342),0),D342+(E342-D342)*(1+G342)*((9-1)/(MaxLevel-1))^(2^F342)))</f>
        <v/>
      </c>
      <c r="Q342" s="12" t="str">
        <f>IF(OR(D342="",E342=""),"",IF(IFERROR(INDEX(Stats!$D:$D,MATCH($C342,Stats!$A:$A,0)),FALSE),ROUND(D342+(E342-D342)*(1+G342)*((10-1)/(MaxLevel-1))^(2^F342),0),D342+(E342-D342)*(1+G342)*((10-1)/(MaxLevel-1))^(2^F342)))</f>
        <v/>
      </c>
    </row>
    <row r="343" spans="1:17" x14ac:dyDescent="0.25">
      <c r="A343" s="4" t="s">
        <v>185</v>
      </c>
      <c r="B343" s="19" t="s">
        <v>232</v>
      </c>
      <c r="C343" s="4" t="s">
        <v>60</v>
      </c>
      <c r="D343" s="5"/>
      <c r="E343" s="5"/>
      <c r="F343" s="5"/>
      <c r="G343" s="5"/>
      <c r="H343" s="12" t="str">
        <f>IF(OR(D343="",E343=""),"",IF(IFERROR(INDEX(Stats!$D:$D,MATCH($C343,Stats!$A:$A,0)),FALSE),ROUND(D343+(E343-D343)*(1+G343)*((1-1)/(MaxLevel-1))^(2^F343),0),D343+(E343-D343)*(1+G343)*((1-1)/(MaxLevel-1))^(2^F343)))</f>
        <v/>
      </c>
      <c r="I343" s="12" t="str">
        <f>IF(OR(D343="",E343=""),"",IF(IFERROR(INDEX(Stats!$D:$D,MATCH($C343,Stats!$A:$A,0)),FALSE),ROUND(D343+(E343-D343)*(1+G343)*((2-1)/(MaxLevel-1))^(2^F343),0),D343+(E343-D343)*(1+G343)*((2-1)/(MaxLevel-1))^(2^F343)))</f>
        <v/>
      </c>
      <c r="J343" s="12" t="str">
        <f>IF(OR(D343="",E343=""),"",IF(IFERROR(INDEX(Stats!$D:$D,MATCH($C343,Stats!$A:$A,0)),FALSE),ROUND(D343+(E343-D343)*(1+G343)*((3-1)/(MaxLevel-1))^(2^F343),0),D343+(E343-D343)*(1+G343)*((3-1)/(MaxLevel-1))^(2^F343)))</f>
        <v/>
      </c>
      <c r="K343" s="12" t="str">
        <f>IF(OR(D343="",E343=""),"",IF(IFERROR(INDEX(Stats!$D:$D,MATCH($C343,Stats!$A:$A,0)),FALSE),ROUND(D343+(E343-D343)*(1+G343)*((4-1)/(MaxLevel-1))^(2^F343),0),D343+(E343-D343)*(1+G343)*((4-1)/(MaxLevel-1))^(2^F343)))</f>
        <v/>
      </c>
      <c r="L343" s="12" t="str">
        <f>IF(OR(D343="",E343=""),"",IF(IFERROR(INDEX(Stats!$D:$D,MATCH($C343,Stats!$A:$A,0)),FALSE),ROUND(D343+(E343-D343)*(1+G343)*((5-1)/(MaxLevel-1))^(2^F343),0),D343+(E343-D343)*(1+G343)*((5-1)/(MaxLevel-1))^(2^F343)))</f>
        <v/>
      </c>
      <c r="M343" s="12" t="str">
        <f>IF(OR(D343="",E343=""),"",IF(IFERROR(INDEX(Stats!$D:$D,MATCH($C343,Stats!$A:$A,0)),FALSE),ROUND(D343+(E343-D343)*(1+G343)*((6-1)/(MaxLevel-1))^(2^F343),0),D343+(E343-D343)*(1+G343)*((6-1)/(MaxLevel-1))^(2^F343)))</f>
        <v/>
      </c>
      <c r="N343" s="12" t="str">
        <f>IF(OR(D343="",E343=""),"",IF(IFERROR(INDEX(Stats!$D:$D,MATCH($C343,Stats!$A:$A,0)),FALSE),ROUND(D343+(E343-D343)*(1+G343)*((7-1)/(MaxLevel-1))^(2^F343),0),D343+(E343-D343)*(1+G343)*((7-1)/(MaxLevel-1))^(2^F343)))</f>
        <v/>
      </c>
      <c r="O343" s="12" t="str">
        <f>IF(OR(D343="",E343=""),"",IF(IFERROR(INDEX(Stats!$D:$D,MATCH($C343,Stats!$A:$A,0)),FALSE),ROUND(D343+(E343-D343)*(1+G343)*((8-1)/(MaxLevel-1))^(2^F343),0),D343+(E343-D343)*(1+G343)*((8-1)/(MaxLevel-1))^(2^F343)))</f>
        <v/>
      </c>
      <c r="P343" s="12" t="str">
        <f>IF(OR(D343="",E343=""),"",IF(IFERROR(INDEX(Stats!$D:$D,MATCH($C343,Stats!$A:$A,0)),FALSE),ROUND(D343+(E343-D343)*(1+G343)*((9-1)/(MaxLevel-1))^(2^F343),0),D343+(E343-D343)*(1+G343)*((9-1)/(MaxLevel-1))^(2^F343)))</f>
        <v/>
      </c>
      <c r="Q343" s="12" t="str">
        <f>IF(OR(D343="",E343=""),"",IF(IFERROR(INDEX(Stats!$D:$D,MATCH($C343,Stats!$A:$A,0)),FALSE),ROUND(D343+(E343-D343)*(1+G343)*((10-1)/(MaxLevel-1))^(2^F343),0),D343+(E343-D343)*(1+G343)*((10-1)/(MaxLevel-1))^(2^F343)))</f>
        <v/>
      </c>
    </row>
    <row r="344" spans="1:17" x14ac:dyDescent="0.25">
      <c r="A344" s="4" t="s">
        <v>185</v>
      </c>
      <c r="B344" s="19" t="s">
        <v>233</v>
      </c>
      <c r="C344" s="4" t="s">
        <v>24</v>
      </c>
      <c r="D344" s="5">
        <v>0</v>
      </c>
      <c r="E344" s="5">
        <v>10000</v>
      </c>
      <c r="F344" s="5">
        <v>1</v>
      </c>
      <c r="G344" s="5">
        <v>0</v>
      </c>
      <c r="H344" s="12">
        <f>IF(OR(D344="",E344=""),"",IF(IFERROR(INDEX(Stats!$D:$D,MATCH($C344,Stats!$A:$A,0)),FALSE),ROUND(D344+(E344-D344)*(1+G344)*((1-1)/(MaxLevel-1))^(2^F344),0),D344+(E344-D344)*(1+G344)*((1-1)/(MaxLevel-1))^(2^F344)))</f>
        <v>0</v>
      </c>
      <c r="I344" s="12">
        <f>IF(OR(D344="",E344=""),"",IF(IFERROR(INDEX(Stats!$D:$D,MATCH($C344,Stats!$A:$A,0)),FALSE),ROUND(D344+(E344-D344)*(1+G344)*((2-1)/(MaxLevel-1))^(2^F344),0),D344+(E344-D344)*(1+G344)*((2-1)/(MaxLevel-1))^(2^F344)))</f>
        <v>123</v>
      </c>
      <c r="J344" s="12">
        <f>IF(OR(D344="",E344=""),"",IF(IFERROR(INDEX(Stats!$D:$D,MATCH($C344,Stats!$A:$A,0)),FALSE),ROUND(D344+(E344-D344)*(1+G344)*((3-1)/(MaxLevel-1))^(2^F344),0),D344+(E344-D344)*(1+G344)*((3-1)/(MaxLevel-1))^(2^F344)))</f>
        <v>494</v>
      </c>
      <c r="K344" s="12">
        <f>IF(OR(D344="",E344=""),"",IF(IFERROR(INDEX(Stats!$D:$D,MATCH($C344,Stats!$A:$A,0)),FALSE),ROUND(D344+(E344-D344)*(1+G344)*((4-1)/(MaxLevel-1))^(2^F344),0),D344+(E344-D344)*(1+G344)*((4-1)/(MaxLevel-1))^(2^F344)))</f>
        <v>1111</v>
      </c>
      <c r="L344" s="12">
        <f>IF(OR(D344="",E344=""),"",IF(IFERROR(INDEX(Stats!$D:$D,MATCH($C344,Stats!$A:$A,0)),FALSE),ROUND(D344+(E344-D344)*(1+G344)*((5-1)/(MaxLevel-1))^(2^F344),0),D344+(E344-D344)*(1+G344)*((5-1)/(MaxLevel-1))^(2^F344)))</f>
        <v>1975</v>
      </c>
      <c r="M344" s="12">
        <f>IF(OR(D344="",E344=""),"",IF(IFERROR(INDEX(Stats!$D:$D,MATCH($C344,Stats!$A:$A,0)),FALSE),ROUND(D344+(E344-D344)*(1+G344)*((6-1)/(MaxLevel-1))^(2^F344),0),D344+(E344-D344)*(1+G344)*((6-1)/(MaxLevel-1))^(2^F344)))</f>
        <v>3086</v>
      </c>
      <c r="N344" s="12">
        <f>IF(OR(D344="",E344=""),"",IF(IFERROR(INDEX(Stats!$D:$D,MATCH($C344,Stats!$A:$A,0)),FALSE),ROUND(D344+(E344-D344)*(1+G344)*((7-1)/(MaxLevel-1))^(2^F344),0),D344+(E344-D344)*(1+G344)*((7-1)/(MaxLevel-1))^(2^F344)))</f>
        <v>4444</v>
      </c>
      <c r="O344" s="12">
        <f>IF(OR(D344="",E344=""),"",IF(IFERROR(INDEX(Stats!$D:$D,MATCH($C344,Stats!$A:$A,0)),FALSE),ROUND(D344+(E344-D344)*(1+G344)*((8-1)/(MaxLevel-1))^(2^F344),0),D344+(E344-D344)*(1+G344)*((8-1)/(MaxLevel-1))^(2^F344)))</f>
        <v>6049</v>
      </c>
      <c r="P344" s="12">
        <f>IF(OR(D344="",E344=""),"",IF(IFERROR(INDEX(Stats!$D:$D,MATCH($C344,Stats!$A:$A,0)),FALSE),ROUND(D344+(E344-D344)*(1+G344)*((9-1)/(MaxLevel-1))^(2^F344),0),D344+(E344-D344)*(1+G344)*((9-1)/(MaxLevel-1))^(2^F344)))</f>
        <v>7901</v>
      </c>
      <c r="Q344" s="12">
        <f>IF(OR(D344="",E344=""),"",IF(IFERROR(INDEX(Stats!$D:$D,MATCH($C344,Stats!$A:$A,0)),FALSE),ROUND(D344+(E344-D344)*(1+G344)*((10-1)/(MaxLevel-1))^(2^F344),0),D344+(E344-D344)*(1+G344)*((10-1)/(MaxLevel-1))^(2^F344)))</f>
        <v>10000</v>
      </c>
    </row>
    <row r="345" spans="1:17" x14ac:dyDescent="0.25">
      <c r="A345" s="4" t="s">
        <v>185</v>
      </c>
      <c r="B345" s="19" t="s">
        <v>233</v>
      </c>
      <c r="C345" s="4" t="s">
        <v>26</v>
      </c>
      <c r="D345" s="5">
        <v>25</v>
      </c>
      <c r="E345" s="5">
        <v>150</v>
      </c>
      <c r="F345" s="5">
        <v>0</v>
      </c>
      <c r="G345" s="5">
        <v>0</v>
      </c>
      <c r="H345" s="12">
        <f>IF(OR(D345="",E345=""),"",IF(IFERROR(INDEX(Stats!$D:$D,MATCH($C345,Stats!$A:$A,0)),FALSE),ROUND(D345+(E345-D345)*(1+G345)*((1-1)/(MaxLevel-1))^(2^F345),0),D345+(E345-D345)*(1+G345)*((1-1)/(MaxLevel-1))^(2^F345)))</f>
        <v>25</v>
      </c>
      <c r="I345" s="12">
        <f>IF(OR(D345="",E345=""),"",IF(IFERROR(INDEX(Stats!$D:$D,MATCH($C345,Stats!$A:$A,0)),FALSE),ROUND(D345+(E345-D345)*(1+G345)*((2-1)/(MaxLevel-1))^(2^F345),0),D345+(E345-D345)*(1+G345)*((2-1)/(MaxLevel-1))^(2^F345)))</f>
        <v>39</v>
      </c>
      <c r="J345" s="12">
        <f>IF(OR(D345="",E345=""),"",IF(IFERROR(INDEX(Stats!$D:$D,MATCH($C345,Stats!$A:$A,0)),FALSE),ROUND(D345+(E345-D345)*(1+G345)*((3-1)/(MaxLevel-1))^(2^F345),0),D345+(E345-D345)*(1+G345)*((3-1)/(MaxLevel-1))^(2^F345)))</f>
        <v>53</v>
      </c>
      <c r="K345" s="12">
        <f>IF(OR(D345="",E345=""),"",IF(IFERROR(INDEX(Stats!$D:$D,MATCH($C345,Stats!$A:$A,0)),FALSE),ROUND(D345+(E345-D345)*(1+G345)*((4-1)/(MaxLevel-1))^(2^F345),0),D345+(E345-D345)*(1+G345)*((4-1)/(MaxLevel-1))^(2^F345)))</f>
        <v>67</v>
      </c>
      <c r="L345" s="12">
        <f>IF(OR(D345="",E345=""),"",IF(IFERROR(INDEX(Stats!$D:$D,MATCH($C345,Stats!$A:$A,0)),FALSE),ROUND(D345+(E345-D345)*(1+G345)*((5-1)/(MaxLevel-1))^(2^F345),0),D345+(E345-D345)*(1+G345)*((5-1)/(MaxLevel-1))^(2^F345)))</f>
        <v>81</v>
      </c>
      <c r="M345" s="12">
        <f>IF(OR(D345="",E345=""),"",IF(IFERROR(INDEX(Stats!$D:$D,MATCH($C345,Stats!$A:$A,0)),FALSE),ROUND(D345+(E345-D345)*(1+G345)*((6-1)/(MaxLevel-1))^(2^F345),0),D345+(E345-D345)*(1+G345)*((6-1)/(MaxLevel-1))^(2^F345)))</f>
        <v>94</v>
      </c>
      <c r="N345" s="12">
        <f>IF(OR(D345="",E345=""),"",IF(IFERROR(INDEX(Stats!$D:$D,MATCH($C345,Stats!$A:$A,0)),FALSE),ROUND(D345+(E345-D345)*(1+G345)*((7-1)/(MaxLevel-1))^(2^F345),0),D345+(E345-D345)*(1+G345)*((7-1)/(MaxLevel-1))^(2^F345)))</f>
        <v>108</v>
      </c>
      <c r="O345" s="12">
        <f>IF(OR(D345="",E345=""),"",IF(IFERROR(INDEX(Stats!$D:$D,MATCH($C345,Stats!$A:$A,0)),FALSE),ROUND(D345+(E345-D345)*(1+G345)*((8-1)/(MaxLevel-1))^(2^F345),0),D345+(E345-D345)*(1+G345)*((8-1)/(MaxLevel-1))^(2^F345)))</f>
        <v>122</v>
      </c>
      <c r="P345" s="12">
        <f>IF(OR(D345="",E345=""),"",IF(IFERROR(INDEX(Stats!$D:$D,MATCH($C345,Stats!$A:$A,0)),FALSE),ROUND(D345+(E345-D345)*(1+G345)*((9-1)/(MaxLevel-1))^(2^F345),0),D345+(E345-D345)*(1+G345)*((9-1)/(MaxLevel-1))^(2^F345)))</f>
        <v>136</v>
      </c>
      <c r="Q345" s="12">
        <f>IF(OR(D345="",E345=""),"",IF(IFERROR(INDEX(Stats!$D:$D,MATCH($C345,Stats!$A:$A,0)),FALSE),ROUND(D345+(E345-D345)*(1+G345)*((10-1)/(MaxLevel-1))^(2^F345),0),D345+(E345-D345)*(1+G345)*((10-1)/(MaxLevel-1))^(2^F345)))</f>
        <v>150</v>
      </c>
    </row>
    <row r="346" spans="1:17" x14ac:dyDescent="0.25">
      <c r="A346" s="4" t="s">
        <v>185</v>
      </c>
      <c r="B346" s="19" t="s">
        <v>233</v>
      </c>
      <c r="C346" s="4" t="s">
        <v>28</v>
      </c>
      <c r="D346" s="5">
        <v>300</v>
      </c>
      <c r="E346" s="5">
        <v>1200</v>
      </c>
      <c r="F346" s="5">
        <v>0</v>
      </c>
      <c r="G346" s="5">
        <v>-0.1</v>
      </c>
      <c r="H346" s="12">
        <f>IF(OR(D346="",E346=""),"",IF(IFERROR(INDEX(Stats!$D:$D,MATCH($C346,Stats!$A:$A,0)),FALSE),ROUND(D346+(E346-D346)*(1+G346)*((1-1)/(MaxLevel-1))^(2^F346),0),D346+(E346-D346)*(1+G346)*((1-1)/(MaxLevel-1))^(2^F346)))</f>
        <v>300</v>
      </c>
      <c r="I346" s="12">
        <f>IF(OR(D346="",E346=""),"",IF(IFERROR(INDEX(Stats!$D:$D,MATCH($C346,Stats!$A:$A,0)),FALSE),ROUND(D346+(E346-D346)*(1+G346)*((2-1)/(MaxLevel-1))^(2^F346),0),D346+(E346-D346)*(1+G346)*((2-1)/(MaxLevel-1))^(2^F346)))</f>
        <v>390</v>
      </c>
      <c r="J346" s="12">
        <f>IF(OR(D346="",E346=""),"",IF(IFERROR(INDEX(Stats!$D:$D,MATCH($C346,Stats!$A:$A,0)),FALSE),ROUND(D346+(E346-D346)*(1+G346)*((3-1)/(MaxLevel-1))^(2^F346),0),D346+(E346-D346)*(1+G346)*((3-1)/(MaxLevel-1))^(2^F346)))</f>
        <v>480</v>
      </c>
      <c r="K346" s="12">
        <f>IF(OR(D346="",E346=""),"",IF(IFERROR(INDEX(Stats!$D:$D,MATCH($C346,Stats!$A:$A,0)),FALSE),ROUND(D346+(E346-D346)*(1+G346)*((4-1)/(MaxLevel-1))^(2^F346),0),D346+(E346-D346)*(1+G346)*((4-1)/(MaxLevel-1))^(2^F346)))</f>
        <v>570</v>
      </c>
      <c r="L346" s="12">
        <f>IF(OR(D346="",E346=""),"",IF(IFERROR(INDEX(Stats!$D:$D,MATCH($C346,Stats!$A:$A,0)),FALSE),ROUND(D346+(E346-D346)*(1+G346)*((5-1)/(MaxLevel-1))^(2^F346),0),D346+(E346-D346)*(1+G346)*((5-1)/(MaxLevel-1))^(2^F346)))</f>
        <v>660</v>
      </c>
      <c r="M346" s="12">
        <f>IF(OR(D346="",E346=""),"",IF(IFERROR(INDEX(Stats!$D:$D,MATCH($C346,Stats!$A:$A,0)),FALSE),ROUND(D346+(E346-D346)*(1+G346)*((6-1)/(MaxLevel-1))^(2^F346),0),D346+(E346-D346)*(1+G346)*((6-1)/(MaxLevel-1))^(2^F346)))</f>
        <v>750</v>
      </c>
      <c r="N346" s="12">
        <f>IF(OR(D346="",E346=""),"",IF(IFERROR(INDEX(Stats!$D:$D,MATCH($C346,Stats!$A:$A,0)),FALSE),ROUND(D346+(E346-D346)*(1+G346)*((7-1)/(MaxLevel-1))^(2^F346),0),D346+(E346-D346)*(1+G346)*((7-1)/(MaxLevel-1))^(2^F346)))</f>
        <v>840</v>
      </c>
      <c r="O346" s="12">
        <f>IF(OR(D346="",E346=""),"",IF(IFERROR(INDEX(Stats!$D:$D,MATCH($C346,Stats!$A:$A,0)),FALSE),ROUND(D346+(E346-D346)*(1+G346)*((8-1)/(MaxLevel-1))^(2^F346),0),D346+(E346-D346)*(1+G346)*((8-1)/(MaxLevel-1))^(2^F346)))</f>
        <v>930</v>
      </c>
      <c r="P346" s="12">
        <f>IF(OR(D346="",E346=""),"",IF(IFERROR(INDEX(Stats!$D:$D,MATCH($C346,Stats!$A:$A,0)),FALSE),ROUND(D346+(E346-D346)*(1+G346)*((9-1)/(MaxLevel-1))^(2^F346),0),D346+(E346-D346)*(1+G346)*((9-1)/(MaxLevel-1))^(2^F346)))</f>
        <v>1020</v>
      </c>
      <c r="Q346" s="12">
        <f>IF(OR(D346="",E346=""),"",IF(IFERROR(INDEX(Stats!$D:$D,MATCH($C346,Stats!$A:$A,0)),FALSE),ROUND(D346+(E346-D346)*(1+G346)*((10-1)/(MaxLevel-1))^(2^F346),0),D346+(E346-D346)*(1+G346)*((10-1)/(MaxLevel-1))^(2^F346)))</f>
        <v>1110</v>
      </c>
    </row>
    <row r="347" spans="1:17" x14ac:dyDescent="0.25">
      <c r="A347" s="4" t="s">
        <v>185</v>
      </c>
      <c r="B347" s="19" t="s">
        <v>233</v>
      </c>
      <c r="C347" s="4" t="s">
        <v>30</v>
      </c>
      <c r="D347" s="5">
        <v>25</v>
      </c>
      <c r="E347" s="5">
        <v>110</v>
      </c>
      <c r="F347" s="5">
        <v>0.5</v>
      </c>
      <c r="G347" s="5">
        <v>0</v>
      </c>
      <c r="H347" s="12">
        <f>IF(OR(D347="",E347=""),"",IF(IFERROR(INDEX(Stats!$D:$D,MATCH($C347,Stats!$A:$A,0)),FALSE),ROUND(D347+(E347-D347)*(1+G347)*((1-1)/(MaxLevel-1))^(2^F347),0),D347+(E347-D347)*(1+G347)*((1-1)/(MaxLevel-1))^(2^F347)))</f>
        <v>25</v>
      </c>
      <c r="I347" s="12">
        <f>IF(OR(D347="",E347=""),"",IF(IFERROR(INDEX(Stats!$D:$D,MATCH($C347,Stats!$A:$A,0)),FALSE),ROUND(D347+(E347-D347)*(1+G347)*((2-1)/(MaxLevel-1))^(2^F347),0),D347+(E347-D347)*(1+G347)*((2-1)/(MaxLevel-1))^(2^F347)))</f>
        <v>29</v>
      </c>
      <c r="J347" s="12">
        <f>IF(OR(D347="",E347=""),"",IF(IFERROR(INDEX(Stats!$D:$D,MATCH($C347,Stats!$A:$A,0)),FALSE),ROUND(D347+(E347-D347)*(1+G347)*((3-1)/(MaxLevel-1))^(2^F347),0),D347+(E347-D347)*(1+G347)*((3-1)/(MaxLevel-1))^(2^F347)))</f>
        <v>35</v>
      </c>
      <c r="K347" s="12">
        <f>IF(OR(D347="",E347=""),"",IF(IFERROR(INDEX(Stats!$D:$D,MATCH($C347,Stats!$A:$A,0)),FALSE),ROUND(D347+(E347-D347)*(1+G347)*((4-1)/(MaxLevel-1))^(2^F347),0),D347+(E347-D347)*(1+G347)*((4-1)/(MaxLevel-1))^(2^F347)))</f>
        <v>43</v>
      </c>
      <c r="L347" s="12">
        <f>IF(OR(D347="",E347=""),"",IF(IFERROR(INDEX(Stats!$D:$D,MATCH($C347,Stats!$A:$A,0)),FALSE),ROUND(D347+(E347-D347)*(1+G347)*((5-1)/(MaxLevel-1))^(2^F347),0),D347+(E347-D347)*(1+G347)*((5-1)/(MaxLevel-1))^(2^F347)))</f>
        <v>52</v>
      </c>
      <c r="M347" s="12">
        <f>IF(OR(D347="",E347=""),"",IF(IFERROR(INDEX(Stats!$D:$D,MATCH($C347,Stats!$A:$A,0)),FALSE),ROUND(D347+(E347-D347)*(1+G347)*((6-1)/(MaxLevel-1))^(2^F347),0),D347+(E347-D347)*(1+G347)*((6-1)/(MaxLevel-1))^(2^F347)))</f>
        <v>62</v>
      </c>
      <c r="N347" s="12">
        <f>IF(OR(D347="",E347=""),"",IF(IFERROR(INDEX(Stats!$D:$D,MATCH($C347,Stats!$A:$A,0)),FALSE),ROUND(D347+(E347-D347)*(1+G347)*((7-1)/(MaxLevel-1))^(2^F347),0),D347+(E347-D347)*(1+G347)*((7-1)/(MaxLevel-1))^(2^F347)))</f>
        <v>73</v>
      </c>
      <c r="O347" s="12">
        <f>IF(OR(D347="",E347=""),"",IF(IFERROR(INDEX(Stats!$D:$D,MATCH($C347,Stats!$A:$A,0)),FALSE),ROUND(D347+(E347-D347)*(1+G347)*((8-1)/(MaxLevel-1))^(2^F347),0),D347+(E347-D347)*(1+G347)*((8-1)/(MaxLevel-1))^(2^F347)))</f>
        <v>85</v>
      </c>
      <c r="P347" s="12">
        <f>IF(OR(D347="",E347=""),"",IF(IFERROR(INDEX(Stats!$D:$D,MATCH($C347,Stats!$A:$A,0)),FALSE),ROUND(D347+(E347-D347)*(1+G347)*((9-1)/(MaxLevel-1))^(2^F347),0),D347+(E347-D347)*(1+G347)*((9-1)/(MaxLevel-1))^(2^F347)))</f>
        <v>97</v>
      </c>
      <c r="Q347" s="12">
        <f>IF(OR(D347="",E347=""),"",IF(IFERROR(INDEX(Stats!$D:$D,MATCH($C347,Stats!$A:$A,0)),FALSE),ROUND(D347+(E347-D347)*(1+G347)*((10-1)/(MaxLevel-1))^(2^F347),0),D347+(E347-D347)*(1+G347)*((10-1)/(MaxLevel-1))^(2^F347)))</f>
        <v>110</v>
      </c>
    </row>
    <row r="348" spans="1:17" x14ac:dyDescent="0.25">
      <c r="A348" s="4" t="s">
        <v>185</v>
      </c>
      <c r="B348" s="19" t="s">
        <v>233</v>
      </c>
      <c r="C348" s="4" t="s">
        <v>32</v>
      </c>
      <c r="D348" s="5"/>
      <c r="E348" s="5"/>
      <c r="F348" s="5"/>
      <c r="G348" s="5"/>
      <c r="H348" s="12" t="str">
        <f>IF(OR(D348="",E348=""),"",IF(IFERROR(INDEX(Stats!$D:$D,MATCH($C348,Stats!$A:$A,0)),FALSE),ROUND(D348+(E348-D348)*(1+G348)*((1-1)/(MaxLevel-1))^(2^F348),0),D348+(E348-D348)*(1+G348)*((1-1)/(MaxLevel-1))^(2^F348)))</f>
        <v/>
      </c>
      <c r="I348" s="12" t="str">
        <f>IF(OR(D348="",E348=""),"",IF(IFERROR(INDEX(Stats!$D:$D,MATCH($C348,Stats!$A:$A,0)),FALSE),ROUND(D348+(E348-D348)*(1+G348)*((2-1)/(MaxLevel-1))^(2^F348),0),D348+(E348-D348)*(1+G348)*((2-1)/(MaxLevel-1))^(2^F348)))</f>
        <v/>
      </c>
      <c r="J348" s="12" t="str">
        <f>IF(OR(D348="",E348=""),"",IF(IFERROR(INDEX(Stats!$D:$D,MATCH($C348,Stats!$A:$A,0)),FALSE),ROUND(D348+(E348-D348)*(1+G348)*((3-1)/(MaxLevel-1))^(2^F348),0),D348+(E348-D348)*(1+G348)*((3-1)/(MaxLevel-1))^(2^F348)))</f>
        <v/>
      </c>
      <c r="K348" s="12" t="str">
        <f>IF(OR(D348="",E348=""),"",IF(IFERROR(INDEX(Stats!$D:$D,MATCH($C348,Stats!$A:$A,0)),FALSE),ROUND(D348+(E348-D348)*(1+G348)*((4-1)/(MaxLevel-1))^(2^F348),0),D348+(E348-D348)*(1+G348)*((4-1)/(MaxLevel-1))^(2^F348)))</f>
        <v/>
      </c>
      <c r="L348" s="12" t="str">
        <f>IF(OR(D348="",E348=""),"",IF(IFERROR(INDEX(Stats!$D:$D,MATCH($C348,Stats!$A:$A,0)),FALSE),ROUND(D348+(E348-D348)*(1+G348)*((5-1)/(MaxLevel-1))^(2^F348),0),D348+(E348-D348)*(1+G348)*((5-1)/(MaxLevel-1))^(2^F348)))</f>
        <v/>
      </c>
      <c r="M348" s="12" t="str">
        <f>IF(OR(D348="",E348=""),"",IF(IFERROR(INDEX(Stats!$D:$D,MATCH($C348,Stats!$A:$A,0)),FALSE),ROUND(D348+(E348-D348)*(1+G348)*((6-1)/(MaxLevel-1))^(2^F348),0),D348+(E348-D348)*(1+G348)*((6-1)/(MaxLevel-1))^(2^F348)))</f>
        <v/>
      </c>
      <c r="N348" s="12" t="str">
        <f>IF(OR(D348="",E348=""),"",IF(IFERROR(INDEX(Stats!$D:$D,MATCH($C348,Stats!$A:$A,0)),FALSE),ROUND(D348+(E348-D348)*(1+G348)*((7-1)/(MaxLevel-1))^(2^F348),0),D348+(E348-D348)*(1+G348)*((7-1)/(MaxLevel-1))^(2^F348)))</f>
        <v/>
      </c>
      <c r="O348" s="12" t="str">
        <f>IF(OR(D348="",E348=""),"",IF(IFERROR(INDEX(Stats!$D:$D,MATCH($C348,Stats!$A:$A,0)),FALSE),ROUND(D348+(E348-D348)*(1+G348)*((8-1)/(MaxLevel-1))^(2^F348),0),D348+(E348-D348)*(1+G348)*((8-1)/(MaxLevel-1))^(2^F348)))</f>
        <v/>
      </c>
      <c r="P348" s="12" t="str">
        <f>IF(OR(D348="",E348=""),"",IF(IFERROR(INDEX(Stats!$D:$D,MATCH($C348,Stats!$A:$A,0)),FALSE),ROUND(D348+(E348-D348)*(1+G348)*((9-1)/(MaxLevel-1))^(2^F348),0),D348+(E348-D348)*(1+G348)*((9-1)/(MaxLevel-1))^(2^F348)))</f>
        <v/>
      </c>
      <c r="Q348" s="12" t="str">
        <f>IF(OR(D348="",E348=""),"",IF(IFERROR(INDEX(Stats!$D:$D,MATCH($C348,Stats!$A:$A,0)),FALSE),ROUND(D348+(E348-D348)*(1+G348)*((10-1)/(MaxLevel-1))^(2^F348),0),D348+(E348-D348)*(1+G348)*((10-1)/(MaxLevel-1))^(2^F348)))</f>
        <v/>
      </c>
    </row>
    <row r="349" spans="1:17" x14ac:dyDescent="0.25">
      <c r="A349" s="4" t="s">
        <v>185</v>
      </c>
      <c r="B349" s="19" t="s">
        <v>233</v>
      </c>
      <c r="C349" s="4" t="s">
        <v>34</v>
      </c>
      <c r="D349" s="5"/>
      <c r="E349" s="5"/>
      <c r="F349" s="5"/>
      <c r="G349" s="5"/>
      <c r="H349" s="12" t="str">
        <f>IF(OR(D349="",E349=""),"",IF(IFERROR(INDEX(Stats!$D:$D,MATCH($C349,Stats!$A:$A,0)),FALSE),ROUND(D349+(E349-D349)*(1+G349)*((1-1)/(MaxLevel-1))^(2^F349),0),D349+(E349-D349)*(1+G349)*((1-1)/(MaxLevel-1))^(2^F349)))</f>
        <v/>
      </c>
      <c r="I349" s="12" t="str">
        <f>IF(OR(D349="",E349=""),"",IF(IFERROR(INDEX(Stats!$D:$D,MATCH($C349,Stats!$A:$A,0)),FALSE),ROUND(D349+(E349-D349)*(1+G349)*((2-1)/(MaxLevel-1))^(2^F349),0),D349+(E349-D349)*(1+G349)*((2-1)/(MaxLevel-1))^(2^F349)))</f>
        <v/>
      </c>
      <c r="J349" s="12" t="str">
        <f>IF(OR(D349="",E349=""),"",IF(IFERROR(INDEX(Stats!$D:$D,MATCH($C349,Stats!$A:$A,0)),FALSE),ROUND(D349+(E349-D349)*(1+G349)*((3-1)/(MaxLevel-1))^(2^F349),0),D349+(E349-D349)*(1+G349)*((3-1)/(MaxLevel-1))^(2^F349)))</f>
        <v/>
      </c>
      <c r="K349" s="12" t="str">
        <f>IF(OR(D349="",E349=""),"",IF(IFERROR(INDEX(Stats!$D:$D,MATCH($C349,Stats!$A:$A,0)),FALSE),ROUND(D349+(E349-D349)*(1+G349)*((4-1)/(MaxLevel-1))^(2^F349),0),D349+(E349-D349)*(1+G349)*((4-1)/(MaxLevel-1))^(2^F349)))</f>
        <v/>
      </c>
      <c r="L349" s="12" t="str">
        <f>IF(OR(D349="",E349=""),"",IF(IFERROR(INDEX(Stats!$D:$D,MATCH($C349,Stats!$A:$A,0)),FALSE),ROUND(D349+(E349-D349)*(1+G349)*((5-1)/(MaxLevel-1))^(2^F349),0),D349+(E349-D349)*(1+G349)*((5-1)/(MaxLevel-1))^(2^F349)))</f>
        <v/>
      </c>
      <c r="M349" s="12" t="str">
        <f>IF(OR(D349="",E349=""),"",IF(IFERROR(INDEX(Stats!$D:$D,MATCH($C349,Stats!$A:$A,0)),FALSE),ROUND(D349+(E349-D349)*(1+G349)*((6-1)/(MaxLevel-1))^(2^F349),0),D349+(E349-D349)*(1+G349)*((6-1)/(MaxLevel-1))^(2^F349)))</f>
        <v/>
      </c>
      <c r="N349" s="12" t="str">
        <f>IF(OR(D349="",E349=""),"",IF(IFERROR(INDEX(Stats!$D:$D,MATCH($C349,Stats!$A:$A,0)),FALSE),ROUND(D349+(E349-D349)*(1+G349)*((7-1)/(MaxLevel-1))^(2^F349),0),D349+(E349-D349)*(1+G349)*((7-1)/(MaxLevel-1))^(2^F349)))</f>
        <v/>
      </c>
      <c r="O349" s="12" t="str">
        <f>IF(OR(D349="",E349=""),"",IF(IFERROR(INDEX(Stats!$D:$D,MATCH($C349,Stats!$A:$A,0)),FALSE),ROUND(D349+(E349-D349)*(1+G349)*((8-1)/(MaxLevel-1))^(2^F349),0),D349+(E349-D349)*(1+G349)*((8-1)/(MaxLevel-1))^(2^F349)))</f>
        <v/>
      </c>
      <c r="P349" s="12" t="str">
        <f>IF(OR(D349="",E349=""),"",IF(IFERROR(INDEX(Stats!$D:$D,MATCH($C349,Stats!$A:$A,0)),FALSE),ROUND(D349+(E349-D349)*(1+G349)*((9-1)/(MaxLevel-1))^(2^F349),0),D349+(E349-D349)*(1+G349)*((9-1)/(MaxLevel-1))^(2^F349)))</f>
        <v/>
      </c>
      <c r="Q349" s="12" t="str">
        <f>IF(OR(D349="",E349=""),"",IF(IFERROR(INDEX(Stats!$D:$D,MATCH($C349,Stats!$A:$A,0)),FALSE),ROUND(D349+(E349-D349)*(1+G349)*((10-1)/(MaxLevel-1))^(2^F349),0),D349+(E349-D349)*(1+G349)*((10-1)/(MaxLevel-1))^(2^F349)))</f>
        <v/>
      </c>
    </row>
    <row r="350" spans="1:17" x14ac:dyDescent="0.25">
      <c r="A350" s="4" t="s">
        <v>185</v>
      </c>
      <c r="B350" s="19" t="s">
        <v>233</v>
      </c>
      <c r="C350" s="4" t="s">
        <v>36</v>
      </c>
      <c r="D350" s="5"/>
      <c r="E350" s="5"/>
      <c r="F350" s="5"/>
      <c r="G350" s="5"/>
      <c r="H350" s="12" t="str">
        <f>IF(OR(D350="",E350=""),"",IF(IFERROR(INDEX(Stats!$D:$D,MATCH($C350,Stats!$A:$A,0)),FALSE),ROUND(D350+(E350-D350)*(1+G350)*((1-1)/(MaxLevel-1))^(2^F350),0),D350+(E350-D350)*(1+G350)*((1-1)/(MaxLevel-1))^(2^F350)))</f>
        <v/>
      </c>
      <c r="I350" s="12" t="str">
        <f>IF(OR(D350="",E350=""),"",IF(IFERROR(INDEX(Stats!$D:$D,MATCH($C350,Stats!$A:$A,0)),FALSE),ROUND(D350+(E350-D350)*(1+G350)*((2-1)/(MaxLevel-1))^(2^F350),0),D350+(E350-D350)*(1+G350)*((2-1)/(MaxLevel-1))^(2^F350)))</f>
        <v/>
      </c>
      <c r="J350" s="12" t="str">
        <f>IF(OR(D350="",E350=""),"",IF(IFERROR(INDEX(Stats!$D:$D,MATCH($C350,Stats!$A:$A,0)),FALSE),ROUND(D350+(E350-D350)*(1+G350)*((3-1)/(MaxLevel-1))^(2^F350),0),D350+(E350-D350)*(1+G350)*((3-1)/(MaxLevel-1))^(2^F350)))</f>
        <v/>
      </c>
      <c r="K350" s="12" t="str">
        <f>IF(OR(D350="",E350=""),"",IF(IFERROR(INDEX(Stats!$D:$D,MATCH($C350,Stats!$A:$A,0)),FALSE),ROUND(D350+(E350-D350)*(1+G350)*((4-1)/(MaxLevel-1))^(2^F350),0),D350+(E350-D350)*(1+G350)*((4-1)/(MaxLevel-1))^(2^F350)))</f>
        <v/>
      </c>
      <c r="L350" s="12" t="str">
        <f>IF(OR(D350="",E350=""),"",IF(IFERROR(INDEX(Stats!$D:$D,MATCH($C350,Stats!$A:$A,0)),FALSE),ROUND(D350+(E350-D350)*(1+G350)*((5-1)/(MaxLevel-1))^(2^F350),0),D350+(E350-D350)*(1+G350)*((5-1)/(MaxLevel-1))^(2^F350)))</f>
        <v/>
      </c>
      <c r="M350" s="12" t="str">
        <f>IF(OR(D350="",E350=""),"",IF(IFERROR(INDEX(Stats!$D:$D,MATCH($C350,Stats!$A:$A,0)),FALSE),ROUND(D350+(E350-D350)*(1+G350)*((6-1)/(MaxLevel-1))^(2^F350),0),D350+(E350-D350)*(1+G350)*((6-1)/(MaxLevel-1))^(2^F350)))</f>
        <v/>
      </c>
      <c r="N350" s="12" t="str">
        <f>IF(OR(D350="",E350=""),"",IF(IFERROR(INDEX(Stats!$D:$D,MATCH($C350,Stats!$A:$A,0)),FALSE),ROUND(D350+(E350-D350)*(1+G350)*((7-1)/(MaxLevel-1))^(2^F350),0),D350+(E350-D350)*(1+G350)*((7-1)/(MaxLevel-1))^(2^F350)))</f>
        <v/>
      </c>
      <c r="O350" s="12" t="str">
        <f>IF(OR(D350="",E350=""),"",IF(IFERROR(INDEX(Stats!$D:$D,MATCH($C350,Stats!$A:$A,0)),FALSE),ROUND(D350+(E350-D350)*(1+G350)*((8-1)/(MaxLevel-1))^(2^F350),0),D350+(E350-D350)*(1+G350)*((8-1)/(MaxLevel-1))^(2^F350)))</f>
        <v/>
      </c>
      <c r="P350" s="12" t="str">
        <f>IF(OR(D350="",E350=""),"",IF(IFERROR(INDEX(Stats!$D:$D,MATCH($C350,Stats!$A:$A,0)),FALSE),ROUND(D350+(E350-D350)*(1+G350)*((9-1)/(MaxLevel-1))^(2^F350),0),D350+(E350-D350)*(1+G350)*((9-1)/(MaxLevel-1))^(2^F350)))</f>
        <v/>
      </c>
      <c r="Q350" s="12" t="str">
        <f>IF(OR(D350="",E350=""),"",IF(IFERROR(INDEX(Stats!$D:$D,MATCH($C350,Stats!$A:$A,0)),FALSE),ROUND(D350+(E350-D350)*(1+G350)*((10-1)/(MaxLevel-1))^(2^F350),0),D350+(E350-D350)*(1+G350)*((10-1)/(MaxLevel-1))^(2^F350)))</f>
        <v/>
      </c>
    </row>
    <row r="351" spans="1:17" x14ac:dyDescent="0.25">
      <c r="A351" s="4" t="s">
        <v>185</v>
      </c>
      <c r="B351" s="19" t="s">
        <v>233</v>
      </c>
      <c r="C351" s="4" t="s">
        <v>38</v>
      </c>
      <c r="D351" s="5"/>
      <c r="E351" s="5"/>
      <c r="F351" s="5"/>
      <c r="G351" s="5"/>
      <c r="H351" s="12" t="str">
        <f>IF(OR(D351="",E351=""),"",IF(IFERROR(INDEX(Stats!$D:$D,MATCH($C351,Stats!$A:$A,0)),FALSE),ROUND(D351+(E351-D351)*(1+G351)*((1-1)/(MaxLevel-1))^(2^F351),0),D351+(E351-D351)*(1+G351)*((1-1)/(MaxLevel-1))^(2^F351)))</f>
        <v/>
      </c>
      <c r="I351" s="12" t="str">
        <f>IF(OR(D351="",E351=""),"",IF(IFERROR(INDEX(Stats!$D:$D,MATCH($C351,Stats!$A:$A,0)),FALSE),ROUND(D351+(E351-D351)*(1+G351)*((2-1)/(MaxLevel-1))^(2^F351),0),D351+(E351-D351)*(1+G351)*((2-1)/(MaxLevel-1))^(2^F351)))</f>
        <v/>
      </c>
      <c r="J351" s="12" t="str">
        <f>IF(OR(D351="",E351=""),"",IF(IFERROR(INDEX(Stats!$D:$D,MATCH($C351,Stats!$A:$A,0)),FALSE),ROUND(D351+(E351-D351)*(1+G351)*((3-1)/(MaxLevel-1))^(2^F351),0),D351+(E351-D351)*(1+G351)*((3-1)/(MaxLevel-1))^(2^F351)))</f>
        <v/>
      </c>
      <c r="K351" s="12" t="str">
        <f>IF(OR(D351="",E351=""),"",IF(IFERROR(INDEX(Stats!$D:$D,MATCH($C351,Stats!$A:$A,0)),FALSE),ROUND(D351+(E351-D351)*(1+G351)*((4-1)/(MaxLevel-1))^(2^F351),0),D351+(E351-D351)*(1+G351)*((4-1)/(MaxLevel-1))^(2^F351)))</f>
        <v/>
      </c>
      <c r="L351" s="12" t="str">
        <f>IF(OR(D351="",E351=""),"",IF(IFERROR(INDEX(Stats!$D:$D,MATCH($C351,Stats!$A:$A,0)),FALSE),ROUND(D351+(E351-D351)*(1+G351)*((5-1)/(MaxLevel-1))^(2^F351),0),D351+(E351-D351)*(1+G351)*((5-1)/(MaxLevel-1))^(2^F351)))</f>
        <v/>
      </c>
      <c r="M351" s="12" t="str">
        <f>IF(OR(D351="",E351=""),"",IF(IFERROR(INDEX(Stats!$D:$D,MATCH($C351,Stats!$A:$A,0)),FALSE),ROUND(D351+(E351-D351)*(1+G351)*((6-1)/(MaxLevel-1))^(2^F351),0),D351+(E351-D351)*(1+G351)*((6-1)/(MaxLevel-1))^(2^F351)))</f>
        <v/>
      </c>
      <c r="N351" s="12" t="str">
        <f>IF(OR(D351="",E351=""),"",IF(IFERROR(INDEX(Stats!$D:$D,MATCH($C351,Stats!$A:$A,0)),FALSE),ROUND(D351+(E351-D351)*(1+G351)*((7-1)/(MaxLevel-1))^(2^F351),0),D351+(E351-D351)*(1+G351)*((7-1)/(MaxLevel-1))^(2^F351)))</f>
        <v/>
      </c>
      <c r="O351" s="12" t="str">
        <f>IF(OR(D351="",E351=""),"",IF(IFERROR(INDEX(Stats!$D:$D,MATCH($C351,Stats!$A:$A,0)),FALSE),ROUND(D351+(E351-D351)*(1+G351)*((8-1)/(MaxLevel-1))^(2^F351),0),D351+(E351-D351)*(1+G351)*((8-1)/(MaxLevel-1))^(2^F351)))</f>
        <v/>
      </c>
      <c r="P351" s="12" t="str">
        <f>IF(OR(D351="",E351=""),"",IF(IFERROR(INDEX(Stats!$D:$D,MATCH($C351,Stats!$A:$A,0)),FALSE),ROUND(D351+(E351-D351)*(1+G351)*((9-1)/(MaxLevel-1))^(2^F351),0),D351+(E351-D351)*(1+G351)*((9-1)/(MaxLevel-1))^(2^F351)))</f>
        <v/>
      </c>
      <c r="Q351" s="12" t="str">
        <f>IF(OR(D351="",E351=""),"",IF(IFERROR(INDEX(Stats!$D:$D,MATCH($C351,Stats!$A:$A,0)),FALSE),ROUND(D351+(E351-D351)*(1+G351)*((10-1)/(MaxLevel-1))^(2^F351),0),D351+(E351-D351)*(1+G351)*((10-1)/(MaxLevel-1))^(2^F351)))</f>
        <v/>
      </c>
    </row>
    <row r="352" spans="1:17" x14ac:dyDescent="0.25">
      <c r="A352" s="4" t="s">
        <v>185</v>
      </c>
      <c r="B352" s="19" t="s">
        <v>233</v>
      </c>
      <c r="C352" s="4" t="s">
        <v>40</v>
      </c>
      <c r="D352" s="5"/>
      <c r="E352" s="5"/>
      <c r="F352" s="5"/>
      <c r="G352" s="5"/>
      <c r="H352" s="12" t="str">
        <f>IF(OR(D352="",E352=""),"",IF(IFERROR(INDEX(Stats!$D:$D,MATCH($C352,Stats!$A:$A,0)),FALSE),ROUND(D352+(E352-D352)*(1+G352)*((1-1)/(MaxLevel-1))^(2^F352),0),D352+(E352-D352)*(1+G352)*((1-1)/(MaxLevel-1))^(2^F352)))</f>
        <v/>
      </c>
      <c r="I352" s="12" t="str">
        <f>IF(OR(D352="",E352=""),"",IF(IFERROR(INDEX(Stats!$D:$D,MATCH($C352,Stats!$A:$A,0)),FALSE),ROUND(D352+(E352-D352)*(1+G352)*((2-1)/(MaxLevel-1))^(2^F352),0),D352+(E352-D352)*(1+G352)*((2-1)/(MaxLevel-1))^(2^F352)))</f>
        <v/>
      </c>
      <c r="J352" s="12" t="str">
        <f>IF(OR(D352="",E352=""),"",IF(IFERROR(INDEX(Stats!$D:$D,MATCH($C352,Stats!$A:$A,0)),FALSE),ROUND(D352+(E352-D352)*(1+G352)*((3-1)/(MaxLevel-1))^(2^F352),0),D352+(E352-D352)*(1+G352)*((3-1)/(MaxLevel-1))^(2^F352)))</f>
        <v/>
      </c>
      <c r="K352" s="12" t="str">
        <f>IF(OR(D352="",E352=""),"",IF(IFERROR(INDEX(Stats!$D:$D,MATCH($C352,Stats!$A:$A,0)),FALSE),ROUND(D352+(E352-D352)*(1+G352)*((4-1)/(MaxLevel-1))^(2^F352),0),D352+(E352-D352)*(1+G352)*((4-1)/(MaxLevel-1))^(2^F352)))</f>
        <v/>
      </c>
      <c r="L352" s="12" t="str">
        <f>IF(OR(D352="",E352=""),"",IF(IFERROR(INDEX(Stats!$D:$D,MATCH($C352,Stats!$A:$A,0)),FALSE),ROUND(D352+(E352-D352)*(1+G352)*((5-1)/(MaxLevel-1))^(2^F352),0),D352+(E352-D352)*(1+G352)*((5-1)/(MaxLevel-1))^(2^F352)))</f>
        <v/>
      </c>
      <c r="M352" s="12" t="str">
        <f>IF(OR(D352="",E352=""),"",IF(IFERROR(INDEX(Stats!$D:$D,MATCH($C352,Stats!$A:$A,0)),FALSE),ROUND(D352+(E352-D352)*(1+G352)*((6-1)/(MaxLevel-1))^(2^F352),0),D352+(E352-D352)*(1+G352)*((6-1)/(MaxLevel-1))^(2^F352)))</f>
        <v/>
      </c>
      <c r="N352" s="12" t="str">
        <f>IF(OR(D352="",E352=""),"",IF(IFERROR(INDEX(Stats!$D:$D,MATCH($C352,Stats!$A:$A,0)),FALSE),ROUND(D352+(E352-D352)*(1+G352)*((7-1)/(MaxLevel-1))^(2^F352),0),D352+(E352-D352)*(1+G352)*((7-1)/(MaxLevel-1))^(2^F352)))</f>
        <v/>
      </c>
      <c r="O352" s="12" t="str">
        <f>IF(OR(D352="",E352=""),"",IF(IFERROR(INDEX(Stats!$D:$D,MATCH($C352,Stats!$A:$A,0)),FALSE),ROUND(D352+(E352-D352)*(1+G352)*((8-1)/(MaxLevel-1))^(2^F352),0),D352+(E352-D352)*(1+G352)*((8-1)/(MaxLevel-1))^(2^F352)))</f>
        <v/>
      </c>
      <c r="P352" s="12" t="str">
        <f>IF(OR(D352="",E352=""),"",IF(IFERROR(INDEX(Stats!$D:$D,MATCH($C352,Stats!$A:$A,0)),FALSE),ROUND(D352+(E352-D352)*(1+G352)*((9-1)/(MaxLevel-1))^(2^F352),0),D352+(E352-D352)*(1+G352)*((9-1)/(MaxLevel-1))^(2^F352)))</f>
        <v/>
      </c>
      <c r="Q352" s="12" t="str">
        <f>IF(OR(D352="",E352=""),"",IF(IFERROR(INDEX(Stats!$D:$D,MATCH($C352,Stats!$A:$A,0)),FALSE),ROUND(D352+(E352-D352)*(1+G352)*((10-1)/(MaxLevel-1))^(2^F352),0),D352+(E352-D352)*(1+G352)*((10-1)/(MaxLevel-1))^(2^F352)))</f>
        <v/>
      </c>
    </row>
    <row r="353" spans="1:17" x14ac:dyDescent="0.25">
      <c r="A353" s="4" t="s">
        <v>185</v>
      </c>
      <c r="B353" s="19" t="s">
        <v>233</v>
      </c>
      <c r="C353" s="4" t="s">
        <v>42</v>
      </c>
      <c r="D353" s="5"/>
      <c r="E353" s="5"/>
      <c r="F353" s="5"/>
      <c r="G353" s="5"/>
      <c r="H353" s="12" t="str">
        <f>IF(OR(D353="",E353=""),"",IF(IFERROR(INDEX(Stats!$D:$D,MATCH($C353,Stats!$A:$A,0)),FALSE),ROUND(D353+(E353-D353)*(1+G353)*((1-1)/(MaxLevel-1))^(2^F353),0),D353+(E353-D353)*(1+G353)*((1-1)/(MaxLevel-1))^(2^F353)))</f>
        <v/>
      </c>
      <c r="I353" s="12" t="str">
        <f>IF(OR(D353="",E353=""),"",IF(IFERROR(INDEX(Stats!$D:$D,MATCH($C353,Stats!$A:$A,0)),FALSE),ROUND(D353+(E353-D353)*(1+G353)*((2-1)/(MaxLevel-1))^(2^F353),0),D353+(E353-D353)*(1+G353)*((2-1)/(MaxLevel-1))^(2^F353)))</f>
        <v/>
      </c>
      <c r="J353" s="12" t="str">
        <f>IF(OR(D353="",E353=""),"",IF(IFERROR(INDEX(Stats!$D:$D,MATCH($C353,Stats!$A:$A,0)),FALSE),ROUND(D353+(E353-D353)*(1+G353)*((3-1)/(MaxLevel-1))^(2^F353),0),D353+(E353-D353)*(1+G353)*((3-1)/(MaxLevel-1))^(2^F353)))</f>
        <v/>
      </c>
      <c r="K353" s="12" t="str">
        <f>IF(OR(D353="",E353=""),"",IF(IFERROR(INDEX(Stats!$D:$D,MATCH($C353,Stats!$A:$A,0)),FALSE),ROUND(D353+(E353-D353)*(1+G353)*((4-1)/(MaxLevel-1))^(2^F353),0),D353+(E353-D353)*(1+G353)*((4-1)/(MaxLevel-1))^(2^F353)))</f>
        <v/>
      </c>
      <c r="L353" s="12" t="str">
        <f>IF(OR(D353="",E353=""),"",IF(IFERROR(INDEX(Stats!$D:$D,MATCH($C353,Stats!$A:$A,0)),FALSE),ROUND(D353+(E353-D353)*(1+G353)*((5-1)/(MaxLevel-1))^(2^F353),0),D353+(E353-D353)*(1+G353)*((5-1)/(MaxLevel-1))^(2^F353)))</f>
        <v/>
      </c>
      <c r="M353" s="12" t="str">
        <f>IF(OR(D353="",E353=""),"",IF(IFERROR(INDEX(Stats!$D:$D,MATCH($C353,Stats!$A:$A,0)),FALSE),ROUND(D353+(E353-D353)*(1+G353)*((6-1)/(MaxLevel-1))^(2^F353),0),D353+(E353-D353)*(1+G353)*((6-1)/(MaxLevel-1))^(2^F353)))</f>
        <v/>
      </c>
      <c r="N353" s="12" t="str">
        <f>IF(OR(D353="",E353=""),"",IF(IFERROR(INDEX(Stats!$D:$D,MATCH($C353,Stats!$A:$A,0)),FALSE),ROUND(D353+(E353-D353)*(1+G353)*((7-1)/(MaxLevel-1))^(2^F353),0),D353+(E353-D353)*(1+G353)*((7-1)/(MaxLevel-1))^(2^F353)))</f>
        <v/>
      </c>
      <c r="O353" s="12" t="str">
        <f>IF(OR(D353="",E353=""),"",IF(IFERROR(INDEX(Stats!$D:$D,MATCH($C353,Stats!$A:$A,0)),FALSE),ROUND(D353+(E353-D353)*(1+G353)*((8-1)/(MaxLevel-1))^(2^F353),0),D353+(E353-D353)*(1+G353)*((8-1)/(MaxLevel-1))^(2^F353)))</f>
        <v/>
      </c>
      <c r="P353" s="12" t="str">
        <f>IF(OR(D353="",E353=""),"",IF(IFERROR(INDEX(Stats!$D:$D,MATCH($C353,Stats!$A:$A,0)),FALSE),ROUND(D353+(E353-D353)*(1+G353)*((9-1)/(MaxLevel-1))^(2^F353),0),D353+(E353-D353)*(1+G353)*((9-1)/(MaxLevel-1))^(2^F353)))</f>
        <v/>
      </c>
      <c r="Q353" s="12" t="str">
        <f>IF(OR(D353="",E353=""),"",IF(IFERROR(INDEX(Stats!$D:$D,MATCH($C353,Stats!$A:$A,0)),FALSE),ROUND(D353+(E353-D353)*(1+G353)*((10-1)/(MaxLevel-1))^(2^F353),0),D353+(E353-D353)*(1+G353)*((10-1)/(MaxLevel-1))^(2^F353)))</f>
        <v/>
      </c>
    </row>
    <row r="354" spans="1:17" x14ac:dyDescent="0.25">
      <c r="A354" s="4" t="s">
        <v>185</v>
      </c>
      <c r="B354" s="19" t="s">
        <v>233</v>
      </c>
      <c r="C354" s="4" t="s">
        <v>44</v>
      </c>
      <c r="D354" s="5"/>
      <c r="E354" s="5"/>
      <c r="F354" s="5"/>
      <c r="G354" s="5"/>
      <c r="H354" s="12" t="str">
        <f>IF(OR(D354="",E354=""),"",IF(IFERROR(INDEX(Stats!$D:$D,MATCH($C354,Stats!$A:$A,0)),FALSE),ROUND(D354+(E354-D354)*(1+G354)*((1-1)/(MaxLevel-1))^(2^F354),0),D354+(E354-D354)*(1+G354)*((1-1)/(MaxLevel-1))^(2^F354)))</f>
        <v/>
      </c>
      <c r="I354" s="12" t="str">
        <f>IF(OR(D354="",E354=""),"",IF(IFERROR(INDEX(Stats!$D:$D,MATCH($C354,Stats!$A:$A,0)),FALSE),ROUND(D354+(E354-D354)*(1+G354)*((2-1)/(MaxLevel-1))^(2^F354),0),D354+(E354-D354)*(1+G354)*((2-1)/(MaxLevel-1))^(2^F354)))</f>
        <v/>
      </c>
      <c r="J354" s="12" t="str">
        <f>IF(OR(D354="",E354=""),"",IF(IFERROR(INDEX(Stats!$D:$D,MATCH($C354,Stats!$A:$A,0)),FALSE),ROUND(D354+(E354-D354)*(1+G354)*((3-1)/(MaxLevel-1))^(2^F354),0),D354+(E354-D354)*(1+G354)*((3-1)/(MaxLevel-1))^(2^F354)))</f>
        <v/>
      </c>
      <c r="K354" s="12" t="str">
        <f>IF(OR(D354="",E354=""),"",IF(IFERROR(INDEX(Stats!$D:$D,MATCH($C354,Stats!$A:$A,0)),FALSE),ROUND(D354+(E354-D354)*(1+G354)*((4-1)/(MaxLevel-1))^(2^F354),0),D354+(E354-D354)*(1+G354)*((4-1)/(MaxLevel-1))^(2^F354)))</f>
        <v/>
      </c>
      <c r="L354" s="12" t="str">
        <f>IF(OR(D354="",E354=""),"",IF(IFERROR(INDEX(Stats!$D:$D,MATCH($C354,Stats!$A:$A,0)),FALSE),ROUND(D354+(E354-D354)*(1+G354)*((5-1)/(MaxLevel-1))^(2^F354),0),D354+(E354-D354)*(1+G354)*((5-1)/(MaxLevel-1))^(2^F354)))</f>
        <v/>
      </c>
      <c r="M354" s="12" t="str">
        <f>IF(OR(D354="",E354=""),"",IF(IFERROR(INDEX(Stats!$D:$D,MATCH($C354,Stats!$A:$A,0)),FALSE),ROUND(D354+(E354-D354)*(1+G354)*((6-1)/(MaxLevel-1))^(2^F354),0),D354+(E354-D354)*(1+G354)*((6-1)/(MaxLevel-1))^(2^F354)))</f>
        <v/>
      </c>
      <c r="N354" s="12" t="str">
        <f>IF(OR(D354="",E354=""),"",IF(IFERROR(INDEX(Stats!$D:$D,MATCH($C354,Stats!$A:$A,0)),FALSE),ROUND(D354+(E354-D354)*(1+G354)*((7-1)/(MaxLevel-1))^(2^F354),0),D354+(E354-D354)*(1+G354)*((7-1)/(MaxLevel-1))^(2^F354)))</f>
        <v/>
      </c>
      <c r="O354" s="12" t="str">
        <f>IF(OR(D354="",E354=""),"",IF(IFERROR(INDEX(Stats!$D:$D,MATCH($C354,Stats!$A:$A,0)),FALSE),ROUND(D354+(E354-D354)*(1+G354)*((8-1)/(MaxLevel-1))^(2^F354),0),D354+(E354-D354)*(1+G354)*((8-1)/(MaxLevel-1))^(2^F354)))</f>
        <v/>
      </c>
      <c r="P354" s="12" t="str">
        <f>IF(OR(D354="",E354=""),"",IF(IFERROR(INDEX(Stats!$D:$D,MATCH($C354,Stats!$A:$A,0)),FALSE),ROUND(D354+(E354-D354)*(1+G354)*((9-1)/(MaxLevel-1))^(2^F354),0),D354+(E354-D354)*(1+G354)*((9-1)/(MaxLevel-1))^(2^F354)))</f>
        <v/>
      </c>
      <c r="Q354" s="12" t="str">
        <f>IF(OR(D354="",E354=""),"",IF(IFERROR(INDEX(Stats!$D:$D,MATCH($C354,Stats!$A:$A,0)),FALSE),ROUND(D354+(E354-D354)*(1+G354)*((10-1)/(MaxLevel-1))^(2^F354),0),D354+(E354-D354)*(1+G354)*((10-1)/(MaxLevel-1))^(2^F354)))</f>
        <v/>
      </c>
    </row>
    <row r="355" spans="1:17" x14ac:dyDescent="0.25">
      <c r="A355" s="4" t="s">
        <v>185</v>
      </c>
      <c r="B355" s="19" t="s">
        <v>233</v>
      </c>
      <c r="C355" s="4" t="s">
        <v>46</v>
      </c>
      <c r="D355" s="5">
        <v>300</v>
      </c>
      <c r="E355" s="5">
        <v>320</v>
      </c>
      <c r="F355" s="5">
        <v>0</v>
      </c>
      <c r="G355" s="5">
        <v>0</v>
      </c>
      <c r="H355" s="12">
        <f>IF(OR(D355="",E355=""),"",IF(IFERROR(INDEX(Stats!$D:$D,MATCH($C355,Stats!$A:$A,0)),FALSE),ROUND(D355+(E355-D355)*(1+G355)*((1-1)/(MaxLevel-1))^(2^F355),0),D355+(E355-D355)*(1+G355)*((1-1)/(MaxLevel-1))^(2^F355)))</f>
        <v>300</v>
      </c>
      <c r="I355" s="12">
        <f>IF(OR(D355="",E355=""),"",IF(IFERROR(INDEX(Stats!$D:$D,MATCH($C355,Stats!$A:$A,0)),FALSE),ROUND(D355+(E355-D355)*(1+G355)*((2-1)/(MaxLevel-1))^(2^F355),0),D355+(E355-D355)*(1+G355)*((2-1)/(MaxLevel-1))^(2^F355)))</f>
        <v>302.22222222222223</v>
      </c>
      <c r="J355" s="12">
        <f>IF(OR(D355="",E355=""),"",IF(IFERROR(INDEX(Stats!$D:$D,MATCH($C355,Stats!$A:$A,0)),FALSE),ROUND(D355+(E355-D355)*(1+G355)*((3-1)/(MaxLevel-1))^(2^F355),0),D355+(E355-D355)*(1+G355)*((3-1)/(MaxLevel-1))^(2^F355)))</f>
        <v>304.44444444444446</v>
      </c>
      <c r="K355" s="12">
        <f>IF(OR(D355="",E355=""),"",IF(IFERROR(INDEX(Stats!$D:$D,MATCH($C355,Stats!$A:$A,0)),FALSE),ROUND(D355+(E355-D355)*(1+G355)*((4-1)/(MaxLevel-1))^(2^F355),0),D355+(E355-D355)*(1+G355)*((4-1)/(MaxLevel-1))^(2^F355)))</f>
        <v>306.66666666666669</v>
      </c>
      <c r="L355" s="12">
        <f>IF(OR(D355="",E355=""),"",IF(IFERROR(INDEX(Stats!$D:$D,MATCH($C355,Stats!$A:$A,0)),FALSE),ROUND(D355+(E355-D355)*(1+G355)*((5-1)/(MaxLevel-1))^(2^F355),0),D355+(E355-D355)*(1+G355)*((5-1)/(MaxLevel-1))^(2^F355)))</f>
        <v>308.88888888888891</v>
      </c>
      <c r="M355" s="12">
        <f>IF(OR(D355="",E355=""),"",IF(IFERROR(INDEX(Stats!$D:$D,MATCH($C355,Stats!$A:$A,0)),FALSE),ROUND(D355+(E355-D355)*(1+G355)*((6-1)/(MaxLevel-1))^(2^F355),0),D355+(E355-D355)*(1+G355)*((6-1)/(MaxLevel-1))^(2^F355)))</f>
        <v>311.11111111111109</v>
      </c>
      <c r="N355" s="12">
        <f>IF(OR(D355="",E355=""),"",IF(IFERROR(INDEX(Stats!$D:$D,MATCH($C355,Stats!$A:$A,0)),FALSE),ROUND(D355+(E355-D355)*(1+G355)*((7-1)/(MaxLevel-1))^(2^F355),0),D355+(E355-D355)*(1+G355)*((7-1)/(MaxLevel-1))^(2^F355)))</f>
        <v>313.33333333333331</v>
      </c>
      <c r="O355" s="12">
        <f>IF(OR(D355="",E355=""),"",IF(IFERROR(INDEX(Stats!$D:$D,MATCH($C355,Stats!$A:$A,0)),FALSE),ROUND(D355+(E355-D355)*(1+G355)*((8-1)/(MaxLevel-1))^(2^F355),0),D355+(E355-D355)*(1+G355)*((8-1)/(MaxLevel-1))^(2^F355)))</f>
        <v>315.55555555555554</v>
      </c>
      <c r="P355" s="12">
        <f>IF(OR(D355="",E355=""),"",IF(IFERROR(INDEX(Stats!$D:$D,MATCH($C355,Stats!$A:$A,0)),FALSE),ROUND(D355+(E355-D355)*(1+G355)*((9-1)/(MaxLevel-1))^(2^F355),0),D355+(E355-D355)*(1+G355)*((9-1)/(MaxLevel-1))^(2^F355)))</f>
        <v>317.77777777777777</v>
      </c>
      <c r="Q355" s="12">
        <f>IF(OR(D355="",E355=""),"",IF(IFERROR(INDEX(Stats!$D:$D,MATCH($C355,Stats!$A:$A,0)),FALSE),ROUND(D355+(E355-D355)*(1+G355)*((10-1)/(MaxLevel-1))^(2^F355),0),D355+(E355-D355)*(1+G355)*((10-1)/(MaxLevel-1))^(2^F355)))</f>
        <v>320</v>
      </c>
    </row>
    <row r="356" spans="1:17" x14ac:dyDescent="0.25">
      <c r="A356" s="4" t="s">
        <v>185</v>
      </c>
      <c r="B356" s="19" t="s">
        <v>233</v>
      </c>
      <c r="C356" s="4" t="s">
        <v>48</v>
      </c>
      <c r="D356" s="5"/>
      <c r="E356" s="5"/>
      <c r="F356" s="5"/>
      <c r="G356" s="5"/>
      <c r="H356" s="12" t="str">
        <f>IF(OR(D356="",E356=""),"",IF(IFERROR(INDEX(Stats!$D:$D,MATCH($C356,Stats!$A:$A,0)),FALSE),ROUND(D356+(E356-D356)*(1+G356)*((1-1)/(MaxLevel-1))^(2^F356),0),D356+(E356-D356)*(1+G356)*((1-1)/(MaxLevel-1))^(2^F356)))</f>
        <v/>
      </c>
      <c r="I356" s="12" t="str">
        <f>IF(OR(D356="",E356=""),"",IF(IFERROR(INDEX(Stats!$D:$D,MATCH($C356,Stats!$A:$A,0)),FALSE),ROUND(D356+(E356-D356)*(1+G356)*((2-1)/(MaxLevel-1))^(2^F356),0),D356+(E356-D356)*(1+G356)*((2-1)/(MaxLevel-1))^(2^F356)))</f>
        <v/>
      </c>
      <c r="J356" s="12" t="str">
        <f>IF(OR(D356="",E356=""),"",IF(IFERROR(INDEX(Stats!$D:$D,MATCH($C356,Stats!$A:$A,0)),FALSE),ROUND(D356+(E356-D356)*(1+G356)*((3-1)/(MaxLevel-1))^(2^F356),0),D356+(E356-D356)*(1+G356)*((3-1)/(MaxLevel-1))^(2^F356)))</f>
        <v/>
      </c>
      <c r="K356" s="12" t="str">
        <f>IF(OR(D356="",E356=""),"",IF(IFERROR(INDEX(Stats!$D:$D,MATCH($C356,Stats!$A:$A,0)),FALSE),ROUND(D356+(E356-D356)*(1+G356)*((4-1)/(MaxLevel-1))^(2^F356),0),D356+(E356-D356)*(1+G356)*((4-1)/(MaxLevel-1))^(2^F356)))</f>
        <v/>
      </c>
      <c r="L356" s="12" t="str">
        <f>IF(OR(D356="",E356=""),"",IF(IFERROR(INDEX(Stats!$D:$D,MATCH($C356,Stats!$A:$A,0)),FALSE),ROUND(D356+(E356-D356)*(1+G356)*((5-1)/(MaxLevel-1))^(2^F356),0),D356+(E356-D356)*(1+G356)*((5-1)/(MaxLevel-1))^(2^F356)))</f>
        <v/>
      </c>
      <c r="M356" s="12" t="str">
        <f>IF(OR(D356="",E356=""),"",IF(IFERROR(INDEX(Stats!$D:$D,MATCH($C356,Stats!$A:$A,0)),FALSE),ROUND(D356+(E356-D356)*(1+G356)*((6-1)/(MaxLevel-1))^(2^F356),0),D356+(E356-D356)*(1+G356)*((6-1)/(MaxLevel-1))^(2^F356)))</f>
        <v/>
      </c>
      <c r="N356" s="12" t="str">
        <f>IF(OR(D356="",E356=""),"",IF(IFERROR(INDEX(Stats!$D:$D,MATCH($C356,Stats!$A:$A,0)),FALSE),ROUND(D356+(E356-D356)*(1+G356)*((7-1)/(MaxLevel-1))^(2^F356),0),D356+(E356-D356)*(1+G356)*((7-1)/(MaxLevel-1))^(2^F356)))</f>
        <v/>
      </c>
      <c r="O356" s="12" t="str">
        <f>IF(OR(D356="",E356=""),"",IF(IFERROR(INDEX(Stats!$D:$D,MATCH($C356,Stats!$A:$A,0)),FALSE),ROUND(D356+(E356-D356)*(1+G356)*((8-1)/(MaxLevel-1))^(2^F356),0),D356+(E356-D356)*(1+G356)*((8-1)/(MaxLevel-1))^(2^F356)))</f>
        <v/>
      </c>
      <c r="P356" s="12" t="str">
        <f>IF(OR(D356="",E356=""),"",IF(IFERROR(INDEX(Stats!$D:$D,MATCH($C356,Stats!$A:$A,0)),FALSE),ROUND(D356+(E356-D356)*(1+G356)*((9-1)/(MaxLevel-1))^(2^F356),0),D356+(E356-D356)*(1+G356)*((9-1)/(MaxLevel-1))^(2^F356)))</f>
        <v/>
      </c>
      <c r="Q356" s="12" t="str">
        <f>IF(OR(D356="",E356=""),"",IF(IFERROR(INDEX(Stats!$D:$D,MATCH($C356,Stats!$A:$A,0)),FALSE),ROUND(D356+(E356-D356)*(1+G356)*((10-1)/(MaxLevel-1))^(2^F356),0),D356+(E356-D356)*(1+G356)*((10-1)/(MaxLevel-1))^(2^F356)))</f>
        <v/>
      </c>
    </row>
    <row r="357" spans="1:17" x14ac:dyDescent="0.25">
      <c r="A357" s="4" t="s">
        <v>185</v>
      </c>
      <c r="B357" s="19" t="s">
        <v>233</v>
      </c>
      <c r="C357" s="4" t="s">
        <v>50</v>
      </c>
      <c r="D357" s="5"/>
      <c r="E357" s="5"/>
      <c r="F357" s="5"/>
      <c r="G357" s="5"/>
      <c r="H357" s="12" t="str">
        <f>IF(OR(D357="",E357=""),"",IF(IFERROR(INDEX(Stats!$D:$D,MATCH($C357,Stats!$A:$A,0)),FALSE),ROUND(D357+(E357-D357)*(1+G357)*((1-1)/(MaxLevel-1))^(2^F357),0),D357+(E357-D357)*(1+G357)*((1-1)/(MaxLevel-1))^(2^F357)))</f>
        <v/>
      </c>
      <c r="I357" s="12" t="str">
        <f>IF(OR(D357="",E357=""),"",IF(IFERROR(INDEX(Stats!$D:$D,MATCH($C357,Stats!$A:$A,0)),FALSE),ROUND(D357+(E357-D357)*(1+G357)*((2-1)/(MaxLevel-1))^(2^F357),0),D357+(E357-D357)*(1+G357)*((2-1)/(MaxLevel-1))^(2^F357)))</f>
        <v/>
      </c>
      <c r="J357" s="12" t="str">
        <f>IF(OR(D357="",E357=""),"",IF(IFERROR(INDEX(Stats!$D:$D,MATCH($C357,Stats!$A:$A,0)),FALSE),ROUND(D357+(E357-D357)*(1+G357)*((3-1)/(MaxLevel-1))^(2^F357),0),D357+(E357-D357)*(1+G357)*((3-1)/(MaxLevel-1))^(2^F357)))</f>
        <v/>
      </c>
      <c r="K357" s="12" t="str">
        <f>IF(OR(D357="",E357=""),"",IF(IFERROR(INDEX(Stats!$D:$D,MATCH($C357,Stats!$A:$A,0)),FALSE),ROUND(D357+(E357-D357)*(1+G357)*((4-1)/(MaxLevel-1))^(2^F357),0),D357+(E357-D357)*(1+G357)*((4-1)/(MaxLevel-1))^(2^F357)))</f>
        <v/>
      </c>
      <c r="L357" s="12" t="str">
        <f>IF(OR(D357="",E357=""),"",IF(IFERROR(INDEX(Stats!$D:$D,MATCH($C357,Stats!$A:$A,0)),FALSE),ROUND(D357+(E357-D357)*(1+G357)*((5-1)/(MaxLevel-1))^(2^F357),0),D357+(E357-D357)*(1+G357)*((5-1)/(MaxLevel-1))^(2^F357)))</f>
        <v/>
      </c>
      <c r="M357" s="12" t="str">
        <f>IF(OR(D357="",E357=""),"",IF(IFERROR(INDEX(Stats!$D:$D,MATCH($C357,Stats!$A:$A,0)),FALSE),ROUND(D357+(E357-D357)*(1+G357)*((6-1)/(MaxLevel-1))^(2^F357),0),D357+(E357-D357)*(1+G357)*((6-1)/(MaxLevel-1))^(2^F357)))</f>
        <v/>
      </c>
      <c r="N357" s="12" t="str">
        <f>IF(OR(D357="",E357=""),"",IF(IFERROR(INDEX(Stats!$D:$D,MATCH($C357,Stats!$A:$A,0)),FALSE),ROUND(D357+(E357-D357)*(1+G357)*((7-1)/(MaxLevel-1))^(2^F357),0),D357+(E357-D357)*(1+G357)*((7-1)/(MaxLevel-1))^(2^F357)))</f>
        <v/>
      </c>
      <c r="O357" s="12" t="str">
        <f>IF(OR(D357="",E357=""),"",IF(IFERROR(INDEX(Stats!$D:$D,MATCH($C357,Stats!$A:$A,0)),FALSE),ROUND(D357+(E357-D357)*(1+G357)*((8-1)/(MaxLevel-1))^(2^F357),0),D357+(E357-D357)*(1+G357)*((8-1)/(MaxLevel-1))^(2^F357)))</f>
        <v/>
      </c>
      <c r="P357" s="12" t="str">
        <f>IF(OR(D357="",E357=""),"",IF(IFERROR(INDEX(Stats!$D:$D,MATCH($C357,Stats!$A:$A,0)),FALSE),ROUND(D357+(E357-D357)*(1+G357)*((9-1)/(MaxLevel-1))^(2^F357),0),D357+(E357-D357)*(1+G357)*((9-1)/(MaxLevel-1))^(2^F357)))</f>
        <v/>
      </c>
      <c r="Q357" s="12" t="str">
        <f>IF(OR(D357="",E357=""),"",IF(IFERROR(INDEX(Stats!$D:$D,MATCH($C357,Stats!$A:$A,0)),FALSE),ROUND(D357+(E357-D357)*(1+G357)*((10-1)/(MaxLevel-1))^(2^F357),0),D357+(E357-D357)*(1+G357)*((10-1)/(MaxLevel-1))^(2^F357)))</f>
        <v/>
      </c>
    </row>
    <row r="358" spans="1:17" x14ac:dyDescent="0.25">
      <c r="A358" s="4" t="s">
        <v>185</v>
      </c>
      <c r="B358" s="19" t="s">
        <v>233</v>
      </c>
      <c r="C358" s="4" t="s">
        <v>52</v>
      </c>
      <c r="D358" s="5"/>
      <c r="E358" s="5"/>
      <c r="F358" s="5"/>
      <c r="G358" s="5"/>
      <c r="H358" s="12" t="str">
        <f>IF(OR(D358="",E358=""),"",IF(IFERROR(INDEX(Stats!$D:$D,MATCH($C358,Stats!$A:$A,0)),FALSE),ROUND(D358+(E358-D358)*(1+G358)*((1-1)/(MaxLevel-1))^(2^F358),0),D358+(E358-D358)*(1+G358)*((1-1)/(MaxLevel-1))^(2^F358)))</f>
        <v/>
      </c>
      <c r="I358" s="12" t="str">
        <f>IF(OR(D358="",E358=""),"",IF(IFERROR(INDEX(Stats!$D:$D,MATCH($C358,Stats!$A:$A,0)),FALSE),ROUND(D358+(E358-D358)*(1+G358)*((2-1)/(MaxLevel-1))^(2^F358),0),D358+(E358-D358)*(1+G358)*((2-1)/(MaxLevel-1))^(2^F358)))</f>
        <v/>
      </c>
      <c r="J358" s="12" t="str">
        <f>IF(OR(D358="",E358=""),"",IF(IFERROR(INDEX(Stats!$D:$D,MATCH($C358,Stats!$A:$A,0)),FALSE),ROUND(D358+(E358-D358)*(1+G358)*((3-1)/(MaxLevel-1))^(2^F358),0),D358+(E358-D358)*(1+G358)*((3-1)/(MaxLevel-1))^(2^F358)))</f>
        <v/>
      </c>
      <c r="K358" s="12" t="str">
        <f>IF(OR(D358="",E358=""),"",IF(IFERROR(INDEX(Stats!$D:$D,MATCH($C358,Stats!$A:$A,0)),FALSE),ROUND(D358+(E358-D358)*(1+G358)*((4-1)/(MaxLevel-1))^(2^F358),0),D358+(E358-D358)*(1+G358)*((4-1)/(MaxLevel-1))^(2^F358)))</f>
        <v/>
      </c>
      <c r="L358" s="12" t="str">
        <f>IF(OR(D358="",E358=""),"",IF(IFERROR(INDEX(Stats!$D:$D,MATCH($C358,Stats!$A:$A,0)),FALSE),ROUND(D358+(E358-D358)*(1+G358)*((5-1)/(MaxLevel-1))^(2^F358),0),D358+(E358-D358)*(1+G358)*((5-1)/(MaxLevel-1))^(2^F358)))</f>
        <v/>
      </c>
      <c r="M358" s="12" t="str">
        <f>IF(OR(D358="",E358=""),"",IF(IFERROR(INDEX(Stats!$D:$D,MATCH($C358,Stats!$A:$A,0)),FALSE),ROUND(D358+(E358-D358)*(1+G358)*((6-1)/(MaxLevel-1))^(2^F358),0),D358+(E358-D358)*(1+G358)*((6-1)/(MaxLevel-1))^(2^F358)))</f>
        <v/>
      </c>
      <c r="N358" s="12" t="str">
        <f>IF(OR(D358="",E358=""),"",IF(IFERROR(INDEX(Stats!$D:$D,MATCH($C358,Stats!$A:$A,0)),FALSE),ROUND(D358+(E358-D358)*(1+G358)*((7-1)/(MaxLevel-1))^(2^F358),0),D358+(E358-D358)*(1+G358)*((7-1)/(MaxLevel-1))^(2^F358)))</f>
        <v/>
      </c>
      <c r="O358" s="12" t="str">
        <f>IF(OR(D358="",E358=""),"",IF(IFERROR(INDEX(Stats!$D:$D,MATCH($C358,Stats!$A:$A,0)),FALSE),ROUND(D358+(E358-D358)*(1+G358)*((8-1)/(MaxLevel-1))^(2^F358),0),D358+(E358-D358)*(1+G358)*((8-1)/(MaxLevel-1))^(2^F358)))</f>
        <v/>
      </c>
      <c r="P358" s="12" t="str">
        <f>IF(OR(D358="",E358=""),"",IF(IFERROR(INDEX(Stats!$D:$D,MATCH($C358,Stats!$A:$A,0)),FALSE),ROUND(D358+(E358-D358)*(1+G358)*((9-1)/(MaxLevel-1))^(2^F358),0),D358+(E358-D358)*(1+G358)*((9-1)/(MaxLevel-1))^(2^F358)))</f>
        <v/>
      </c>
      <c r="Q358" s="12" t="str">
        <f>IF(OR(D358="",E358=""),"",IF(IFERROR(INDEX(Stats!$D:$D,MATCH($C358,Stats!$A:$A,0)),FALSE),ROUND(D358+(E358-D358)*(1+G358)*((10-1)/(MaxLevel-1))^(2^F358),0),D358+(E358-D358)*(1+G358)*((10-1)/(MaxLevel-1))^(2^F358)))</f>
        <v/>
      </c>
    </row>
    <row r="359" spans="1:17" x14ac:dyDescent="0.25">
      <c r="A359" s="4" t="s">
        <v>185</v>
      </c>
      <c r="B359" s="19" t="s">
        <v>233</v>
      </c>
      <c r="C359" s="4" t="s">
        <v>54</v>
      </c>
      <c r="D359" s="5"/>
      <c r="E359" s="5"/>
      <c r="F359" s="5"/>
      <c r="G359" s="5"/>
      <c r="H359" s="12" t="str">
        <f>IF(OR(D359="",E359=""),"",IF(IFERROR(INDEX(Stats!$D:$D,MATCH($C359,Stats!$A:$A,0)),FALSE),ROUND(D359+(E359-D359)*(1+G359)*((1-1)/(MaxLevel-1))^(2^F359),0),D359+(E359-D359)*(1+G359)*((1-1)/(MaxLevel-1))^(2^F359)))</f>
        <v/>
      </c>
      <c r="I359" s="12" t="str">
        <f>IF(OR(D359="",E359=""),"",IF(IFERROR(INDEX(Stats!$D:$D,MATCH($C359,Stats!$A:$A,0)),FALSE),ROUND(D359+(E359-D359)*(1+G359)*((2-1)/(MaxLevel-1))^(2^F359),0),D359+(E359-D359)*(1+G359)*((2-1)/(MaxLevel-1))^(2^F359)))</f>
        <v/>
      </c>
      <c r="J359" s="12" t="str">
        <f>IF(OR(D359="",E359=""),"",IF(IFERROR(INDEX(Stats!$D:$D,MATCH($C359,Stats!$A:$A,0)),FALSE),ROUND(D359+(E359-D359)*(1+G359)*((3-1)/(MaxLevel-1))^(2^F359),0),D359+(E359-D359)*(1+G359)*((3-1)/(MaxLevel-1))^(2^F359)))</f>
        <v/>
      </c>
      <c r="K359" s="12" t="str">
        <f>IF(OR(D359="",E359=""),"",IF(IFERROR(INDEX(Stats!$D:$D,MATCH($C359,Stats!$A:$A,0)),FALSE),ROUND(D359+(E359-D359)*(1+G359)*((4-1)/(MaxLevel-1))^(2^F359),0),D359+(E359-D359)*(1+G359)*((4-1)/(MaxLevel-1))^(2^F359)))</f>
        <v/>
      </c>
      <c r="L359" s="12" t="str">
        <f>IF(OR(D359="",E359=""),"",IF(IFERROR(INDEX(Stats!$D:$D,MATCH($C359,Stats!$A:$A,0)),FALSE),ROUND(D359+(E359-D359)*(1+G359)*((5-1)/(MaxLevel-1))^(2^F359),0),D359+(E359-D359)*(1+G359)*((5-1)/(MaxLevel-1))^(2^F359)))</f>
        <v/>
      </c>
      <c r="M359" s="12" t="str">
        <f>IF(OR(D359="",E359=""),"",IF(IFERROR(INDEX(Stats!$D:$D,MATCH($C359,Stats!$A:$A,0)),FALSE),ROUND(D359+(E359-D359)*(1+G359)*((6-1)/(MaxLevel-1))^(2^F359),0),D359+(E359-D359)*(1+G359)*((6-1)/(MaxLevel-1))^(2^F359)))</f>
        <v/>
      </c>
      <c r="N359" s="12" t="str">
        <f>IF(OR(D359="",E359=""),"",IF(IFERROR(INDEX(Stats!$D:$D,MATCH($C359,Stats!$A:$A,0)),FALSE),ROUND(D359+(E359-D359)*(1+G359)*((7-1)/(MaxLevel-1))^(2^F359),0),D359+(E359-D359)*(1+G359)*((7-1)/(MaxLevel-1))^(2^F359)))</f>
        <v/>
      </c>
      <c r="O359" s="12" t="str">
        <f>IF(OR(D359="",E359=""),"",IF(IFERROR(INDEX(Stats!$D:$D,MATCH($C359,Stats!$A:$A,0)),FALSE),ROUND(D359+(E359-D359)*(1+G359)*((8-1)/(MaxLevel-1))^(2^F359),0),D359+(E359-D359)*(1+G359)*((8-1)/(MaxLevel-1))^(2^F359)))</f>
        <v/>
      </c>
      <c r="P359" s="12" t="str">
        <f>IF(OR(D359="",E359=""),"",IF(IFERROR(INDEX(Stats!$D:$D,MATCH($C359,Stats!$A:$A,0)),FALSE),ROUND(D359+(E359-D359)*(1+G359)*((9-1)/(MaxLevel-1))^(2^F359),0),D359+(E359-D359)*(1+G359)*((9-1)/(MaxLevel-1))^(2^F359)))</f>
        <v/>
      </c>
      <c r="Q359" s="12" t="str">
        <f>IF(OR(D359="",E359=""),"",IF(IFERROR(INDEX(Stats!$D:$D,MATCH($C359,Stats!$A:$A,0)),FALSE),ROUND(D359+(E359-D359)*(1+G359)*((10-1)/(MaxLevel-1))^(2^F359),0),D359+(E359-D359)*(1+G359)*((10-1)/(MaxLevel-1))^(2^F359)))</f>
        <v/>
      </c>
    </row>
    <row r="360" spans="1:17" x14ac:dyDescent="0.25">
      <c r="A360" s="4" t="s">
        <v>185</v>
      </c>
      <c r="B360" s="19" t="s">
        <v>233</v>
      </c>
      <c r="C360" s="4" t="s">
        <v>56</v>
      </c>
      <c r="D360" s="5"/>
      <c r="E360" s="5"/>
      <c r="F360" s="5"/>
      <c r="G360" s="5"/>
      <c r="H360" s="12" t="str">
        <f>IF(OR(D360="",E360=""),"",IF(IFERROR(INDEX(Stats!$D:$D,MATCH($C360,Stats!$A:$A,0)),FALSE),ROUND(D360+(E360-D360)*(1+G360)*((1-1)/(MaxLevel-1))^(2^F360),0),D360+(E360-D360)*(1+G360)*((1-1)/(MaxLevel-1))^(2^F360)))</f>
        <v/>
      </c>
      <c r="I360" s="12" t="str">
        <f>IF(OR(D360="",E360=""),"",IF(IFERROR(INDEX(Stats!$D:$D,MATCH($C360,Stats!$A:$A,0)),FALSE),ROUND(D360+(E360-D360)*(1+G360)*((2-1)/(MaxLevel-1))^(2^F360),0),D360+(E360-D360)*(1+G360)*((2-1)/(MaxLevel-1))^(2^F360)))</f>
        <v/>
      </c>
      <c r="J360" s="12" t="str">
        <f>IF(OR(D360="",E360=""),"",IF(IFERROR(INDEX(Stats!$D:$D,MATCH($C360,Stats!$A:$A,0)),FALSE),ROUND(D360+(E360-D360)*(1+G360)*((3-1)/(MaxLevel-1))^(2^F360),0),D360+(E360-D360)*(1+G360)*((3-1)/(MaxLevel-1))^(2^F360)))</f>
        <v/>
      </c>
      <c r="K360" s="12" t="str">
        <f>IF(OR(D360="",E360=""),"",IF(IFERROR(INDEX(Stats!$D:$D,MATCH($C360,Stats!$A:$A,0)),FALSE),ROUND(D360+(E360-D360)*(1+G360)*((4-1)/(MaxLevel-1))^(2^F360),0),D360+(E360-D360)*(1+G360)*((4-1)/(MaxLevel-1))^(2^F360)))</f>
        <v/>
      </c>
      <c r="L360" s="12" t="str">
        <f>IF(OR(D360="",E360=""),"",IF(IFERROR(INDEX(Stats!$D:$D,MATCH($C360,Stats!$A:$A,0)),FALSE),ROUND(D360+(E360-D360)*(1+G360)*((5-1)/(MaxLevel-1))^(2^F360),0),D360+(E360-D360)*(1+G360)*((5-1)/(MaxLevel-1))^(2^F360)))</f>
        <v/>
      </c>
      <c r="M360" s="12" t="str">
        <f>IF(OR(D360="",E360=""),"",IF(IFERROR(INDEX(Stats!$D:$D,MATCH($C360,Stats!$A:$A,0)),FALSE),ROUND(D360+(E360-D360)*(1+G360)*((6-1)/(MaxLevel-1))^(2^F360),0),D360+(E360-D360)*(1+G360)*((6-1)/(MaxLevel-1))^(2^F360)))</f>
        <v/>
      </c>
      <c r="N360" s="12" t="str">
        <f>IF(OR(D360="",E360=""),"",IF(IFERROR(INDEX(Stats!$D:$D,MATCH($C360,Stats!$A:$A,0)),FALSE),ROUND(D360+(E360-D360)*(1+G360)*((7-1)/(MaxLevel-1))^(2^F360),0),D360+(E360-D360)*(1+G360)*((7-1)/(MaxLevel-1))^(2^F360)))</f>
        <v/>
      </c>
      <c r="O360" s="12" t="str">
        <f>IF(OR(D360="",E360=""),"",IF(IFERROR(INDEX(Stats!$D:$D,MATCH($C360,Stats!$A:$A,0)),FALSE),ROUND(D360+(E360-D360)*(1+G360)*((8-1)/(MaxLevel-1))^(2^F360),0),D360+(E360-D360)*(1+G360)*((8-1)/(MaxLevel-1))^(2^F360)))</f>
        <v/>
      </c>
      <c r="P360" s="12" t="str">
        <f>IF(OR(D360="",E360=""),"",IF(IFERROR(INDEX(Stats!$D:$D,MATCH($C360,Stats!$A:$A,0)),FALSE),ROUND(D360+(E360-D360)*(1+G360)*((9-1)/(MaxLevel-1))^(2^F360),0),D360+(E360-D360)*(1+G360)*((9-1)/(MaxLevel-1))^(2^F360)))</f>
        <v/>
      </c>
      <c r="Q360" s="12" t="str">
        <f>IF(OR(D360="",E360=""),"",IF(IFERROR(INDEX(Stats!$D:$D,MATCH($C360,Stats!$A:$A,0)),FALSE),ROUND(D360+(E360-D360)*(1+G360)*((10-1)/(MaxLevel-1))^(2^F360),0),D360+(E360-D360)*(1+G360)*((10-1)/(MaxLevel-1))^(2^F360)))</f>
        <v/>
      </c>
    </row>
    <row r="361" spans="1:17" x14ac:dyDescent="0.25">
      <c r="A361" s="4" t="s">
        <v>185</v>
      </c>
      <c r="B361" s="19" t="s">
        <v>233</v>
      </c>
      <c r="C361" s="4" t="s">
        <v>58</v>
      </c>
      <c r="D361" s="5"/>
      <c r="E361" s="5"/>
      <c r="F361" s="5"/>
      <c r="G361" s="5"/>
      <c r="H361" s="12" t="str">
        <f>IF(OR(D361="",E361=""),"",IF(IFERROR(INDEX(Stats!$D:$D,MATCH($C361,Stats!$A:$A,0)),FALSE),ROUND(D361+(E361-D361)*(1+G361)*((1-1)/(MaxLevel-1))^(2^F361),0),D361+(E361-D361)*(1+G361)*((1-1)/(MaxLevel-1))^(2^F361)))</f>
        <v/>
      </c>
      <c r="I361" s="12" t="str">
        <f>IF(OR(D361="",E361=""),"",IF(IFERROR(INDEX(Stats!$D:$D,MATCH($C361,Stats!$A:$A,0)),FALSE),ROUND(D361+(E361-D361)*(1+G361)*((2-1)/(MaxLevel-1))^(2^F361),0),D361+(E361-D361)*(1+G361)*((2-1)/(MaxLevel-1))^(2^F361)))</f>
        <v/>
      </c>
      <c r="J361" s="12" t="str">
        <f>IF(OR(D361="",E361=""),"",IF(IFERROR(INDEX(Stats!$D:$D,MATCH($C361,Stats!$A:$A,0)),FALSE),ROUND(D361+(E361-D361)*(1+G361)*((3-1)/(MaxLevel-1))^(2^F361),0),D361+(E361-D361)*(1+G361)*((3-1)/(MaxLevel-1))^(2^F361)))</f>
        <v/>
      </c>
      <c r="K361" s="12" t="str">
        <f>IF(OR(D361="",E361=""),"",IF(IFERROR(INDEX(Stats!$D:$D,MATCH($C361,Stats!$A:$A,0)),FALSE),ROUND(D361+(E361-D361)*(1+G361)*((4-1)/(MaxLevel-1))^(2^F361),0),D361+(E361-D361)*(1+G361)*((4-1)/(MaxLevel-1))^(2^F361)))</f>
        <v/>
      </c>
      <c r="L361" s="12" t="str">
        <f>IF(OR(D361="",E361=""),"",IF(IFERROR(INDEX(Stats!$D:$D,MATCH($C361,Stats!$A:$A,0)),FALSE),ROUND(D361+(E361-D361)*(1+G361)*((5-1)/(MaxLevel-1))^(2^F361),0),D361+(E361-D361)*(1+G361)*((5-1)/(MaxLevel-1))^(2^F361)))</f>
        <v/>
      </c>
      <c r="M361" s="12" t="str">
        <f>IF(OR(D361="",E361=""),"",IF(IFERROR(INDEX(Stats!$D:$D,MATCH($C361,Stats!$A:$A,0)),FALSE),ROUND(D361+(E361-D361)*(1+G361)*((6-1)/(MaxLevel-1))^(2^F361),0),D361+(E361-D361)*(1+G361)*((6-1)/(MaxLevel-1))^(2^F361)))</f>
        <v/>
      </c>
      <c r="N361" s="12" t="str">
        <f>IF(OR(D361="",E361=""),"",IF(IFERROR(INDEX(Stats!$D:$D,MATCH($C361,Stats!$A:$A,0)),FALSE),ROUND(D361+(E361-D361)*(1+G361)*((7-1)/(MaxLevel-1))^(2^F361),0),D361+(E361-D361)*(1+G361)*((7-1)/(MaxLevel-1))^(2^F361)))</f>
        <v/>
      </c>
      <c r="O361" s="12" t="str">
        <f>IF(OR(D361="",E361=""),"",IF(IFERROR(INDEX(Stats!$D:$D,MATCH($C361,Stats!$A:$A,0)),FALSE),ROUND(D361+(E361-D361)*(1+G361)*((8-1)/(MaxLevel-1))^(2^F361),0),D361+(E361-D361)*(1+G361)*((8-1)/(MaxLevel-1))^(2^F361)))</f>
        <v/>
      </c>
      <c r="P361" s="12" t="str">
        <f>IF(OR(D361="",E361=""),"",IF(IFERROR(INDEX(Stats!$D:$D,MATCH($C361,Stats!$A:$A,0)),FALSE),ROUND(D361+(E361-D361)*(1+G361)*((9-1)/(MaxLevel-1))^(2^F361),0),D361+(E361-D361)*(1+G361)*((9-1)/(MaxLevel-1))^(2^F361)))</f>
        <v/>
      </c>
      <c r="Q361" s="12" t="str">
        <f>IF(OR(D361="",E361=""),"",IF(IFERROR(INDEX(Stats!$D:$D,MATCH($C361,Stats!$A:$A,0)),FALSE),ROUND(D361+(E361-D361)*(1+G361)*((10-1)/(MaxLevel-1))^(2^F361),0),D361+(E361-D361)*(1+G361)*((10-1)/(MaxLevel-1))^(2^F361)))</f>
        <v/>
      </c>
    </row>
    <row r="362" spans="1:17" x14ac:dyDescent="0.25">
      <c r="A362" s="4" t="s">
        <v>185</v>
      </c>
      <c r="B362" s="19" t="s">
        <v>233</v>
      </c>
      <c r="C362" s="4" t="s">
        <v>60</v>
      </c>
      <c r="D362" s="5"/>
      <c r="E362" s="5"/>
      <c r="F362" s="5"/>
      <c r="G362" s="5"/>
      <c r="H362" s="12" t="str">
        <f>IF(OR(D362="",E362=""),"",IF(IFERROR(INDEX(Stats!$D:$D,MATCH($C362,Stats!$A:$A,0)),FALSE),ROUND(D362+(E362-D362)*(1+G362)*((1-1)/(MaxLevel-1))^(2^F362),0),D362+(E362-D362)*(1+G362)*((1-1)/(MaxLevel-1))^(2^F362)))</f>
        <v/>
      </c>
      <c r="I362" s="12" t="str">
        <f>IF(OR(D362="",E362=""),"",IF(IFERROR(INDEX(Stats!$D:$D,MATCH($C362,Stats!$A:$A,0)),FALSE),ROUND(D362+(E362-D362)*(1+G362)*((2-1)/(MaxLevel-1))^(2^F362),0),D362+(E362-D362)*(1+G362)*((2-1)/(MaxLevel-1))^(2^F362)))</f>
        <v/>
      </c>
      <c r="J362" s="12" t="str">
        <f>IF(OR(D362="",E362=""),"",IF(IFERROR(INDEX(Stats!$D:$D,MATCH($C362,Stats!$A:$A,0)),FALSE),ROUND(D362+(E362-D362)*(1+G362)*((3-1)/(MaxLevel-1))^(2^F362),0),D362+(E362-D362)*(1+G362)*((3-1)/(MaxLevel-1))^(2^F362)))</f>
        <v/>
      </c>
      <c r="K362" s="12" t="str">
        <f>IF(OR(D362="",E362=""),"",IF(IFERROR(INDEX(Stats!$D:$D,MATCH($C362,Stats!$A:$A,0)),FALSE),ROUND(D362+(E362-D362)*(1+G362)*((4-1)/(MaxLevel-1))^(2^F362),0),D362+(E362-D362)*(1+G362)*((4-1)/(MaxLevel-1))^(2^F362)))</f>
        <v/>
      </c>
      <c r="L362" s="12" t="str">
        <f>IF(OR(D362="",E362=""),"",IF(IFERROR(INDEX(Stats!$D:$D,MATCH($C362,Stats!$A:$A,0)),FALSE),ROUND(D362+(E362-D362)*(1+G362)*((5-1)/(MaxLevel-1))^(2^F362),0),D362+(E362-D362)*(1+G362)*((5-1)/(MaxLevel-1))^(2^F362)))</f>
        <v/>
      </c>
      <c r="M362" s="12" t="str">
        <f>IF(OR(D362="",E362=""),"",IF(IFERROR(INDEX(Stats!$D:$D,MATCH($C362,Stats!$A:$A,0)),FALSE),ROUND(D362+(E362-D362)*(1+G362)*((6-1)/(MaxLevel-1))^(2^F362),0),D362+(E362-D362)*(1+G362)*((6-1)/(MaxLevel-1))^(2^F362)))</f>
        <v/>
      </c>
      <c r="N362" s="12" t="str">
        <f>IF(OR(D362="",E362=""),"",IF(IFERROR(INDEX(Stats!$D:$D,MATCH($C362,Stats!$A:$A,0)),FALSE),ROUND(D362+(E362-D362)*(1+G362)*((7-1)/(MaxLevel-1))^(2^F362),0),D362+(E362-D362)*(1+G362)*((7-1)/(MaxLevel-1))^(2^F362)))</f>
        <v/>
      </c>
      <c r="O362" s="12" t="str">
        <f>IF(OR(D362="",E362=""),"",IF(IFERROR(INDEX(Stats!$D:$D,MATCH($C362,Stats!$A:$A,0)),FALSE),ROUND(D362+(E362-D362)*(1+G362)*((8-1)/(MaxLevel-1))^(2^F362),0),D362+(E362-D362)*(1+G362)*((8-1)/(MaxLevel-1))^(2^F362)))</f>
        <v/>
      </c>
      <c r="P362" s="12" t="str">
        <f>IF(OR(D362="",E362=""),"",IF(IFERROR(INDEX(Stats!$D:$D,MATCH($C362,Stats!$A:$A,0)),FALSE),ROUND(D362+(E362-D362)*(1+G362)*((9-1)/(MaxLevel-1))^(2^F362),0),D362+(E362-D362)*(1+G362)*((9-1)/(MaxLevel-1))^(2^F362)))</f>
        <v/>
      </c>
      <c r="Q362" s="12" t="str">
        <f>IF(OR(D362="",E362=""),"",IF(IFERROR(INDEX(Stats!$D:$D,MATCH($C362,Stats!$A:$A,0)),FALSE),ROUND(D362+(E362-D362)*(1+G362)*((10-1)/(MaxLevel-1))^(2^F362),0),D362+(E362-D362)*(1+G362)*((10-1)/(MaxLevel-1))^(2^F362)))</f>
        <v/>
      </c>
    </row>
    <row r="363" spans="1:17" x14ac:dyDescent="0.25">
      <c r="A363" s="4" t="s">
        <v>185</v>
      </c>
      <c r="B363" s="19" t="s">
        <v>234</v>
      </c>
      <c r="C363" s="4" t="s">
        <v>24</v>
      </c>
      <c r="D363" s="5">
        <v>0</v>
      </c>
      <c r="E363" s="5">
        <v>10000</v>
      </c>
      <c r="F363" s="5">
        <v>1</v>
      </c>
      <c r="G363" s="5">
        <v>0</v>
      </c>
      <c r="H363" s="12">
        <f>IF(OR(D363="",E363=""),"",IF(IFERROR(INDEX(Stats!$D:$D,MATCH($C363,Stats!$A:$A,0)),FALSE),ROUND(D363+(E363-D363)*(1+G363)*((1-1)/(MaxLevel-1))^(2^F363),0),D363+(E363-D363)*(1+G363)*((1-1)/(MaxLevel-1))^(2^F363)))</f>
        <v>0</v>
      </c>
      <c r="I363" s="12">
        <f>IF(OR(D363="",E363=""),"",IF(IFERROR(INDEX(Stats!$D:$D,MATCH($C363,Stats!$A:$A,0)),FALSE),ROUND(D363+(E363-D363)*(1+G363)*((2-1)/(MaxLevel-1))^(2^F363),0),D363+(E363-D363)*(1+G363)*((2-1)/(MaxLevel-1))^(2^F363)))</f>
        <v>123</v>
      </c>
      <c r="J363" s="12">
        <f>IF(OR(D363="",E363=""),"",IF(IFERROR(INDEX(Stats!$D:$D,MATCH($C363,Stats!$A:$A,0)),FALSE),ROUND(D363+(E363-D363)*(1+G363)*((3-1)/(MaxLevel-1))^(2^F363),0),D363+(E363-D363)*(1+G363)*((3-1)/(MaxLevel-1))^(2^F363)))</f>
        <v>494</v>
      </c>
      <c r="K363" s="12">
        <f>IF(OR(D363="",E363=""),"",IF(IFERROR(INDEX(Stats!$D:$D,MATCH($C363,Stats!$A:$A,0)),FALSE),ROUND(D363+(E363-D363)*(1+G363)*((4-1)/(MaxLevel-1))^(2^F363),0),D363+(E363-D363)*(1+G363)*((4-1)/(MaxLevel-1))^(2^F363)))</f>
        <v>1111</v>
      </c>
      <c r="L363" s="12">
        <f>IF(OR(D363="",E363=""),"",IF(IFERROR(INDEX(Stats!$D:$D,MATCH($C363,Stats!$A:$A,0)),FALSE),ROUND(D363+(E363-D363)*(1+G363)*((5-1)/(MaxLevel-1))^(2^F363),0),D363+(E363-D363)*(1+G363)*((5-1)/(MaxLevel-1))^(2^F363)))</f>
        <v>1975</v>
      </c>
      <c r="M363" s="12">
        <f>IF(OR(D363="",E363=""),"",IF(IFERROR(INDEX(Stats!$D:$D,MATCH($C363,Stats!$A:$A,0)),FALSE),ROUND(D363+(E363-D363)*(1+G363)*((6-1)/(MaxLevel-1))^(2^F363),0),D363+(E363-D363)*(1+G363)*((6-1)/(MaxLevel-1))^(2^F363)))</f>
        <v>3086</v>
      </c>
      <c r="N363" s="12">
        <f>IF(OR(D363="",E363=""),"",IF(IFERROR(INDEX(Stats!$D:$D,MATCH($C363,Stats!$A:$A,0)),FALSE),ROUND(D363+(E363-D363)*(1+G363)*((7-1)/(MaxLevel-1))^(2^F363),0),D363+(E363-D363)*(1+G363)*((7-1)/(MaxLevel-1))^(2^F363)))</f>
        <v>4444</v>
      </c>
      <c r="O363" s="12">
        <f>IF(OR(D363="",E363=""),"",IF(IFERROR(INDEX(Stats!$D:$D,MATCH($C363,Stats!$A:$A,0)),FALSE),ROUND(D363+(E363-D363)*(1+G363)*((8-1)/(MaxLevel-1))^(2^F363),0),D363+(E363-D363)*(1+G363)*((8-1)/(MaxLevel-1))^(2^F363)))</f>
        <v>6049</v>
      </c>
      <c r="P363" s="12">
        <f>IF(OR(D363="",E363=""),"",IF(IFERROR(INDEX(Stats!$D:$D,MATCH($C363,Stats!$A:$A,0)),FALSE),ROUND(D363+(E363-D363)*(1+G363)*((9-1)/(MaxLevel-1))^(2^F363),0),D363+(E363-D363)*(1+G363)*((9-1)/(MaxLevel-1))^(2^F363)))</f>
        <v>7901</v>
      </c>
      <c r="Q363" s="12">
        <f>IF(OR(D363="",E363=""),"",IF(IFERROR(INDEX(Stats!$D:$D,MATCH($C363,Stats!$A:$A,0)),FALSE),ROUND(D363+(E363-D363)*(1+G363)*((10-1)/(MaxLevel-1))^(2^F363),0),D363+(E363-D363)*(1+G363)*((10-1)/(MaxLevel-1))^(2^F363)))</f>
        <v>10000</v>
      </c>
    </row>
    <row r="364" spans="1:17" x14ac:dyDescent="0.25">
      <c r="A364" s="4" t="s">
        <v>185</v>
      </c>
      <c r="B364" s="19" t="s">
        <v>234</v>
      </c>
      <c r="C364" s="4" t="s">
        <v>26</v>
      </c>
      <c r="D364" s="5">
        <v>25</v>
      </c>
      <c r="E364" s="5">
        <v>150</v>
      </c>
      <c r="F364" s="5">
        <v>0</v>
      </c>
      <c r="G364" s="5">
        <v>0</v>
      </c>
      <c r="H364" s="12">
        <f>IF(OR(D364="",E364=""),"",IF(IFERROR(INDEX(Stats!$D:$D,MATCH($C364,Stats!$A:$A,0)),FALSE),ROUND(D364+(E364-D364)*(1+G364)*((1-1)/(MaxLevel-1))^(2^F364),0),D364+(E364-D364)*(1+G364)*((1-1)/(MaxLevel-1))^(2^F364)))</f>
        <v>25</v>
      </c>
      <c r="I364" s="12">
        <f>IF(OR(D364="",E364=""),"",IF(IFERROR(INDEX(Stats!$D:$D,MATCH($C364,Stats!$A:$A,0)),FALSE),ROUND(D364+(E364-D364)*(1+G364)*((2-1)/(MaxLevel-1))^(2^F364),0),D364+(E364-D364)*(1+G364)*((2-1)/(MaxLevel-1))^(2^F364)))</f>
        <v>39</v>
      </c>
      <c r="J364" s="12">
        <f>IF(OR(D364="",E364=""),"",IF(IFERROR(INDEX(Stats!$D:$D,MATCH($C364,Stats!$A:$A,0)),FALSE),ROUND(D364+(E364-D364)*(1+G364)*((3-1)/(MaxLevel-1))^(2^F364),0),D364+(E364-D364)*(1+G364)*((3-1)/(MaxLevel-1))^(2^F364)))</f>
        <v>53</v>
      </c>
      <c r="K364" s="12">
        <f>IF(OR(D364="",E364=""),"",IF(IFERROR(INDEX(Stats!$D:$D,MATCH($C364,Stats!$A:$A,0)),FALSE),ROUND(D364+(E364-D364)*(1+G364)*((4-1)/(MaxLevel-1))^(2^F364),0),D364+(E364-D364)*(1+G364)*((4-1)/(MaxLevel-1))^(2^F364)))</f>
        <v>67</v>
      </c>
      <c r="L364" s="12">
        <f>IF(OR(D364="",E364=""),"",IF(IFERROR(INDEX(Stats!$D:$D,MATCH($C364,Stats!$A:$A,0)),FALSE),ROUND(D364+(E364-D364)*(1+G364)*((5-1)/(MaxLevel-1))^(2^F364),0),D364+(E364-D364)*(1+G364)*((5-1)/(MaxLevel-1))^(2^F364)))</f>
        <v>81</v>
      </c>
      <c r="M364" s="12">
        <f>IF(OR(D364="",E364=""),"",IF(IFERROR(INDEX(Stats!$D:$D,MATCH($C364,Stats!$A:$A,0)),FALSE),ROUND(D364+(E364-D364)*(1+G364)*((6-1)/(MaxLevel-1))^(2^F364),0),D364+(E364-D364)*(1+G364)*((6-1)/(MaxLevel-1))^(2^F364)))</f>
        <v>94</v>
      </c>
      <c r="N364" s="12">
        <f>IF(OR(D364="",E364=""),"",IF(IFERROR(INDEX(Stats!$D:$D,MATCH($C364,Stats!$A:$A,0)),FALSE),ROUND(D364+(E364-D364)*(1+G364)*((7-1)/(MaxLevel-1))^(2^F364),0),D364+(E364-D364)*(1+G364)*((7-1)/(MaxLevel-1))^(2^F364)))</f>
        <v>108</v>
      </c>
      <c r="O364" s="12">
        <f>IF(OR(D364="",E364=""),"",IF(IFERROR(INDEX(Stats!$D:$D,MATCH($C364,Stats!$A:$A,0)),FALSE),ROUND(D364+(E364-D364)*(1+G364)*((8-1)/(MaxLevel-1))^(2^F364),0),D364+(E364-D364)*(1+G364)*((8-1)/(MaxLevel-1))^(2^F364)))</f>
        <v>122</v>
      </c>
      <c r="P364" s="12">
        <f>IF(OR(D364="",E364=""),"",IF(IFERROR(INDEX(Stats!$D:$D,MATCH($C364,Stats!$A:$A,0)),FALSE),ROUND(D364+(E364-D364)*(1+G364)*((9-1)/(MaxLevel-1))^(2^F364),0),D364+(E364-D364)*(1+G364)*((9-1)/(MaxLevel-1))^(2^F364)))</f>
        <v>136</v>
      </c>
      <c r="Q364" s="12">
        <f>IF(OR(D364="",E364=""),"",IF(IFERROR(INDEX(Stats!$D:$D,MATCH($C364,Stats!$A:$A,0)),FALSE),ROUND(D364+(E364-D364)*(1+G364)*((10-1)/(MaxLevel-1))^(2^F364),0),D364+(E364-D364)*(1+G364)*((10-1)/(MaxLevel-1))^(2^F364)))</f>
        <v>150</v>
      </c>
    </row>
    <row r="365" spans="1:17" x14ac:dyDescent="0.25">
      <c r="A365" s="4" t="s">
        <v>185</v>
      </c>
      <c r="B365" s="19" t="s">
        <v>234</v>
      </c>
      <c r="C365" s="4" t="s">
        <v>28</v>
      </c>
      <c r="D365" s="5">
        <v>300</v>
      </c>
      <c r="E365" s="5">
        <v>1200</v>
      </c>
      <c r="F365" s="5">
        <v>0</v>
      </c>
      <c r="G365" s="5">
        <v>-0.1</v>
      </c>
      <c r="H365" s="12">
        <f>IF(OR(D365="",E365=""),"",IF(IFERROR(INDEX(Stats!$D:$D,MATCH($C365,Stats!$A:$A,0)),FALSE),ROUND(D365+(E365-D365)*(1+G365)*((1-1)/(MaxLevel-1))^(2^F365),0),D365+(E365-D365)*(1+G365)*((1-1)/(MaxLevel-1))^(2^F365)))</f>
        <v>300</v>
      </c>
      <c r="I365" s="12">
        <f>IF(OR(D365="",E365=""),"",IF(IFERROR(INDEX(Stats!$D:$D,MATCH($C365,Stats!$A:$A,0)),FALSE),ROUND(D365+(E365-D365)*(1+G365)*((2-1)/(MaxLevel-1))^(2^F365),0),D365+(E365-D365)*(1+G365)*((2-1)/(MaxLevel-1))^(2^F365)))</f>
        <v>390</v>
      </c>
      <c r="J365" s="12">
        <f>IF(OR(D365="",E365=""),"",IF(IFERROR(INDEX(Stats!$D:$D,MATCH($C365,Stats!$A:$A,0)),FALSE),ROUND(D365+(E365-D365)*(1+G365)*((3-1)/(MaxLevel-1))^(2^F365),0),D365+(E365-D365)*(1+G365)*((3-1)/(MaxLevel-1))^(2^F365)))</f>
        <v>480</v>
      </c>
      <c r="K365" s="12">
        <f>IF(OR(D365="",E365=""),"",IF(IFERROR(INDEX(Stats!$D:$D,MATCH($C365,Stats!$A:$A,0)),FALSE),ROUND(D365+(E365-D365)*(1+G365)*((4-1)/(MaxLevel-1))^(2^F365),0),D365+(E365-D365)*(1+G365)*((4-1)/(MaxLevel-1))^(2^F365)))</f>
        <v>570</v>
      </c>
      <c r="L365" s="12">
        <f>IF(OR(D365="",E365=""),"",IF(IFERROR(INDEX(Stats!$D:$D,MATCH($C365,Stats!$A:$A,0)),FALSE),ROUND(D365+(E365-D365)*(1+G365)*((5-1)/(MaxLevel-1))^(2^F365),0),D365+(E365-D365)*(1+G365)*((5-1)/(MaxLevel-1))^(2^F365)))</f>
        <v>660</v>
      </c>
      <c r="M365" s="12">
        <f>IF(OR(D365="",E365=""),"",IF(IFERROR(INDEX(Stats!$D:$D,MATCH($C365,Stats!$A:$A,0)),FALSE),ROUND(D365+(E365-D365)*(1+G365)*((6-1)/(MaxLevel-1))^(2^F365),0),D365+(E365-D365)*(1+G365)*((6-1)/(MaxLevel-1))^(2^F365)))</f>
        <v>750</v>
      </c>
      <c r="N365" s="12">
        <f>IF(OR(D365="",E365=""),"",IF(IFERROR(INDEX(Stats!$D:$D,MATCH($C365,Stats!$A:$A,0)),FALSE),ROUND(D365+(E365-D365)*(1+G365)*((7-1)/(MaxLevel-1))^(2^F365),0),D365+(E365-D365)*(1+G365)*((7-1)/(MaxLevel-1))^(2^F365)))</f>
        <v>840</v>
      </c>
      <c r="O365" s="12">
        <f>IF(OR(D365="",E365=""),"",IF(IFERROR(INDEX(Stats!$D:$D,MATCH($C365,Stats!$A:$A,0)),FALSE),ROUND(D365+(E365-D365)*(1+G365)*((8-1)/(MaxLevel-1))^(2^F365),0),D365+(E365-D365)*(1+G365)*((8-1)/(MaxLevel-1))^(2^F365)))</f>
        <v>930</v>
      </c>
      <c r="P365" s="12">
        <f>IF(OR(D365="",E365=""),"",IF(IFERROR(INDEX(Stats!$D:$D,MATCH($C365,Stats!$A:$A,0)),FALSE),ROUND(D365+(E365-D365)*(1+G365)*((9-1)/(MaxLevel-1))^(2^F365),0),D365+(E365-D365)*(1+G365)*((9-1)/(MaxLevel-1))^(2^F365)))</f>
        <v>1020</v>
      </c>
      <c r="Q365" s="12">
        <f>IF(OR(D365="",E365=""),"",IF(IFERROR(INDEX(Stats!$D:$D,MATCH($C365,Stats!$A:$A,0)),FALSE),ROUND(D365+(E365-D365)*(1+G365)*((10-1)/(MaxLevel-1))^(2^F365),0),D365+(E365-D365)*(1+G365)*((10-1)/(MaxLevel-1))^(2^F365)))</f>
        <v>1110</v>
      </c>
    </row>
    <row r="366" spans="1:17" x14ac:dyDescent="0.25">
      <c r="A366" s="4" t="s">
        <v>185</v>
      </c>
      <c r="B366" s="19" t="s">
        <v>234</v>
      </c>
      <c r="C366" s="4" t="s">
        <v>30</v>
      </c>
      <c r="D366" s="5">
        <v>25</v>
      </c>
      <c r="E366" s="5">
        <v>110</v>
      </c>
      <c r="F366" s="5">
        <v>0.5</v>
      </c>
      <c r="G366" s="5">
        <v>0</v>
      </c>
      <c r="H366" s="12">
        <f>IF(OR(D366="",E366=""),"",IF(IFERROR(INDEX(Stats!$D:$D,MATCH($C366,Stats!$A:$A,0)),FALSE),ROUND(D366+(E366-D366)*(1+G366)*((1-1)/(MaxLevel-1))^(2^F366),0),D366+(E366-D366)*(1+G366)*((1-1)/(MaxLevel-1))^(2^F366)))</f>
        <v>25</v>
      </c>
      <c r="I366" s="12">
        <f>IF(OR(D366="",E366=""),"",IF(IFERROR(INDEX(Stats!$D:$D,MATCH($C366,Stats!$A:$A,0)),FALSE),ROUND(D366+(E366-D366)*(1+G366)*((2-1)/(MaxLevel-1))^(2^F366),0),D366+(E366-D366)*(1+G366)*((2-1)/(MaxLevel-1))^(2^F366)))</f>
        <v>29</v>
      </c>
      <c r="J366" s="12">
        <f>IF(OR(D366="",E366=""),"",IF(IFERROR(INDEX(Stats!$D:$D,MATCH($C366,Stats!$A:$A,0)),FALSE),ROUND(D366+(E366-D366)*(1+G366)*((3-1)/(MaxLevel-1))^(2^F366),0),D366+(E366-D366)*(1+G366)*((3-1)/(MaxLevel-1))^(2^F366)))</f>
        <v>35</v>
      </c>
      <c r="K366" s="12">
        <f>IF(OR(D366="",E366=""),"",IF(IFERROR(INDEX(Stats!$D:$D,MATCH($C366,Stats!$A:$A,0)),FALSE),ROUND(D366+(E366-D366)*(1+G366)*((4-1)/(MaxLevel-1))^(2^F366),0),D366+(E366-D366)*(1+G366)*((4-1)/(MaxLevel-1))^(2^F366)))</f>
        <v>43</v>
      </c>
      <c r="L366" s="12">
        <f>IF(OR(D366="",E366=""),"",IF(IFERROR(INDEX(Stats!$D:$D,MATCH($C366,Stats!$A:$A,0)),FALSE),ROUND(D366+(E366-D366)*(1+G366)*((5-1)/(MaxLevel-1))^(2^F366),0),D366+(E366-D366)*(1+G366)*((5-1)/(MaxLevel-1))^(2^F366)))</f>
        <v>52</v>
      </c>
      <c r="M366" s="12">
        <f>IF(OR(D366="",E366=""),"",IF(IFERROR(INDEX(Stats!$D:$D,MATCH($C366,Stats!$A:$A,0)),FALSE),ROUND(D366+(E366-D366)*(1+G366)*((6-1)/(MaxLevel-1))^(2^F366),0),D366+(E366-D366)*(1+G366)*((6-1)/(MaxLevel-1))^(2^F366)))</f>
        <v>62</v>
      </c>
      <c r="N366" s="12">
        <f>IF(OR(D366="",E366=""),"",IF(IFERROR(INDEX(Stats!$D:$D,MATCH($C366,Stats!$A:$A,0)),FALSE),ROUND(D366+(E366-D366)*(1+G366)*((7-1)/(MaxLevel-1))^(2^F366),0),D366+(E366-D366)*(1+G366)*((7-1)/(MaxLevel-1))^(2^F366)))</f>
        <v>73</v>
      </c>
      <c r="O366" s="12">
        <f>IF(OR(D366="",E366=""),"",IF(IFERROR(INDEX(Stats!$D:$D,MATCH($C366,Stats!$A:$A,0)),FALSE),ROUND(D366+(E366-D366)*(1+G366)*((8-1)/(MaxLevel-1))^(2^F366),0),D366+(E366-D366)*(1+G366)*((8-1)/(MaxLevel-1))^(2^F366)))</f>
        <v>85</v>
      </c>
      <c r="P366" s="12">
        <f>IF(OR(D366="",E366=""),"",IF(IFERROR(INDEX(Stats!$D:$D,MATCH($C366,Stats!$A:$A,0)),FALSE),ROUND(D366+(E366-D366)*(1+G366)*((9-1)/(MaxLevel-1))^(2^F366),0),D366+(E366-D366)*(1+G366)*((9-1)/(MaxLevel-1))^(2^F366)))</f>
        <v>97</v>
      </c>
      <c r="Q366" s="12">
        <f>IF(OR(D366="",E366=""),"",IF(IFERROR(INDEX(Stats!$D:$D,MATCH($C366,Stats!$A:$A,0)),FALSE),ROUND(D366+(E366-D366)*(1+G366)*((10-1)/(MaxLevel-1))^(2^F366),0),D366+(E366-D366)*(1+G366)*((10-1)/(MaxLevel-1))^(2^F366)))</f>
        <v>110</v>
      </c>
    </row>
    <row r="367" spans="1:17" x14ac:dyDescent="0.25">
      <c r="A367" s="4" t="s">
        <v>185</v>
      </c>
      <c r="B367" s="19" t="s">
        <v>234</v>
      </c>
      <c r="C367" s="4" t="s">
        <v>32</v>
      </c>
      <c r="D367" s="5"/>
      <c r="E367" s="5"/>
      <c r="F367" s="5"/>
      <c r="G367" s="5"/>
      <c r="H367" s="12" t="str">
        <f>IF(OR(D367="",E367=""),"",IF(IFERROR(INDEX(Stats!$D:$D,MATCH($C367,Stats!$A:$A,0)),FALSE),ROUND(D367+(E367-D367)*(1+G367)*((1-1)/(MaxLevel-1))^(2^F367),0),D367+(E367-D367)*(1+G367)*((1-1)/(MaxLevel-1))^(2^F367)))</f>
        <v/>
      </c>
      <c r="I367" s="12" t="str">
        <f>IF(OR(D367="",E367=""),"",IF(IFERROR(INDEX(Stats!$D:$D,MATCH($C367,Stats!$A:$A,0)),FALSE),ROUND(D367+(E367-D367)*(1+G367)*((2-1)/(MaxLevel-1))^(2^F367),0),D367+(E367-D367)*(1+G367)*((2-1)/(MaxLevel-1))^(2^F367)))</f>
        <v/>
      </c>
      <c r="J367" s="12" t="str">
        <f>IF(OR(D367="",E367=""),"",IF(IFERROR(INDEX(Stats!$D:$D,MATCH($C367,Stats!$A:$A,0)),FALSE),ROUND(D367+(E367-D367)*(1+G367)*((3-1)/(MaxLevel-1))^(2^F367),0),D367+(E367-D367)*(1+G367)*((3-1)/(MaxLevel-1))^(2^F367)))</f>
        <v/>
      </c>
      <c r="K367" s="12" t="str">
        <f>IF(OR(D367="",E367=""),"",IF(IFERROR(INDEX(Stats!$D:$D,MATCH($C367,Stats!$A:$A,0)),FALSE),ROUND(D367+(E367-D367)*(1+G367)*((4-1)/(MaxLevel-1))^(2^F367),0),D367+(E367-D367)*(1+G367)*((4-1)/(MaxLevel-1))^(2^F367)))</f>
        <v/>
      </c>
      <c r="L367" s="12" t="str">
        <f>IF(OR(D367="",E367=""),"",IF(IFERROR(INDEX(Stats!$D:$D,MATCH($C367,Stats!$A:$A,0)),FALSE),ROUND(D367+(E367-D367)*(1+G367)*((5-1)/(MaxLevel-1))^(2^F367),0),D367+(E367-D367)*(1+G367)*((5-1)/(MaxLevel-1))^(2^F367)))</f>
        <v/>
      </c>
      <c r="M367" s="12" t="str">
        <f>IF(OR(D367="",E367=""),"",IF(IFERROR(INDEX(Stats!$D:$D,MATCH($C367,Stats!$A:$A,0)),FALSE),ROUND(D367+(E367-D367)*(1+G367)*((6-1)/(MaxLevel-1))^(2^F367),0),D367+(E367-D367)*(1+G367)*((6-1)/(MaxLevel-1))^(2^F367)))</f>
        <v/>
      </c>
      <c r="N367" s="12" t="str">
        <f>IF(OR(D367="",E367=""),"",IF(IFERROR(INDEX(Stats!$D:$D,MATCH($C367,Stats!$A:$A,0)),FALSE),ROUND(D367+(E367-D367)*(1+G367)*((7-1)/(MaxLevel-1))^(2^F367),0),D367+(E367-D367)*(1+G367)*((7-1)/(MaxLevel-1))^(2^F367)))</f>
        <v/>
      </c>
      <c r="O367" s="12" t="str">
        <f>IF(OR(D367="",E367=""),"",IF(IFERROR(INDEX(Stats!$D:$D,MATCH($C367,Stats!$A:$A,0)),FALSE),ROUND(D367+(E367-D367)*(1+G367)*((8-1)/(MaxLevel-1))^(2^F367),0),D367+(E367-D367)*(1+G367)*((8-1)/(MaxLevel-1))^(2^F367)))</f>
        <v/>
      </c>
      <c r="P367" s="12" t="str">
        <f>IF(OR(D367="",E367=""),"",IF(IFERROR(INDEX(Stats!$D:$D,MATCH($C367,Stats!$A:$A,0)),FALSE),ROUND(D367+(E367-D367)*(1+G367)*((9-1)/(MaxLevel-1))^(2^F367),0),D367+(E367-D367)*(1+G367)*((9-1)/(MaxLevel-1))^(2^F367)))</f>
        <v/>
      </c>
      <c r="Q367" s="12" t="str">
        <f>IF(OR(D367="",E367=""),"",IF(IFERROR(INDEX(Stats!$D:$D,MATCH($C367,Stats!$A:$A,0)),FALSE),ROUND(D367+(E367-D367)*(1+G367)*((10-1)/(MaxLevel-1))^(2^F367),0),D367+(E367-D367)*(1+G367)*((10-1)/(MaxLevel-1))^(2^F367)))</f>
        <v/>
      </c>
    </row>
    <row r="368" spans="1:17" x14ac:dyDescent="0.25">
      <c r="A368" s="4" t="s">
        <v>185</v>
      </c>
      <c r="B368" s="19" t="s">
        <v>234</v>
      </c>
      <c r="C368" s="4" t="s">
        <v>34</v>
      </c>
      <c r="D368" s="5"/>
      <c r="E368" s="5"/>
      <c r="F368" s="5"/>
      <c r="G368" s="5"/>
      <c r="H368" s="12" t="str">
        <f>IF(OR(D368="",E368=""),"",IF(IFERROR(INDEX(Stats!$D:$D,MATCH($C368,Stats!$A:$A,0)),FALSE),ROUND(D368+(E368-D368)*(1+G368)*((1-1)/(MaxLevel-1))^(2^F368),0),D368+(E368-D368)*(1+G368)*((1-1)/(MaxLevel-1))^(2^F368)))</f>
        <v/>
      </c>
      <c r="I368" s="12" t="str">
        <f>IF(OR(D368="",E368=""),"",IF(IFERROR(INDEX(Stats!$D:$D,MATCH($C368,Stats!$A:$A,0)),FALSE),ROUND(D368+(E368-D368)*(1+G368)*((2-1)/(MaxLevel-1))^(2^F368),0),D368+(E368-D368)*(1+G368)*((2-1)/(MaxLevel-1))^(2^F368)))</f>
        <v/>
      </c>
      <c r="J368" s="12" t="str">
        <f>IF(OR(D368="",E368=""),"",IF(IFERROR(INDEX(Stats!$D:$D,MATCH($C368,Stats!$A:$A,0)),FALSE),ROUND(D368+(E368-D368)*(1+G368)*((3-1)/(MaxLevel-1))^(2^F368),0),D368+(E368-D368)*(1+G368)*((3-1)/(MaxLevel-1))^(2^F368)))</f>
        <v/>
      </c>
      <c r="K368" s="12" t="str">
        <f>IF(OR(D368="",E368=""),"",IF(IFERROR(INDEX(Stats!$D:$D,MATCH($C368,Stats!$A:$A,0)),FALSE),ROUND(D368+(E368-D368)*(1+G368)*((4-1)/(MaxLevel-1))^(2^F368),0),D368+(E368-D368)*(1+G368)*((4-1)/(MaxLevel-1))^(2^F368)))</f>
        <v/>
      </c>
      <c r="L368" s="12" t="str">
        <f>IF(OR(D368="",E368=""),"",IF(IFERROR(INDEX(Stats!$D:$D,MATCH($C368,Stats!$A:$A,0)),FALSE),ROUND(D368+(E368-D368)*(1+G368)*((5-1)/(MaxLevel-1))^(2^F368),0),D368+(E368-D368)*(1+G368)*((5-1)/(MaxLevel-1))^(2^F368)))</f>
        <v/>
      </c>
      <c r="M368" s="12" t="str">
        <f>IF(OR(D368="",E368=""),"",IF(IFERROR(INDEX(Stats!$D:$D,MATCH($C368,Stats!$A:$A,0)),FALSE),ROUND(D368+(E368-D368)*(1+G368)*((6-1)/(MaxLevel-1))^(2^F368),0),D368+(E368-D368)*(1+G368)*((6-1)/(MaxLevel-1))^(2^F368)))</f>
        <v/>
      </c>
      <c r="N368" s="12" t="str">
        <f>IF(OR(D368="",E368=""),"",IF(IFERROR(INDEX(Stats!$D:$D,MATCH($C368,Stats!$A:$A,0)),FALSE),ROUND(D368+(E368-D368)*(1+G368)*((7-1)/(MaxLevel-1))^(2^F368),0),D368+(E368-D368)*(1+G368)*((7-1)/(MaxLevel-1))^(2^F368)))</f>
        <v/>
      </c>
      <c r="O368" s="12" t="str">
        <f>IF(OR(D368="",E368=""),"",IF(IFERROR(INDEX(Stats!$D:$D,MATCH($C368,Stats!$A:$A,0)),FALSE),ROUND(D368+(E368-D368)*(1+G368)*((8-1)/(MaxLevel-1))^(2^F368),0),D368+(E368-D368)*(1+G368)*((8-1)/(MaxLevel-1))^(2^F368)))</f>
        <v/>
      </c>
      <c r="P368" s="12" t="str">
        <f>IF(OR(D368="",E368=""),"",IF(IFERROR(INDEX(Stats!$D:$D,MATCH($C368,Stats!$A:$A,0)),FALSE),ROUND(D368+(E368-D368)*(1+G368)*((9-1)/(MaxLevel-1))^(2^F368),0),D368+(E368-D368)*(1+G368)*((9-1)/(MaxLevel-1))^(2^F368)))</f>
        <v/>
      </c>
      <c r="Q368" s="12" t="str">
        <f>IF(OR(D368="",E368=""),"",IF(IFERROR(INDEX(Stats!$D:$D,MATCH($C368,Stats!$A:$A,0)),FALSE),ROUND(D368+(E368-D368)*(1+G368)*((10-1)/(MaxLevel-1))^(2^F368),0),D368+(E368-D368)*(1+G368)*((10-1)/(MaxLevel-1))^(2^F368)))</f>
        <v/>
      </c>
    </row>
    <row r="369" spans="1:17" x14ac:dyDescent="0.25">
      <c r="A369" s="4" t="s">
        <v>185</v>
      </c>
      <c r="B369" s="19" t="s">
        <v>234</v>
      </c>
      <c r="C369" s="4" t="s">
        <v>36</v>
      </c>
      <c r="D369" s="5"/>
      <c r="E369" s="5"/>
      <c r="F369" s="5"/>
      <c r="G369" s="5"/>
      <c r="H369" s="12" t="str">
        <f>IF(OR(D369="",E369=""),"",IF(IFERROR(INDEX(Stats!$D:$D,MATCH($C369,Stats!$A:$A,0)),FALSE),ROUND(D369+(E369-D369)*(1+G369)*((1-1)/(MaxLevel-1))^(2^F369),0),D369+(E369-D369)*(1+G369)*((1-1)/(MaxLevel-1))^(2^F369)))</f>
        <v/>
      </c>
      <c r="I369" s="12" t="str">
        <f>IF(OR(D369="",E369=""),"",IF(IFERROR(INDEX(Stats!$D:$D,MATCH($C369,Stats!$A:$A,0)),FALSE),ROUND(D369+(E369-D369)*(1+G369)*((2-1)/(MaxLevel-1))^(2^F369),0),D369+(E369-D369)*(1+G369)*((2-1)/(MaxLevel-1))^(2^F369)))</f>
        <v/>
      </c>
      <c r="J369" s="12" t="str">
        <f>IF(OR(D369="",E369=""),"",IF(IFERROR(INDEX(Stats!$D:$D,MATCH($C369,Stats!$A:$A,0)),FALSE),ROUND(D369+(E369-D369)*(1+G369)*((3-1)/(MaxLevel-1))^(2^F369),0),D369+(E369-D369)*(1+G369)*((3-1)/(MaxLevel-1))^(2^F369)))</f>
        <v/>
      </c>
      <c r="K369" s="12" t="str">
        <f>IF(OR(D369="",E369=""),"",IF(IFERROR(INDEX(Stats!$D:$D,MATCH($C369,Stats!$A:$A,0)),FALSE),ROUND(D369+(E369-D369)*(1+G369)*((4-1)/(MaxLevel-1))^(2^F369),0),D369+(E369-D369)*(1+G369)*((4-1)/(MaxLevel-1))^(2^F369)))</f>
        <v/>
      </c>
      <c r="L369" s="12" t="str">
        <f>IF(OR(D369="",E369=""),"",IF(IFERROR(INDEX(Stats!$D:$D,MATCH($C369,Stats!$A:$A,0)),FALSE),ROUND(D369+(E369-D369)*(1+G369)*((5-1)/(MaxLevel-1))^(2^F369),0),D369+(E369-D369)*(1+G369)*((5-1)/(MaxLevel-1))^(2^F369)))</f>
        <v/>
      </c>
      <c r="M369" s="12" t="str">
        <f>IF(OR(D369="",E369=""),"",IF(IFERROR(INDEX(Stats!$D:$D,MATCH($C369,Stats!$A:$A,0)),FALSE),ROUND(D369+(E369-D369)*(1+G369)*((6-1)/(MaxLevel-1))^(2^F369),0),D369+(E369-D369)*(1+G369)*((6-1)/(MaxLevel-1))^(2^F369)))</f>
        <v/>
      </c>
      <c r="N369" s="12" t="str">
        <f>IF(OR(D369="",E369=""),"",IF(IFERROR(INDEX(Stats!$D:$D,MATCH($C369,Stats!$A:$A,0)),FALSE),ROUND(D369+(E369-D369)*(1+G369)*((7-1)/(MaxLevel-1))^(2^F369),0),D369+(E369-D369)*(1+G369)*((7-1)/(MaxLevel-1))^(2^F369)))</f>
        <v/>
      </c>
      <c r="O369" s="12" t="str">
        <f>IF(OR(D369="",E369=""),"",IF(IFERROR(INDEX(Stats!$D:$D,MATCH($C369,Stats!$A:$A,0)),FALSE),ROUND(D369+(E369-D369)*(1+G369)*((8-1)/(MaxLevel-1))^(2^F369),0),D369+(E369-D369)*(1+G369)*((8-1)/(MaxLevel-1))^(2^F369)))</f>
        <v/>
      </c>
      <c r="P369" s="12" t="str">
        <f>IF(OR(D369="",E369=""),"",IF(IFERROR(INDEX(Stats!$D:$D,MATCH($C369,Stats!$A:$A,0)),FALSE),ROUND(D369+(E369-D369)*(1+G369)*((9-1)/(MaxLevel-1))^(2^F369),0),D369+(E369-D369)*(1+G369)*((9-1)/(MaxLevel-1))^(2^F369)))</f>
        <v/>
      </c>
      <c r="Q369" s="12" t="str">
        <f>IF(OR(D369="",E369=""),"",IF(IFERROR(INDEX(Stats!$D:$D,MATCH($C369,Stats!$A:$A,0)),FALSE),ROUND(D369+(E369-D369)*(1+G369)*((10-1)/(MaxLevel-1))^(2^F369),0),D369+(E369-D369)*(1+G369)*((10-1)/(MaxLevel-1))^(2^F369)))</f>
        <v/>
      </c>
    </row>
    <row r="370" spans="1:17" x14ac:dyDescent="0.25">
      <c r="A370" s="4" t="s">
        <v>185</v>
      </c>
      <c r="B370" s="19" t="s">
        <v>234</v>
      </c>
      <c r="C370" s="4" t="s">
        <v>38</v>
      </c>
      <c r="D370" s="5"/>
      <c r="E370" s="5"/>
      <c r="F370" s="5"/>
      <c r="G370" s="5"/>
      <c r="H370" s="12" t="str">
        <f>IF(OR(D370="",E370=""),"",IF(IFERROR(INDEX(Stats!$D:$D,MATCH($C370,Stats!$A:$A,0)),FALSE),ROUND(D370+(E370-D370)*(1+G370)*((1-1)/(MaxLevel-1))^(2^F370),0),D370+(E370-D370)*(1+G370)*((1-1)/(MaxLevel-1))^(2^F370)))</f>
        <v/>
      </c>
      <c r="I370" s="12" t="str">
        <f>IF(OR(D370="",E370=""),"",IF(IFERROR(INDEX(Stats!$D:$D,MATCH($C370,Stats!$A:$A,0)),FALSE),ROUND(D370+(E370-D370)*(1+G370)*((2-1)/(MaxLevel-1))^(2^F370),0),D370+(E370-D370)*(1+G370)*((2-1)/(MaxLevel-1))^(2^F370)))</f>
        <v/>
      </c>
      <c r="J370" s="12" t="str">
        <f>IF(OR(D370="",E370=""),"",IF(IFERROR(INDEX(Stats!$D:$D,MATCH($C370,Stats!$A:$A,0)),FALSE),ROUND(D370+(E370-D370)*(1+G370)*((3-1)/(MaxLevel-1))^(2^F370),0),D370+(E370-D370)*(1+G370)*((3-1)/(MaxLevel-1))^(2^F370)))</f>
        <v/>
      </c>
      <c r="K370" s="12" t="str">
        <f>IF(OR(D370="",E370=""),"",IF(IFERROR(INDEX(Stats!$D:$D,MATCH($C370,Stats!$A:$A,0)),FALSE),ROUND(D370+(E370-D370)*(1+G370)*((4-1)/(MaxLevel-1))^(2^F370),0),D370+(E370-D370)*(1+G370)*((4-1)/(MaxLevel-1))^(2^F370)))</f>
        <v/>
      </c>
      <c r="L370" s="12" t="str">
        <f>IF(OR(D370="",E370=""),"",IF(IFERROR(INDEX(Stats!$D:$D,MATCH($C370,Stats!$A:$A,0)),FALSE),ROUND(D370+(E370-D370)*(1+G370)*((5-1)/(MaxLevel-1))^(2^F370),0),D370+(E370-D370)*(1+G370)*((5-1)/(MaxLevel-1))^(2^F370)))</f>
        <v/>
      </c>
      <c r="M370" s="12" t="str">
        <f>IF(OR(D370="",E370=""),"",IF(IFERROR(INDEX(Stats!$D:$D,MATCH($C370,Stats!$A:$A,0)),FALSE),ROUND(D370+(E370-D370)*(1+G370)*((6-1)/(MaxLevel-1))^(2^F370),0),D370+(E370-D370)*(1+G370)*((6-1)/(MaxLevel-1))^(2^F370)))</f>
        <v/>
      </c>
      <c r="N370" s="12" t="str">
        <f>IF(OR(D370="",E370=""),"",IF(IFERROR(INDEX(Stats!$D:$D,MATCH($C370,Stats!$A:$A,0)),FALSE),ROUND(D370+(E370-D370)*(1+G370)*((7-1)/(MaxLevel-1))^(2^F370),0),D370+(E370-D370)*(1+G370)*((7-1)/(MaxLevel-1))^(2^F370)))</f>
        <v/>
      </c>
      <c r="O370" s="12" t="str">
        <f>IF(OR(D370="",E370=""),"",IF(IFERROR(INDEX(Stats!$D:$D,MATCH($C370,Stats!$A:$A,0)),FALSE),ROUND(D370+(E370-D370)*(1+G370)*((8-1)/(MaxLevel-1))^(2^F370),0),D370+(E370-D370)*(1+G370)*((8-1)/(MaxLevel-1))^(2^F370)))</f>
        <v/>
      </c>
      <c r="P370" s="12" t="str">
        <f>IF(OR(D370="",E370=""),"",IF(IFERROR(INDEX(Stats!$D:$D,MATCH($C370,Stats!$A:$A,0)),FALSE),ROUND(D370+(E370-D370)*(1+G370)*((9-1)/(MaxLevel-1))^(2^F370),0),D370+(E370-D370)*(1+G370)*((9-1)/(MaxLevel-1))^(2^F370)))</f>
        <v/>
      </c>
      <c r="Q370" s="12" t="str">
        <f>IF(OR(D370="",E370=""),"",IF(IFERROR(INDEX(Stats!$D:$D,MATCH($C370,Stats!$A:$A,0)),FALSE),ROUND(D370+(E370-D370)*(1+G370)*((10-1)/(MaxLevel-1))^(2^F370),0),D370+(E370-D370)*(1+G370)*((10-1)/(MaxLevel-1))^(2^F370)))</f>
        <v/>
      </c>
    </row>
    <row r="371" spans="1:17" x14ac:dyDescent="0.25">
      <c r="A371" s="4" t="s">
        <v>185</v>
      </c>
      <c r="B371" s="19" t="s">
        <v>234</v>
      </c>
      <c r="C371" s="4" t="s">
        <v>40</v>
      </c>
      <c r="D371" s="5"/>
      <c r="E371" s="5"/>
      <c r="F371" s="5"/>
      <c r="G371" s="5"/>
      <c r="H371" s="12" t="str">
        <f>IF(OR(D371="",E371=""),"",IF(IFERROR(INDEX(Stats!$D:$D,MATCH($C371,Stats!$A:$A,0)),FALSE),ROUND(D371+(E371-D371)*(1+G371)*((1-1)/(MaxLevel-1))^(2^F371),0),D371+(E371-D371)*(1+G371)*((1-1)/(MaxLevel-1))^(2^F371)))</f>
        <v/>
      </c>
      <c r="I371" s="12" t="str">
        <f>IF(OR(D371="",E371=""),"",IF(IFERROR(INDEX(Stats!$D:$D,MATCH($C371,Stats!$A:$A,0)),FALSE),ROUND(D371+(E371-D371)*(1+G371)*((2-1)/(MaxLevel-1))^(2^F371),0),D371+(E371-D371)*(1+G371)*((2-1)/(MaxLevel-1))^(2^F371)))</f>
        <v/>
      </c>
      <c r="J371" s="12" t="str">
        <f>IF(OR(D371="",E371=""),"",IF(IFERROR(INDEX(Stats!$D:$D,MATCH($C371,Stats!$A:$A,0)),FALSE),ROUND(D371+(E371-D371)*(1+G371)*((3-1)/(MaxLevel-1))^(2^F371),0),D371+(E371-D371)*(1+G371)*((3-1)/(MaxLevel-1))^(2^F371)))</f>
        <v/>
      </c>
      <c r="K371" s="12" t="str">
        <f>IF(OR(D371="",E371=""),"",IF(IFERROR(INDEX(Stats!$D:$D,MATCH($C371,Stats!$A:$A,0)),FALSE),ROUND(D371+(E371-D371)*(1+G371)*((4-1)/(MaxLevel-1))^(2^F371),0),D371+(E371-D371)*(1+G371)*((4-1)/(MaxLevel-1))^(2^F371)))</f>
        <v/>
      </c>
      <c r="L371" s="12" t="str">
        <f>IF(OR(D371="",E371=""),"",IF(IFERROR(INDEX(Stats!$D:$D,MATCH($C371,Stats!$A:$A,0)),FALSE),ROUND(D371+(E371-D371)*(1+G371)*((5-1)/(MaxLevel-1))^(2^F371),0),D371+(E371-D371)*(1+G371)*((5-1)/(MaxLevel-1))^(2^F371)))</f>
        <v/>
      </c>
      <c r="M371" s="12" t="str">
        <f>IF(OR(D371="",E371=""),"",IF(IFERROR(INDEX(Stats!$D:$D,MATCH($C371,Stats!$A:$A,0)),FALSE),ROUND(D371+(E371-D371)*(1+G371)*((6-1)/(MaxLevel-1))^(2^F371),0),D371+(E371-D371)*(1+G371)*((6-1)/(MaxLevel-1))^(2^F371)))</f>
        <v/>
      </c>
      <c r="N371" s="12" t="str">
        <f>IF(OR(D371="",E371=""),"",IF(IFERROR(INDEX(Stats!$D:$D,MATCH($C371,Stats!$A:$A,0)),FALSE),ROUND(D371+(E371-D371)*(1+G371)*((7-1)/(MaxLevel-1))^(2^F371),0),D371+(E371-D371)*(1+G371)*((7-1)/(MaxLevel-1))^(2^F371)))</f>
        <v/>
      </c>
      <c r="O371" s="12" t="str">
        <f>IF(OR(D371="",E371=""),"",IF(IFERROR(INDEX(Stats!$D:$D,MATCH($C371,Stats!$A:$A,0)),FALSE),ROUND(D371+(E371-D371)*(1+G371)*((8-1)/(MaxLevel-1))^(2^F371),0),D371+(E371-D371)*(1+G371)*((8-1)/(MaxLevel-1))^(2^F371)))</f>
        <v/>
      </c>
      <c r="P371" s="12" t="str">
        <f>IF(OR(D371="",E371=""),"",IF(IFERROR(INDEX(Stats!$D:$D,MATCH($C371,Stats!$A:$A,0)),FALSE),ROUND(D371+(E371-D371)*(1+G371)*((9-1)/(MaxLevel-1))^(2^F371),0),D371+(E371-D371)*(1+G371)*((9-1)/(MaxLevel-1))^(2^F371)))</f>
        <v/>
      </c>
      <c r="Q371" s="12" t="str">
        <f>IF(OR(D371="",E371=""),"",IF(IFERROR(INDEX(Stats!$D:$D,MATCH($C371,Stats!$A:$A,0)),FALSE),ROUND(D371+(E371-D371)*(1+G371)*((10-1)/(MaxLevel-1))^(2^F371),0),D371+(E371-D371)*(1+G371)*((10-1)/(MaxLevel-1))^(2^F371)))</f>
        <v/>
      </c>
    </row>
    <row r="372" spans="1:17" x14ac:dyDescent="0.25">
      <c r="A372" s="4" t="s">
        <v>185</v>
      </c>
      <c r="B372" s="19" t="s">
        <v>234</v>
      </c>
      <c r="C372" s="4" t="s">
        <v>42</v>
      </c>
      <c r="D372" s="5"/>
      <c r="E372" s="5"/>
      <c r="F372" s="5"/>
      <c r="G372" s="5"/>
      <c r="H372" s="12" t="str">
        <f>IF(OR(D372="",E372=""),"",IF(IFERROR(INDEX(Stats!$D:$D,MATCH($C372,Stats!$A:$A,0)),FALSE),ROUND(D372+(E372-D372)*(1+G372)*((1-1)/(MaxLevel-1))^(2^F372),0),D372+(E372-D372)*(1+G372)*((1-1)/(MaxLevel-1))^(2^F372)))</f>
        <v/>
      </c>
      <c r="I372" s="12" t="str">
        <f>IF(OR(D372="",E372=""),"",IF(IFERROR(INDEX(Stats!$D:$D,MATCH($C372,Stats!$A:$A,0)),FALSE),ROUND(D372+(E372-D372)*(1+G372)*((2-1)/(MaxLevel-1))^(2^F372),0),D372+(E372-D372)*(1+G372)*((2-1)/(MaxLevel-1))^(2^F372)))</f>
        <v/>
      </c>
      <c r="J372" s="12" t="str">
        <f>IF(OR(D372="",E372=""),"",IF(IFERROR(INDEX(Stats!$D:$D,MATCH($C372,Stats!$A:$A,0)),FALSE),ROUND(D372+(E372-D372)*(1+G372)*((3-1)/(MaxLevel-1))^(2^F372),0),D372+(E372-D372)*(1+G372)*((3-1)/(MaxLevel-1))^(2^F372)))</f>
        <v/>
      </c>
      <c r="K372" s="12" t="str">
        <f>IF(OR(D372="",E372=""),"",IF(IFERROR(INDEX(Stats!$D:$D,MATCH($C372,Stats!$A:$A,0)),FALSE),ROUND(D372+(E372-D372)*(1+G372)*((4-1)/(MaxLevel-1))^(2^F372),0),D372+(E372-D372)*(1+G372)*((4-1)/(MaxLevel-1))^(2^F372)))</f>
        <v/>
      </c>
      <c r="L372" s="12" t="str">
        <f>IF(OR(D372="",E372=""),"",IF(IFERROR(INDEX(Stats!$D:$D,MATCH($C372,Stats!$A:$A,0)),FALSE),ROUND(D372+(E372-D372)*(1+G372)*((5-1)/(MaxLevel-1))^(2^F372),0),D372+(E372-D372)*(1+G372)*((5-1)/(MaxLevel-1))^(2^F372)))</f>
        <v/>
      </c>
      <c r="M372" s="12" t="str">
        <f>IF(OR(D372="",E372=""),"",IF(IFERROR(INDEX(Stats!$D:$D,MATCH($C372,Stats!$A:$A,0)),FALSE),ROUND(D372+(E372-D372)*(1+G372)*((6-1)/(MaxLevel-1))^(2^F372),0),D372+(E372-D372)*(1+G372)*((6-1)/(MaxLevel-1))^(2^F372)))</f>
        <v/>
      </c>
      <c r="N372" s="12" t="str">
        <f>IF(OR(D372="",E372=""),"",IF(IFERROR(INDEX(Stats!$D:$D,MATCH($C372,Stats!$A:$A,0)),FALSE),ROUND(D372+(E372-D372)*(1+G372)*((7-1)/(MaxLevel-1))^(2^F372),0),D372+(E372-D372)*(1+G372)*((7-1)/(MaxLevel-1))^(2^F372)))</f>
        <v/>
      </c>
      <c r="O372" s="12" t="str">
        <f>IF(OR(D372="",E372=""),"",IF(IFERROR(INDEX(Stats!$D:$D,MATCH($C372,Stats!$A:$A,0)),FALSE),ROUND(D372+(E372-D372)*(1+G372)*((8-1)/(MaxLevel-1))^(2^F372),0),D372+(E372-D372)*(1+G372)*((8-1)/(MaxLevel-1))^(2^F372)))</f>
        <v/>
      </c>
      <c r="P372" s="12" t="str">
        <f>IF(OR(D372="",E372=""),"",IF(IFERROR(INDEX(Stats!$D:$D,MATCH($C372,Stats!$A:$A,0)),FALSE),ROUND(D372+(E372-D372)*(1+G372)*((9-1)/(MaxLevel-1))^(2^F372),0),D372+(E372-D372)*(1+G372)*((9-1)/(MaxLevel-1))^(2^F372)))</f>
        <v/>
      </c>
      <c r="Q372" s="12" t="str">
        <f>IF(OR(D372="",E372=""),"",IF(IFERROR(INDEX(Stats!$D:$D,MATCH($C372,Stats!$A:$A,0)),FALSE),ROUND(D372+(E372-D372)*(1+G372)*((10-1)/(MaxLevel-1))^(2^F372),0),D372+(E372-D372)*(1+G372)*((10-1)/(MaxLevel-1))^(2^F372)))</f>
        <v/>
      </c>
    </row>
    <row r="373" spans="1:17" x14ac:dyDescent="0.25">
      <c r="A373" s="4" t="s">
        <v>185</v>
      </c>
      <c r="B373" s="19" t="s">
        <v>234</v>
      </c>
      <c r="C373" s="4" t="s">
        <v>44</v>
      </c>
      <c r="D373" s="5"/>
      <c r="E373" s="5"/>
      <c r="F373" s="5"/>
      <c r="G373" s="5"/>
      <c r="H373" s="12" t="str">
        <f>IF(OR(D373="",E373=""),"",IF(IFERROR(INDEX(Stats!$D:$D,MATCH($C373,Stats!$A:$A,0)),FALSE),ROUND(D373+(E373-D373)*(1+G373)*((1-1)/(MaxLevel-1))^(2^F373),0),D373+(E373-D373)*(1+G373)*((1-1)/(MaxLevel-1))^(2^F373)))</f>
        <v/>
      </c>
      <c r="I373" s="12" t="str">
        <f>IF(OR(D373="",E373=""),"",IF(IFERROR(INDEX(Stats!$D:$D,MATCH($C373,Stats!$A:$A,0)),FALSE),ROUND(D373+(E373-D373)*(1+G373)*((2-1)/(MaxLevel-1))^(2^F373),0),D373+(E373-D373)*(1+G373)*((2-1)/(MaxLevel-1))^(2^F373)))</f>
        <v/>
      </c>
      <c r="J373" s="12" t="str">
        <f>IF(OR(D373="",E373=""),"",IF(IFERROR(INDEX(Stats!$D:$D,MATCH($C373,Stats!$A:$A,0)),FALSE),ROUND(D373+(E373-D373)*(1+G373)*((3-1)/(MaxLevel-1))^(2^F373),0),D373+(E373-D373)*(1+G373)*((3-1)/(MaxLevel-1))^(2^F373)))</f>
        <v/>
      </c>
      <c r="K373" s="12" t="str">
        <f>IF(OR(D373="",E373=""),"",IF(IFERROR(INDEX(Stats!$D:$D,MATCH($C373,Stats!$A:$A,0)),FALSE),ROUND(D373+(E373-D373)*(1+G373)*((4-1)/(MaxLevel-1))^(2^F373),0),D373+(E373-D373)*(1+G373)*((4-1)/(MaxLevel-1))^(2^F373)))</f>
        <v/>
      </c>
      <c r="L373" s="12" t="str">
        <f>IF(OR(D373="",E373=""),"",IF(IFERROR(INDEX(Stats!$D:$D,MATCH($C373,Stats!$A:$A,0)),FALSE),ROUND(D373+(E373-D373)*(1+G373)*((5-1)/(MaxLevel-1))^(2^F373),0),D373+(E373-D373)*(1+G373)*((5-1)/(MaxLevel-1))^(2^F373)))</f>
        <v/>
      </c>
      <c r="M373" s="12" t="str">
        <f>IF(OR(D373="",E373=""),"",IF(IFERROR(INDEX(Stats!$D:$D,MATCH($C373,Stats!$A:$A,0)),FALSE),ROUND(D373+(E373-D373)*(1+G373)*((6-1)/(MaxLevel-1))^(2^F373),0),D373+(E373-D373)*(1+G373)*((6-1)/(MaxLevel-1))^(2^F373)))</f>
        <v/>
      </c>
      <c r="N373" s="12" t="str">
        <f>IF(OR(D373="",E373=""),"",IF(IFERROR(INDEX(Stats!$D:$D,MATCH($C373,Stats!$A:$A,0)),FALSE),ROUND(D373+(E373-D373)*(1+G373)*((7-1)/(MaxLevel-1))^(2^F373),0),D373+(E373-D373)*(1+G373)*((7-1)/(MaxLevel-1))^(2^F373)))</f>
        <v/>
      </c>
      <c r="O373" s="12" t="str">
        <f>IF(OR(D373="",E373=""),"",IF(IFERROR(INDEX(Stats!$D:$D,MATCH($C373,Stats!$A:$A,0)),FALSE),ROUND(D373+(E373-D373)*(1+G373)*((8-1)/(MaxLevel-1))^(2^F373),0),D373+(E373-D373)*(1+G373)*((8-1)/(MaxLevel-1))^(2^F373)))</f>
        <v/>
      </c>
      <c r="P373" s="12" t="str">
        <f>IF(OR(D373="",E373=""),"",IF(IFERROR(INDEX(Stats!$D:$D,MATCH($C373,Stats!$A:$A,0)),FALSE),ROUND(D373+(E373-D373)*(1+G373)*((9-1)/(MaxLevel-1))^(2^F373),0),D373+(E373-D373)*(1+G373)*((9-1)/(MaxLevel-1))^(2^F373)))</f>
        <v/>
      </c>
      <c r="Q373" s="12" t="str">
        <f>IF(OR(D373="",E373=""),"",IF(IFERROR(INDEX(Stats!$D:$D,MATCH($C373,Stats!$A:$A,0)),FALSE),ROUND(D373+(E373-D373)*(1+G373)*((10-1)/(MaxLevel-1))^(2^F373),0),D373+(E373-D373)*(1+G373)*((10-1)/(MaxLevel-1))^(2^F373)))</f>
        <v/>
      </c>
    </row>
    <row r="374" spans="1:17" x14ac:dyDescent="0.25">
      <c r="A374" s="4" t="s">
        <v>185</v>
      </c>
      <c r="B374" s="19" t="s">
        <v>234</v>
      </c>
      <c r="C374" s="4" t="s">
        <v>46</v>
      </c>
      <c r="D374" s="5">
        <v>300</v>
      </c>
      <c r="E374" s="5">
        <v>320</v>
      </c>
      <c r="F374" s="5">
        <v>0</v>
      </c>
      <c r="G374" s="5">
        <v>0</v>
      </c>
      <c r="H374" s="12">
        <f>IF(OR(D374="",E374=""),"",IF(IFERROR(INDEX(Stats!$D:$D,MATCH($C374,Stats!$A:$A,0)),FALSE),ROUND(D374+(E374-D374)*(1+G374)*((1-1)/(MaxLevel-1))^(2^F374),0),D374+(E374-D374)*(1+G374)*((1-1)/(MaxLevel-1))^(2^F374)))</f>
        <v>300</v>
      </c>
      <c r="I374" s="12">
        <f>IF(OR(D374="",E374=""),"",IF(IFERROR(INDEX(Stats!$D:$D,MATCH($C374,Stats!$A:$A,0)),FALSE),ROUND(D374+(E374-D374)*(1+G374)*((2-1)/(MaxLevel-1))^(2^F374),0),D374+(E374-D374)*(1+G374)*((2-1)/(MaxLevel-1))^(2^F374)))</f>
        <v>302.22222222222223</v>
      </c>
      <c r="J374" s="12">
        <f>IF(OR(D374="",E374=""),"",IF(IFERROR(INDEX(Stats!$D:$D,MATCH($C374,Stats!$A:$A,0)),FALSE),ROUND(D374+(E374-D374)*(1+G374)*((3-1)/(MaxLevel-1))^(2^F374),0),D374+(E374-D374)*(1+G374)*((3-1)/(MaxLevel-1))^(2^F374)))</f>
        <v>304.44444444444446</v>
      </c>
      <c r="K374" s="12">
        <f>IF(OR(D374="",E374=""),"",IF(IFERROR(INDEX(Stats!$D:$D,MATCH($C374,Stats!$A:$A,0)),FALSE),ROUND(D374+(E374-D374)*(1+G374)*((4-1)/(MaxLevel-1))^(2^F374),0),D374+(E374-D374)*(1+G374)*((4-1)/(MaxLevel-1))^(2^F374)))</f>
        <v>306.66666666666669</v>
      </c>
      <c r="L374" s="12">
        <f>IF(OR(D374="",E374=""),"",IF(IFERROR(INDEX(Stats!$D:$D,MATCH($C374,Stats!$A:$A,0)),FALSE),ROUND(D374+(E374-D374)*(1+G374)*((5-1)/(MaxLevel-1))^(2^F374),0),D374+(E374-D374)*(1+G374)*((5-1)/(MaxLevel-1))^(2^F374)))</f>
        <v>308.88888888888891</v>
      </c>
      <c r="M374" s="12">
        <f>IF(OR(D374="",E374=""),"",IF(IFERROR(INDEX(Stats!$D:$D,MATCH($C374,Stats!$A:$A,0)),FALSE),ROUND(D374+(E374-D374)*(1+G374)*((6-1)/(MaxLevel-1))^(2^F374),0),D374+(E374-D374)*(1+G374)*((6-1)/(MaxLevel-1))^(2^F374)))</f>
        <v>311.11111111111109</v>
      </c>
      <c r="N374" s="12">
        <f>IF(OR(D374="",E374=""),"",IF(IFERROR(INDEX(Stats!$D:$D,MATCH($C374,Stats!$A:$A,0)),FALSE),ROUND(D374+(E374-D374)*(1+G374)*((7-1)/(MaxLevel-1))^(2^F374),0),D374+(E374-D374)*(1+G374)*((7-1)/(MaxLevel-1))^(2^F374)))</f>
        <v>313.33333333333331</v>
      </c>
      <c r="O374" s="12">
        <f>IF(OR(D374="",E374=""),"",IF(IFERROR(INDEX(Stats!$D:$D,MATCH($C374,Stats!$A:$A,0)),FALSE),ROUND(D374+(E374-D374)*(1+G374)*((8-1)/(MaxLevel-1))^(2^F374),0),D374+(E374-D374)*(1+G374)*((8-1)/(MaxLevel-1))^(2^F374)))</f>
        <v>315.55555555555554</v>
      </c>
      <c r="P374" s="12">
        <f>IF(OR(D374="",E374=""),"",IF(IFERROR(INDEX(Stats!$D:$D,MATCH($C374,Stats!$A:$A,0)),FALSE),ROUND(D374+(E374-D374)*(1+G374)*((9-1)/(MaxLevel-1))^(2^F374),0),D374+(E374-D374)*(1+G374)*((9-1)/(MaxLevel-1))^(2^F374)))</f>
        <v>317.77777777777777</v>
      </c>
      <c r="Q374" s="12">
        <f>IF(OR(D374="",E374=""),"",IF(IFERROR(INDEX(Stats!$D:$D,MATCH($C374,Stats!$A:$A,0)),FALSE),ROUND(D374+(E374-D374)*(1+G374)*((10-1)/(MaxLevel-1))^(2^F374),0),D374+(E374-D374)*(1+G374)*((10-1)/(MaxLevel-1))^(2^F374)))</f>
        <v>320</v>
      </c>
    </row>
    <row r="375" spans="1:17" x14ac:dyDescent="0.25">
      <c r="A375" s="4" t="s">
        <v>185</v>
      </c>
      <c r="B375" s="19" t="s">
        <v>234</v>
      </c>
      <c r="C375" s="4" t="s">
        <v>48</v>
      </c>
      <c r="D375" s="5"/>
      <c r="E375" s="5"/>
      <c r="F375" s="5"/>
      <c r="G375" s="5"/>
      <c r="H375" s="12" t="str">
        <f>IF(OR(D375="",E375=""),"",IF(IFERROR(INDEX(Stats!$D:$D,MATCH($C375,Stats!$A:$A,0)),FALSE),ROUND(D375+(E375-D375)*(1+G375)*((1-1)/(MaxLevel-1))^(2^F375),0),D375+(E375-D375)*(1+G375)*((1-1)/(MaxLevel-1))^(2^F375)))</f>
        <v/>
      </c>
      <c r="I375" s="12" t="str">
        <f>IF(OR(D375="",E375=""),"",IF(IFERROR(INDEX(Stats!$D:$D,MATCH($C375,Stats!$A:$A,0)),FALSE),ROUND(D375+(E375-D375)*(1+G375)*((2-1)/(MaxLevel-1))^(2^F375),0),D375+(E375-D375)*(1+G375)*((2-1)/(MaxLevel-1))^(2^F375)))</f>
        <v/>
      </c>
      <c r="J375" s="12" t="str">
        <f>IF(OR(D375="",E375=""),"",IF(IFERROR(INDEX(Stats!$D:$D,MATCH($C375,Stats!$A:$A,0)),FALSE),ROUND(D375+(E375-D375)*(1+G375)*((3-1)/(MaxLevel-1))^(2^F375),0),D375+(E375-D375)*(1+G375)*((3-1)/(MaxLevel-1))^(2^F375)))</f>
        <v/>
      </c>
      <c r="K375" s="12" t="str">
        <f>IF(OR(D375="",E375=""),"",IF(IFERROR(INDEX(Stats!$D:$D,MATCH($C375,Stats!$A:$A,0)),FALSE),ROUND(D375+(E375-D375)*(1+G375)*((4-1)/(MaxLevel-1))^(2^F375),0),D375+(E375-D375)*(1+G375)*((4-1)/(MaxLevel-1))^(2^F375)))</f>
        <v/>
      </c>
      <c r="L375" s="12" t="str">
        <f>IF(OR(D375="",E375=""),"",IF(IFERROR(INDEX(Stats!$D:$D,MATCH($C375,Stats!$A:$A,0)),FALSE),ROUND(D375+(E375-D375)*(1+G375)*((5-1)/(MaxLevel-1))^(2^F375),0),D375+(E375-D375)*(1+G375)*((5-1)/(MaxLevel-1))^(2^F375)))</f>
        <v/>
      </c>
      <c r="M375" s="12" t="str">
        <f>IF(OR(D375="",E375=""),"",IF(IFERROR(INDEX(Stats!$D:$D,MATCH($C375,Stats!$A:$A,0)),FALSE),ROUND(D375+(E375-D375)*(1+G375)*((6-1)/(MaxLevel-1))^(2^F375),0),D375+(E375-D375)*(1+G375)*((6-1)/(MaxLevel-1))^(2^F375)))</f>
        <v/>
      </c>
      <c r="N375" s="12" t="str">
        <f>IF(OR(D375="",E375=""),"",IF(IFERROR(INDEX(Stats!$D:$D,MATCH($C375,Stats!$A:$A,0)),FALSE),ROUND(D375+(E375-D375)*(1+G375)*((7-1)/(MaxLevel-1))^(2^F375),0),D375+(E375-D375)*(1+G375)*((7-1)/(MaxLevel-1))^(2^F375)))</f>
        <v/>
      </c>
      <c r="O375" s="12" t="str">
        <f>IF(OR(D375="",E375=""),"",IF(IFERROR(INDEX(Stats!$D:$D,MATCH($C375,Stats!$A:$A,0)),FALSE),ROUND(D375+(E375-D375)*(1+G375)*((8-1)/(MaxLevel-1))^(2^F375),0),D375+(E375-D375)*(1+G375)*((8-1)/(MaxLevel-1))^(2^F375)))</f>
        <v/>
      </c>
      <c r="P375" s="12" t="str">
        <f>IF(OR(D375="",E375=""),"",IF(IFERROR(INDEX(Stats!$D:$D,MATCH($C375,Stats!$A:$A,0)),FALSE),ROUND(D375+(E375-D375)*(1+G375)*((9-1)/(MaxLevel-1))^(2^F375),0),D375+(E375-D375)*(1+G375)*((9-1)/(MaxLevel-1))^(2^F375)))</f>
        <v/>
      </c>
      <c r="Q375" s="12" t="str">
        <f>IF(OR(D375="",E375=""),"",IF(IFERROR(INDEX(Stats!$D:$D,MATCH($C375,Stats!$A:$A,0)),FALSE),ROUND(D375+(E375-D375)*(1+G375)*((10-1)/(MaxLevel-1))^(2^F375),0),D375+(E375-D375)*(1+G375)*((10-1)/(MaxLevel-1))^(2^F375)))</f>
        <v/>
      </c>
    </row>
    <row r="376" spans="1:17" x14ac:dyDescent="0.25">
      <c r="A376" s="4" t="s">
        <v>185</v>
      </c>
      <c r="B376" s="19" t="s">
        <v>234</v>
      </c>
      <c r="C376" s="4" t="s">
        <v>50</v>
      </c>
      <c r="D376" s="5"/>
      <c r="E376" s="5"/>
      <c r="F376" s="5"/>
      <c r="G376" s="5"/>
      <c r="H376" s="12" t="str">
        <f>IF(OR(D376="",E376=""),"",IF(IFERROR(INDEX(Stats!$D:$D,MATCH($C376,Stats!$A:$A,0)),FALSE),ROUND(D376+(E376-D376)*(1+G376)*((1-1)/(MaxLevel-1))^(2^F376),0),D376+(E376-D376)*(1+G376)*((1-1)/(MaxLevel-1))^(2^F376)))</f>
        <v/>
      </c>
      <c r="I376" s="12" t="str">
        <f>IF(OR(D376="",E376=""),"",IF(IFERROR(INDEX(Stats!$D:$D,MATCH($C376,Stats!$A:$A,0)),FALSE),ROUND(D376+(E376-D376)*(1+G376)*((2-1)/(MaxLevel-1))^(2^F376),0),D376+(E376-D376)*(1+G376)*((2-1)/(MaxLevel-1))^(2^F376)))</f>
        <v/>
      </c>
      <c r="J376" s="12" t="str">
        <f>IF(OR(D376="",E376=""),"",IF(IFERROR(INDEX(Stats!$D:$D,MATCH($C376,Stats!$A:$A,0)),FALSE),ROUND(D376+(E376-D376)*(1+G376)*((3-1)/(MaxLevel-1))^(2^F376),0),D376+(E376-D376)*(1+G376)*((3-1)/(MaxLevel-1))^(2^F376)))</f>
        <v/>
      </c>
      <c r="K376" s="12" t="str">
        <f>IF(OR(D376="",E376=""),"",IF(IFERROR(INDEX(Stats!$D:$D,MATCH($C376,Stats!$A:$A,0)),FALSE),ROUND(D376+(E376-D376)*(1+G376)*((4-1)/(MaxLevel-1))^(2^F376),0),D376+(E376-D376)*(1+G376)*((4-1)/(MaxLevel-1))^(2^F376)))</f>
        <v/>
      </c>
      <c r="L376" s="12" t="str">
        <f>IF(OR(D376="",E376=""),"",IF(IFERROR(INDEX(Stats!$D:$D,MATCH($C376,Stats!$A:$A,0)),FALSE),ROUND(D376+(E376-D376)*(1+G376)*((5-1)/(MaxLevel-1))^(2^F376),0),D376+(E376-D376)*(1+G376)*((5-1)/(MaxLevel-1))^(2^F376)))</f>
        <v/>
      </c>
      <c r="M376" s="12" t="str">
        <f>IF(OR(D376="",E376=""),"",IF(IFERROR(INDEX(Stats!$D:$D,MATCH($C376,Stats!$A:$A,0)),FALSE),ROUND(D376+(E376-D376)*(1+G376)*((6-1)/(MaxLevel-1))^(2^F376),0),D376+(E376-D376)*(1+G376)*((6-1)/(MaxLevel-1))^(2^F376)))</f>
        <v/>
      </c>
      <c r="N376" s="12" t="str">
        <f>IF(OR(D376="",E376=""),"",IF(IFERROR(INDEX(Stats!$D:$D,MATCH($C376,Stats!$A:$A,0)),FALSE),ROUND(D376+(E376-D376)*(1+G376)*((7-1)/(MaxLevel-1))^(2^F376),0),D376+(E376-D376)*(1+G376)*((7-1)/(MaxLevel-1))^(2^F376)))</f>
        <v/>
      </c>
      <c r="O376" s="12" t="str">
        <f>IF(OR(D376="",E376=""),"",IF(IFERROR(INDEX(Stats!$D:$D,MATCH($C376,Stats!$A:$A,0)),FALSE),ROUND(D376+(E376-D376)*(1+G376)*((8-1)/(MaxLevel-1))^(2^F376),0),D376+(E376-D376)*(1+G376)*((8-1)/(MaxLevel-1))^(2^F376)))</f>
        <v/>
      </c>
      <c r="P376" s="12" t="str">
        <f>IF(OR(D376="",E376=""),"",IF(IFERROR(INDEX(Stats!$D:$D,MATCH($C376,Stats!$A:$A,0)),FALSE),ROUND(D376+(E376-D376)*(1+G376)*((9-1)/(MaxLevel-1))^(2^F376),0),D376+(E376-D376)*(1+G376)*((9-1)/(MaxLevel-1))^(2^F376)))</f>
        <v/>
      </c>
      <c r="Q376" s="12" t="str">
        <f>IF(OR(D376="",E376=""),"",IF(IFERROR(INDEX(Stats!$D:$D,MATCH($C376,Stats!$A:$A,0)),FALSE),ROUND(D376+(E376-D376)*(1+G376)*((10-1)/(MaxLevel-1))^(2^F376),0),D376+(E376-D376)*(1+G376)*((10-1)/(MaxLevel-1))^(2^F376)))</f>
        <v/>
      </c>
    </row>
    <row r="377" spans="1:17" x14ac:dyDescent="0.25">
      <c r="A377" s="4" t="s">
        <v>185</v>
      </c>
      <c r="B377" s="19" t="s">
        <v>234</v>
      </c>
      <c r="C377" s="4" t="s">
        <v>52</v>
      </c>
      <c r="D377" s="5"/>
      <c r="E377" s="5"/>
      <c r="F377" s="5"/>
      <c r="G377" s="5"/>
      <c r="H377" s="12" t="str">
        <f>IF(OR(D377="",E377=""),"",IF(IFERROR(INDEX(Stats!$D:$D,MATCH($C377,Stats!$A:$A,0)),FALSE),ROUND(D377+(E377-D377)*(1+G377)*((1-1)/(MaxLevel-1))^(2^F377),0),D377+(E377-D377)*(1+G377)*((1-1)/(MaxLevel-1))^(2^F377)))</f>
        <v/>
      </c>
      <c r="I377" s="12" t="str">
        <f>IF(OR(D377="",E377=""),"",IF(IFERROR(INDEX(Stats!$D:$D,MATCH($C377,Stats!$A:$A,0)),FALSE),ROUND(D377+(E377-D377)*(1+G377)*((2-1)/(MaxLevel-1))^(2^F377),0),D377+(E377-D377)*(1+G377)*((2-1)/(MaxLevel-1))^(2^F377)))</f>
        <v/>
      </c>
      <c r="J377" s="12" t="str">
        <f>IF(OR(D377="",E377=""),"",IF(IFERROR(INDEX(Stats!$D:$D,MATCH($C377,Stats!$A:$A,0)),FALSE),ROUND(D377+(E377-D377)*(1+G377)*((3-1)/(MaxLevel-1))^(2^F377),0),D377+(E377-D377)*(1+G377)*((3-1)/(MaxLevel-1))^(2^F377)))</f>
        <v/>
      </c>
      <c r="K377" s="12" t="str">
        <f>IF(OR(D377="",E377=""),"",IF(IFERROR(INDEX(Stats!$D:$D,MATCH($C377,Stats!$A:$A,0)),FALSE),ROUND(D377+(E377-D377)*(1+G377)*((4-1)/(MaxLevel-1))^(2^F377),0),D377+(E377-D377)*(1+G377)*((4-1)/(MaxLevel-1))^(2^F377)))</f>
        <v/>
      </c>
      <c r="L377" s="12" t="str">
        <f>IF(OR(D377="",E377=""),"",IF(IFERROR(INDEX(Stats!$D:$D,MATCH($C377,Stats!$A:$A,0)),FALSE),ROUND(D377+(E377-D377)*(1+G377)*((5-1)/(MaxLevel-1))^(2^F377),0),D377+(E377-D377)*(1+G377)*((5-1)/(MaxLevel-1))^(2^F377)))</f>
        <v/>
      </c>
      <c r="M377" s="12" t="str">
        <f>IF(OR(D377="",E377=""),"",IF(IFERROR(INDEX(Stats!$D:$D,MATCH($C377,Stats!$A:$A,0)),FALSE),ROUND(D377+(E377-D377)*(1+G377)*((6-1)/(MaxLevel-1))^(2^F377),0),D377+(E377-D377)*(1+G377)*((6-1)/(MaxLevel-1))^(2^F377)))</f>
        <v/>
      </c>
      <c r="N377" s="12" t="str">
        <f>IF(OR(D377="",E377=""),"",IF(IFERROR(INDEX(Stats!$D:$D,MATCH($C377,Stats!$A:$A,0)),FALSE),ROUND(D377+(E377-D377)*(1+G377)*((7-1)/(MaxLevel-1))^(2^F377),0),D377+(E377-D377)*(1+G377)*((7-1)/(MaxLevel-1))^(2^F377)))</f>
        <v/>
      </c>
      <c r="O377" s="12" t="str">
        <f>IF(OR(D377="",E377=""),"",IF(IFERROR(INDEX(Stats!$D:$D,MATCH($C377,Stats!$A:$A,0)),FALSE),ROUND(D377+(E377-D377)*(1+G377)*((8-1)/(MaxLevel-1))^(2^F377),0),D377+(E377-D377)*(1+G377)*((8-1)/(MaxLevel-1))^(2^F377)))</f>
        <v/>
      </c>
      <c r="P377" s="12" t="str">
        <f>IF(OR(D377="",E377=""),"",IF(IFERROR(INDEX(Stats!$D:$D,MATCH($C377,Stats!$A:$A,0)),FALSE),ROUND(D377+(E377-D377)*(1+G377)*((9-1)/(MaxLevel-1))^(2^F377),0),D377+(E377-D377)*(1+G377)*((9-1)/(MaxLevel-1))^(2^F377)))</f>
        <v/>
      </c>
      <c r="Q377" s="12" t="str">
        <f>IF(OR(D377="",E377=""),"",IF(IFERROR(INDEX(Stats!$D:$D,MATCH($C377,Stats!$A:$A,0)),FALSE),ROUND(D377+(E377-D377)*(1+G377)*((10-1)/(MaxLevel-1))^(2^F377),0),D377+(E377-D377)*(1+G377)*((10-1)/(MaxLevel-1))^(2^F377)))</f>
        <v/>
      </c>
    </row>
    <row r="378" spans="1:17" x14ac:dyDescent="0.25">
      <c r="A378" s="4" t="s">
        <v>185</v>
      </c>
      <c r="B378" s="19" t="s">
        <v>234</v>
      </c>
      <c r="C378" s="4" t="s">
        <v>54</v>
      </c>
      <c r="D378" s="5"/>
      <c r="E378" s="5"/>
      <c r="F378" s="5"/>
      <c r="G378" s="5"/>
      <c r="H378" s="12" t="str">
        <f>IF(OR(D378="",E378=""),"",IF(IFERROR(INDEX(Stats!$D:$D,MATCH($C378,Stats!$A:$A,0)),FALSE),ROUND(D378+(E378-D378)*(1+G378)*((1-1)/(MaxLevel-1))^(2^F378),0),D378+(E378-D378)*(1+G378)*((1-1)/(MaxLevel-1))^(2^F378)))</f>
        <v/>
      </c>
      <c r="I378" s="12" t="str">
        <f>IF(OR(D378="",E378=""),"",IF(IFERROR(INDEX(Stats!$D:$D,MATCH($C378,Stats!$A:$A,0)),FALSE),ROUND(D378+(E378-D378)*(1+G378)*((2-1)/(MaxLevel-1))^(2^F378),0),D378+(E378-D378)*(1+G378)*((2-1)/(MaxLevel-1))^(2^F378)))</f>
        <v/>
      </c>
      <c r="J378" s="12" t="str">
        <f>IF(OR(D378="",E378=""),"",IF(IFERROR(INDEX(Stats!$D:$D,MATCH($C378,Stats!$A:$A,0)),FALSE),ROUND(D378+(E378-D378)*(1+G378)*((3-1)/(MaxLevel-1))^(2^F378),0),D378+(E378-D378)*(1+G378)*((3-1)/(MaxLevel-1))^(2^F378)))</f>
        <v/>
      </c>
      <c r="K378" s="12" t="str">
        <f>IF(OR(D378="",E378=""),"",IF(IFERROR(INDEX(Stats!$D:$D,MATCH($C378,Stats!$A:$A,0)),FALSE),ROUND(D378+(E378-D378)*(1+G378)*((4-1)/(MaxLevel-1))^(2^F378),0),D378+(E378-D378)*(1+G378)*((4-1)/(MaxLevel-1))^(2^F378)))</f>
        <v/>
      </c>
      <c r="L378" s="12" t="str">
        <f>IF(OR(D378="",E378=""),"",IF(IFERROR(INDEX(Stats!$D:$D,MATCH($C378,Stats!$A:$A,0)),FALSE),ROUND(D378+(E378-D378)*(1+G378)*((5-1)/(MaxLevel-1))^(2^F378),0),D378+(E378-D378)*(1+G378)*((5-1)/(MaxLevel-1))^(2^F378)))</f>
        <v/>
      </c>
      <c r="M378" s="12" t="str">
        <f>IF(OR(D378="",E378=""),"",IF(IFERROR(INDEX(Stats!$D:$D,MATCH($C378,Stats!$A:$A,0)),FALSE),ROUND(D378+(E378-D378)*(1+G378)*((6-1)/(MaxLevel-1))^(2^F378),0),D378+(E378-D378)*(1+G378)*((6-1)/(MaxLevel-1))^(2^F378)))</f>
        <v/>
      </c>
      <c r="N378" s="12" t="str">
        <f>IF(OR(D378="",E378=""),"",IF(IFERROR(INDEX(Stats!$D:$D,MATCH($C378,Stats!$A:$A,0)),FALSE),ROUND(D378+(E378-D378)*(1+G378)*((7-1)/(MaxLevel-1))^(2^F378),0),D378+(E378-D378)*(1+G378)*((7-1)/(MaxLevel-1))^(2^F378)))</f>
        <v/>
      </c>
      <c r="O378" s="12" t="str">
        <f>IF(OR(D378="",E378=""),"",IF(IFERROR(INDEX(Stats!$D:$D,MATCH($C378,Stats!$A:$A,0)),FALSE),ROUND(D378+(E378-D378)*(1+G378)*((8-1)/(MaxLevel-1))^(2^F378),0),D378+(E378-D378)*(1+G378)*((8-1)/(MaxLevel-1))^(2^F378)))</f>
        <v/>
      </c>
      <c r="P378" s="12" t="str">
        <f>IF(OR(D378="",E378=""),"",IF(IFERROR(INDEX(Stats!$D:$D,MATCH($C378,Stats!$A:$A,0)),FALSE),ROUND(D378+(E378-D378)*(1+G378)*((9-1)/(MaxLevel-1))^(2^F378),0),D378+(E378-D378)*(1+G378)*((9-1)/(MaxLevel-1))^(2^F378)))</f>
        <v/>
      </c>
      <c r="Q378" s="12" t="str">
        <f>IF(OR(D378="",E378=""),"",IF(IFERROR(INDEX(Stats!$D:$D,MATCH($C378,Stats!$A:$A,0)),FALSE),ROUND(D378+(E378-D378)*(1+G378)*((10-1)/(MaxLevel-1))^(2^F378),0),D378+(E378-D378)*(1+G378)*((10-1)/(MaxLevel-1))^(2^F378)))</f>
        <v/>
      </c>
    </row>
    <row r="379" spans="1:17" x14ac:dyDescent="0.25">
      <c r="A379" s="4" t="s">
        <v>185</v>
      </c>
      <c r="B379" s="19" t="s">
        <v>234</v>
      </c>
      <c r="C379" s="4" t="s">
        <v>56</v>
      </c>
      <c r="D379" s="5"/>
      <c r="E379" s="5"/>
      <c r="F379" s="5"/>
      <c r="G379" s="5"/>
      <c r="H379" s="12" t="str">
        <f>IF(OR(D379="",E379=""),"",IF(IFERROR(INDEX(Stats!$D:$D,MATCH($C379,Stats!$A:$A,0)),FALSE),ROUND(D379+(E379-D379)*(1+G379)*((1-1)/(MaxLevel-1))^(2^F379),0),D379+(E379-D379)*(1+G379)*((1-1)/(MaxLevel-1))^(2^F379)))</f>
        <v/>
      </c>
      <c r="I379" s="12" t="str">
        <f>IF(OR(D379="",E379=""),"",IF(IFERROR(INDEX(Stats!$D:$D,MATCH($C379,Stats!$A:$A,0)),FALSE),ROUND(D379+(E379-D379)*(1+G379)*((2-1)/(MaxLevel-1))^(2^F379),0),D379+(E379-D379)*(1+G379)*((2-1)/(MaxLevel-1))^(2^F379)))</f>
        <v/>
      </c>
      <c r="J379" s="12" t="str">
        <f>IF(OR(D379="",E379=""),"",IF(IFERROR(INDEX(Stats!$D:$D,MATCH($C379,Stats!$A:$A,0)),FALSE),ROUND(D379+(E379-D379)*(1+G379)*((3-1)/(MaxLevel-1))^(2^F379),0),D379+(E379-D379)*(1+G379)*((3-1)/(MaxLevel-1))^(2^F379)))</f>
        <v/>
      </c>
      <c r="K379" s="12" t="str">
        <f>IF(OR(D379="",E379=""),"",IF(IFERROR(INDEX(Stats!$D:$D,MATCH($C379,Stats!$A:$A,0)),FALSE),ROUND(D379+(E379-D379)*(1+G379)*((4-1)/(MaxLevel-1))^(2^F379),0),D379+(E379-D379)*(1+G379)*((4-1)/(MaxLevel-1))^(2^F379)))</f>
        <v/>
      </c>
      <c r="L379" s="12" t="str">
        <f>IF(OR(D379="",E379=""),"",IF(IFERROR(INDEX(Stats!$D:$D,MATCH($C379,Stats!$A:$A,0)),FALSE),ROUND(D379+(E379-D379)*(1+G379)*((5-1)/(MaxLevel-1))^(2^F379),0),D379+(E379-D379)*(1+G379)*((5-1)/(MaxLevel-1))^(2^F379)))</f>
        <v/>
      </c>
      <c r="M379" s="12" t="str">
        <f>IF(OR(D379="",E379=""),"",IF(IFERROR(INDEX(Stats!$D:$D,MATCH($C379,Stats!$A:$A,0)),FALSE),ROUND(D379+(E379-D379)*(1+G379)*((6-1)/(MaxLevel-1))^(2^F379),0),D379+(E379-D379)*(1+G379)*((6-1)/(MaxLevel-1))^(2^F379)))</f>
        <v/>
      </c>
      <c r="N379" s="12" t="str">
        <f>IF(OR(D379="",E379=""),"",IF(IFERROR(INDEX(Stats!$D:$D,MATCH($C379,Stats!$A:$A,0)),FALSE),ROUND(D379+(E379-D379)*(1+G379)*((7-1)/(MaxLevel-1))^(2^F379),0),D379+(E379-D379)*(1+G379)*((7-1)/(MaxLevel-1))^(2^F379)))</f>
        <v/>
      </c>
      <c r="O379" s="12" t="str">
        <f>IF(OR(D379="",E379=""),"",IF(IFERROR(INDEX(Stats!$D:$D,MATCH($C379,Stats!$A:$A,0)),FALSE),ROUND(D379+(E379-D379)*(1+G379)*((8-1)/(MaxLevel-1))^(2^F379),0),D379+(E379-D379)*(1+G379)*((8-1)/(MaxLevel-1))^(2^F379)))</f>
        <v/>
      </c>
      <c r="P379" s="12" t="str">
        <f>IF(OR(D379="",E379=""),"",IF(IFERROR(INDEX(Stats!$D:$D,MATCH($C379,Stats!$A:$A,0)),FALSE),ROUND(D379+(E379-D379)*(1+G379)*((9-1)/(MaxLevel-1))^(2^F379),0),D379+(E379-D379)*(1+G379)*((9-1)/(MaxLevel-1))^(2^F379)))</f>
        <v/>
      </c>
      <c r="Q379" s="12" t="str">
        <f>IF(OR(D379="",E379=""),"",IF(IFERROR(INDEX(Stats!$D:$D,MATCH($C379,Stats!$A:$A,0)),FALSE),ROUND(D379+(E379-D379)*(1+G379)*((10-1)/(MaxLevel-1))^(2^F379),0),D379+(E379-D379)*(1+G379)*((10-1)/(MaxLevel-1))^(2^F379)))</f>
        <v/>
      </c>
    </row>
    <row r="380" spans="1:17" x14ac:dyDescent="0.25">
      <c r="A380" s="4" t="s">
        <v>185</v>
      </c>
      <c r="B380" s="19" t="s">
        <v>234</v>
      </c>
      <c r="C380" s="4" t="s">
        <v>58</v>
      </c>
      <c r="D380" s="5"/>
      <c r="E380" s="5"/>
      <c r="F380" s="5"/>
      <c r="G380" s="5"/>
      <c r="H380" s="12" t="str">
        <f>IF(OR(D380="",E380=""),"",IF(IFERROR(INDEX(Stats!$D:$D,MATCH($C380,Stats!$A:$A,0)),FALSE),ROUND(D380+(E380-D380)*(1+G380)*((1-1)/(MaxLevel-1))^(2^F380),0),D380+(E380-D380)*(1+G380)*((1-1)/(MaxLevel-1))^(2^F380)))</f>
        <v/>
      </c>
      <c r="I380" s="12" t="str">
        <f>IF(OR(D380="",E380=""),"",IF(IFERROR(INDEX(Stats!$D:$D,MATCH($C380,Stats!$A:$A,0)),FALSE),ROUND(D380+(E380-D380)*(1+G380)*((2-1)/(MaxLevel-1))^(2^F380),0),D380+(E380-D380)*(1+G380)*((2-1)/(MaxLevel-1))^(2^F380)))</f>
        <v/>
      </c>
      <c r="J380" s="12" t="str">
        <f>IF(OR(D380="",E380=""),"",IF(IFERROR(INDEX(Stats!$D:$D,MATCH($C380,Stats!$A:$A,0)),FALSE),ROUND(D380+(E380-D380)*(1+G380)*((3-1)/(MaxLevel-1))^(2^F380),0),D380+(E380-D380)*(1+G380)*((3-1)/(MaxLevel-1))^(2^F380)))</f>
        <v/>
      </c>
      <c r="K380" s="12" t="str">
        <f>IF(OR(D380="",E380=""),"",IF(IFERROR(INDEX(Stats!$D:$D,MATCH($C380,Stats!$A:$A,0)),FALSE),ROUND(D380+(E380-D380)*(1+G380)*((4-1)/(MaxLevel-1))^(2^F380),0),D380+(E380-D380)*(1+G380)*((4-1)/(MaxLevel-1))^(2^F380)))</f>
        <v/>
      </c>
      <c r="L380" s="12" t="str">
        <f>IF(OR(D380="",E380=""),"",IF(IFERROR(INDEX(Stats!$D:$D,MATCH($C380,Stats!$A:$A,0)),FALSE),ROUND(D380+(E380-D380)*(1+G380)*((5-1)/(MaxLevel-1))^(2^F380),0),D380+(E380-D380)*(1+G380)*((5-1)/(MaxLevel-1))^(2^F380)))</f>
        <v/>
      </c>
      <c r="M380" s="12" t="str">
        <f>IF(OR(D380="",E380=""),"",IF(IFERROR(INDEX(Stats!$D:$D,MATCH($C380,Stats!$A:$A,0)),FALSE),ROUND(D380+(E380-D380)*(1+G380)*((6-1)/(MaxLevel-1))^(2^F380),0),D380+(E380-D380)*(1+G380)*((6-1)/(MaxLevel-1))^(2^F380)))</f>
        <v/>
      </c>
      <c r="N380" s="12" t="str">
        <f>IF(OR(D380="",E380=""),"",IF(IFERROR(INDEX(Stats!$D:$D,MATCH($C380,Stats!$A:$A,0)),FALSE),ROUND(D380+(E380-D380)*(1+G380)*((7-1)/(MaxLevel-1))^(2^F380),0),D380+(E380-D380)*(1+G380)*((7-1)/(MaxLevel-1))^(2^F380)))</f>
        <v/>
      </c>
      <c r="O380" s="12" t="str">
        <f>IF(OR(D380="",E380=""),"",IF(IFERROR(INDEX(Stats!$D:$D,MATCH($C380,Stats!$A:$A,0)),FALSE),ROUND(D380+(E380-D380)*(1+G380)*((8-1)/(MaxLevel-1))^(2^F380),0),D380+(E380-D380)*(1+G380)*((8-1)/(MaxLevel-1))^(2^F380)))</f>
        <v/>
      </c>
      <c r="P380" s="12" t="str">
        <f>IF(OR(D380="",E380=""),"",IF(IFERROR(INDEX(Stats!$D:$D,MATCH($C380,Stats!$A:$A,0)),FALSE),ROUND(D380+(E380-D380)*(1+G380)*((9-1)/(MaxLevel-1))^(2^F380),0),D380+(E380-D380)*(1+G380)*((9-1)/(MaxLevel-1))^(2^F380)))</f>
        <v/>
      </c>
      <c r="Q380" s="12" t="str">
        <f>IF(OR(D380="",E380=""),"",IF(IFERROR(INDEX(Stats!$D:$D,MATCH($C380,Stats!$A:$A,0)),FALSE),ROUND(D380+(E380-D380)*(1+G380)*((10-1)/(MaxLevel-1))^(2^F380),0),D380+(E380-D380)*(1+G380)*((10-1)/(MaxLevel-1))^(2^F380)))</f>
        <v/>
      </c>
    </row>
    <row r="381" spans="1:17" x14ac:dyDescent="0.25">
      <c r="A381" s="4" t="s">
        <v>185</v>
      </c>
      <c r="B381" s="19" t="s">
        <v>234</v>
      </c>
      <c r="C381" s="4" t="s">
        <v>60</v>
      </c>
      <c r="D381" s="5"/>
      <c r="E381" s="5"/>
      <c r="F381" s="5"/>
      <c r="G381" s="5"/>
      <c r="H381" s="12" t="str">
        <f>IF(OR(D381="",E381=""),"",IF(IFERROR(INDEX(Stats!$D:$D,MATCH($C381,Stats!$A:$A,0)),FALSE),ROUND(D381+(E381-D381)*(1+G381)*((1-1)/(MaxLevel-1))^(2^F381),0),D381+(E381-D381)*(1+G381)*((1-1)/(MaxLevel-1))^(2^F381)))</f>
        <v/>
      </c>
      <c r="I381" s="12" t="str">
        <f>IF(OR(D381="",E381=""),"",IF(IFERROR(INDEX(Stats!$D:$D,MATCH($C381,Stats!$A:$A,0)),FALSE),ROUND(D381+(E381-D381)*(1+G381)*((2-1)/(MaxLevel-1))^(2^F381),0),D381+(E381-D381)*(1+G381)*((2-1)/(MaxLevel-1))^(2^F381)))</f>
        <v/>
      </c>
      <c r="J381" s="12" t="str">
        <f>IF(OR(D381="",E381=""),"",IF(IFERROR(INDEX(Stats!$D:$D,MATCH($C381,Stats!$A:$A,0)),FALSE),ROUND(D381+(E381-D381)*(1+G381)*((3-1)/(MaxLevel-1))^(2^F381),0),D381+(E381-D381)*(1+G381)*((3-1)/(MaxLevel-1))^(2^F381)))</f>
        <v/>
      </c>
      <c r="K381" s="12" t="str">
        <f>IF(OR(D381="",E381=""),"",IF(IFERROR(INDEX(Stats!$D:$D,MATCH($C381,Stats!$A:$A,0)),FALSE),ROUND(D381+(E381-D381)*(1+G381)*((4-1)/(MaxLevel-1))^(2^F381),0),D381+(E381-D381)*(1+G381)*((4-1)/(MaxLevel-1))^(2^F381)))</f>
        <v/>
      </c>
      <c r="L381" s="12" t="str">
        <f>IF(OR(D381="",E381=""),"",IF(IFERROR(INDEX(Stats!$D:$D,MATCH($C381,Stats!$A:$A,0)),FALSE),ROUND(D381+(E381-D381)*(1+G381)*((5-1)/(MaxLevel-1))^(2^F381),0),D381+(E381-D381)*(1+G381)*((5-1)/(MaxLevel-1))^(2^F381)))</f>
        <v/>
      </c>
      <c r="M381" s="12" t="str">
        <f>IF(OR(D381="",E381=""),"",IF(IFERROR(INDEX(Stats!$D:$D,MATCH($C381,Stats!$A:$A,0)),FALSE),ROUND(D381+(E381-D381)*(1+G381)*((6-1)/(MaxLevel-1))^(2^F381),0),D381+(E381-D381)*(1+G381)*((6-1)/(MaxLevel-1))^(2^F381)))</f>
        <v/>
      </c>
      <c r="N381" s="12" t="str">
        <f>IF(OR(D381="",E381=""),"",IF(IFERROR(INDEX(Stats!$D:$D,MATCH($C381,Stats!$A:$A,0)),FALSE),ROUND(D381+(E381-D381)*(1+G381)*((7-1)/(MaxLevel-1))^(2^F381),0),D381+(E381-D381)*(1+G381)*((7-1)/(MaxLevel-1))^(2^F381)))</f>
        <v/>
      </c>
      <c r="O381" s="12" t="str">
        <f>IF(OR(D381="",E381=""),"",IF(IFERROR(INDEX(Stats!$D:$D,MATCH($C381,Stats!$A:$A,0)),FALSE),ROUND(D381+(E381-D381)*(1+G381)*((8-1)/(MaxLevel-1))^(2^F381),0),D381+(E381-D381)*(1+G381)*((8-1)/(MaxLevel-1))^(2^F381)))</f>
        <v/>
      </c>
      <c r="P381" s="12" t="str">
        <f>IF(OR(D381="",E381=""),"",IF(IFERROR(INDEX(Stats!$D:$D,MATCH($C381,Stats!$A:$A,0)),FALSE),ROUND(D381+(E381-D381)*(1+G381)*((9-1)/(MaxLevel-1))^(2^F381),0),D381+(E381-D381)*(1+G381)*((9-1)/(MaxLevel-1))^(2^F381)))</f>
        <v/>
      </c>
      <c r="Q381" s="12" t="str">
        <f>IF(OR(D381="",E381=""),"",IF(IFERROR(INDEX(Stats!$D:$D,MATCH($C381,Stats!$A:$A,0)),FALSE),ROUND(D381+(E381-D381)*(1+G381)*((10-1)/(MaxLevel-1))^(2^F381),0),D381+(E381-D381)*(1+G381)*((10-1)/(MaxLevel-1))^(2^F381)))</f>
        <v/>
      </c>
    </row>
    <row r="382" spans="1:17" x14ac:dyDescent="0.25">
      <c r="A382" s="4" t="s">
        <v>185</v>
      </c>
      <c r="B382" s="19" t="s">
        <v>235</v>
      </c>
      <c r="C382" s="4" t="s">
        <v>24</v>
      </c>
      <c r="D382" s="5">
        <v>0</v>
      </c>
      <c r="E382" s="5">
        <v>5000</v>
      </c>
      <c r="F382" s="5">
        <v>1</v>
      </c>
      <c r="G382" s="5">
        <v>0</v>
      </c>
      <c r="H382" s="12">
        <f>IF(OR(D382="",E382=""),"",IF(IFERROR(INDEX(Stats!$D:$D,MATCH($C382,Stats!$A:$A,0)),FALSE),ROUND(D382+(E382-D382)*(1+G382)*((1-1)/(MaxLevel-1))^(2^F382),0),D382+(E382-D382)*(1+G382)*((1-1)/(MaxLevel-1))^(2^F382)))</f>
        <v>0</v>
      </c>
      <c r="I382" s="12">
        <f>IF(OR(D382="",E382=""),"",IF(IFERROR(INDEX(Stats!$D:$D,MATCH($C382,Stats!$A:$A,0)),FALSE),ROUND(D382+(E382-D382)*(1+G382)*((2-1)/(MaxLevel-1))^(2^F382),0),D382+(E382-D382)*(1+G382)*((2-1)/(MaxLevel-1))^(2^F382)))</f>
        <v>62</v>
      </c>
      <c r="J382" s="12">
        <f>IF(OR(D382="",E382=""),"",IF(IFERROR(INDEX(Stats!$D:$D,MATCH($C382,Stats!$A:$A,0)),FALSE),ROUND(D382+(E382-D382)*(1+G382)*((3-1)/(MaxLevel-1))^(2^F382),0),D382+(E382-D382)*(1+G382)*((3-1)/(MaxLevel-1))^(2^F382)))</f>
        <v>247</v>
      </c>
      <c r="K382" s="12">
        <f>IF(OR(D382="",E382=""),"",IF(IFERROR(INDEX(Stats!$D:$D,MATCH($C382,Stats!$A:$A,0)),FALSE),ROUND(D382+(E382-D382)*(1+G382)*((4-1)/(MaxLevel-1))^(2^F382),0),D382+(E382-D382)*(1+G382)*((4-1)/(MaxLevel-1))^(2^F382)))</f>
        <v>556</v>
      </c>
      <c r="L382" s="12">
        <f>IF(OR(D382="",E382=""),"",IF(IFERROR(INDEX(Stats!$D:$D,MATCH($C382,Stats!$A:$A,0)),FALSE),ROUND(D382+(E382-D382)*(1+G382)*((5-1)/(MaxLevel-1))^(2^F382),0),D382+(E382-D382)*(1+G382)*((5-1)/(MaxLevel-1))^(2^F382)))</f>
        <v>988</v>
      </c>
      <c r="M382" s="12">
        <f>IF(OR(D382="",E382=""),"",IF(IFERROR(INDEX(Stats!$D:$D,MATCH($C382,Stats!$A:$A,0)),FALSE),ROUND(D382+(E382-D382)*(1+G382)*((6-1)/(MaxLevel-1))^(2^F382),0),D382+(E382-D382)*(1+G382)*((6-1)/(MaxLevel-1))^(2^F382)))</f>
        <v>1543</v>
      </c>
      <c r="N382" s="12">
        <f>IF(OR(D382="",E382=""),"",IF(IFERROR(INDEX(Stats!$D:$D,MATCH($C382,Stats!$A:$A,0)),FALSE),ROUND(D382+(E382-D382)*(1+G382)*((7-1)/(MaxLevel-1))^(2^F382),0),D382+(E382-D382)*(1+G382)*((7-1)/(MaxLevel-1))^(2^F382)))</f>
        <v>2222</v>
      </c>
      <c r="O382" s="12">
        <f>IF(OR(D382="",E382=""),"",IF(IFERROR(INDEX(Stats!$D:$D,MATCH($C382,Stats!$A:$A,0)),FALSE),ROUND(D382+(E382-D382)*(1+G382)*((8-1)/(MaxLevel-1))^(2^F382),0),D382+(E382-D382)*(1+G382)*((8-1)/(MaxLevel-1))^(2^F382)))</f>
        <v>3025</v>
      </c>
      <c r="P382" s="12">
        <f>IF(OR(D382="",E382=""),"",IF(IFERROR(INDEX(Stats!$D:$D,MATCH($C382,Stats!$A:$A,0)),FALSE),ROUND(D382+(E382-D382)*(1+G382)*((9-1)/(MaxLevel-1))^(2^F382),0),D382+(E382-D382)*(1+G382)*((9-1)/(MaxLevel-1))^(2^F382)))</f>
        <v>3951</v>
      </c>
      <c r="Q382" s="12">
        <f>IF(OR(D382="",E382=""),"",IF(IFERROR(INDEX(Stats!$D:$D,MATCH($C382,Stats!$A:$A,0)),FALSE),ROUND(D382+(E382-D382)*(1+G382)*((10-1)/(MaxLevel-1))^(2^F382),0),D382+(E382-D382)*(1+G382)*((10-1)/(MaxLevel-1))^(2^F382)))</f>
        <v>5000</v>
      </c>
    </row>
    <row r="383" spans="1:17" x14ac:dyDescent="0.25">
      <c r="A383" s="4" t="s">
        <v>185</v>
      </c>
      <c r="B383" s="19" t="s">
        <v>235</v>
      </c>
      <c r="C383" s="4" t="s">
        <v>26</v>
      </c>
      <c r="D383" s="5">
        <v>10</v>
      </c>
      <c r="E383" s="5">
        <v>80</v>
      </c>
      <c r="F383" s="5">
        <v>0</v>
      </c>
      <c r="G383" s="5">
        <v>0</v>
      </c>
      <c r="H383" s="12">
        <f>IF(OR(D383="",E383=""),"",IF(IFERROR(INDEX(Stats!$D:$D,MATCH($C383,Stats!$A:$A,0)),FALSE),ROUND(D383+(E383-D383)*(1+G383)*((1-1)/(MaxLevel-1))^(2^F383),0),D383+(E383-D383)*(1+G383)*((1-1)/(MaxLevel-1))^(2^F383)))</f>
        <v>10</v>
      </c>
      <c r="I383" s="12">
        <f>IF(OR(D383="",E383=""),"",IF(IFERROR(INDEX(Stats!$D:$D,MATCH($C383,Stats!$A:$A,0)),FALSE),ROUND(D383+(E383-D383)*(1+G383)*((2-1)/(MaxLevel-1))^(2^F383),0),D383+(E383-D383)*(1+G383)*((2-1)/(MaxLevel-1))^(2^F383)))</f>
        <v>18</v>
      </c>
      <c r="J383" s="12">
        <f>IF(OR(D383="",E383=""),"",IF(IFERROR(INDEX(Stats!$D:$D,MATCH($C383,Stats!$A:$A,0)),FALSE),ROUND(D383+(E383-D383)*(1+G383)*((3-1)/(MaxLevel-1))^(2^F383),0),D383+(E383-D383)*(1+G383)*((3-1)/(MaxLevel-1))^(2^F383)))</f>
        <v>26</v>
      </c>
      <c r="K383" s="12">
        <f>IF(OR(D383="",E383=""),"",IF(IFERROR(INDEX(Stats!$D:$D,MATCH($C383,Stats!$A:$A,0)),FALSE),ROUND(D383+(E383-D383)*(1+G383)*((4-1)/(MaxLevel-1))^(2^F383),0),D383+(E383-D383)*(1+G383)*((4-1)/(MaxLevel-1))^(2^F383)))</f>
        <v>33</v>
      </c>
      <c r="L383" s="12">
        <f>IF(OR(D383="",E383=""),"",IF(IFERROR(INDEX(Stats!$D:$D,MATCH($C383,Stats!$A:$A,0)),FALSE),ROUND(D383+(E383-D383)*(1+G383)*((5-1)/(MaxLevel-1))^(2^F383),0),D383+(E383-D383)*(1+G383)*((5-1)/(MaxLevel-1))^(2^F383)))</f>
        <v>41</v>
      </c>
      <c r="M383" s="12">
        <f>IF(OR(D383="",E383=""),"",IF(IFERROR(INDEX(Stats!$D:$D,MATCH($C383,Stats!$A:$A,0)),FALSE),ROUND(D383+(E383-D383)*(1+G383)*((6-1)/(MaxLevel-1))^(2^F383),0),D383+(E383-D383)*(1+G383)*((6-1)/(MaxLevel-1))^(2^F383)))</f>
        <v>49</v>
      </c>
      <c r="N383" s="12">
        <f>IF(OR(D383="",E383=""),"",IF(IFERROR(INDEX(Stats!$D:$D,MATCH($C383,Stats!$A:$A,0)),FALSE),ROUND(D383+(E383-D383)*(1+G383)*((7-1)/(MaxLevel-1))^(2^F383),0),D383+(E383-D383)*(1+G383)*((7-1)/(MaxLevel-1))^(2^F383)))</f>
        <v>57</v>
      </c>
      <c r="O383" s="12">
        <f>IF(OR(D383="",E383=""),"",IF(IFERROR(INDEX(Stats!$D:$D,MATCH($C383,Stats!$A:$A,0)),FALSE),ROUND(D383+(E383-D383)*(1+G383)*((8-1)/(MaxLevel-1))^(2^F383),0),D383+(E383-D383)*(1+G383)*((8-1)/(MaxLevel-1))^(2^F383)))</f>
        <v>64</v>
      </c>
      <c r="P383" s="12">
        <f>IF(OR(D383="",E383=""),"",IF(IFERROR(INDEX(Stats!$D:$D,MATCH($C383,Stats!$A:$A,0)),FALSE),ROUND(D383+(E383-D383)*(1+G383)*((9-1)/(MaxLevel-1))^(2^F383),0),D383+(E383-D383)*(1+G383)*((9-1)/(MaxLevel-1))^(2^F383)))</f>
        <v>72</v>
      </c>
      <c r="Q383" s="12">
        <f>IF(OR(D383="",E383=""),"",IF(IFERROR(INDEX(Stats!$D:$D,MATCH($C383,Stats!$A:$A,0)),FALSE),ROUND(D383+(E383-D383)*(1+G383)*((10-1)/(MaxLevel-1))^(2^F383),0),D383+(E383-D383)*(1+G383)*((10-1)/(MaxLevel-1))^(2^F383)))</f>
        <v>80</v>
      </c>
    </row>
    <row r="384" spans="1:17" x14ac:dyDescent="0.25">
      <c r="A384" s="4" t="s">
        <v>185</v>
      </c>
      <c r="B384" s="19" t="s">
        <v>235</v>
      </c>
      <c r="C384" s="4" t="s">
        <v>28</v>
      </c>
      <c r="D384" s="5">
        <v>80</v>
      </c>
      <c r="E384" s="5">
        <v>400</v>
      </c>
      <c r="F384" s="5">
        <v>-0.5</v>
      </c>
      <c r="G384" s="5">
        <v>0</v>
      </c>
      <c r="H384" s="12">
        <f>IF(OR(D384="",E384=""),"",IF(IFERROR(INDEX(Stats!$D:$D,MATCH($C384,Stats!$A:$A,0)),FALSE),ROUND(D384+(E384-D384)*(1+G384)*((1-1)/(MaxLevel-1))^(2^F384),0),D384+(E384-D384)*(1+G384)*((1-1)/(MaxLevel-1))^(2^F384)))</f>
        <v>80</v>
      </c>
      <c r="I384" s="12">
        <f>IF(OR(D384="",E384=""),"",IF(IFERROR(INDEX(Stats!$D:$D,MATCH($C384,Stats!$A:$A,0)),FALSE),ROUND(D384+(E384-D384)*(1+G384)*((2-1)/(MaxLevel-1))^(2^F384),0),D384+(E384-D384)*(1+G384)*((2-1)/(MaxLevel-1))^(2^F384)))</f>
        <v>148</v>
      </c>
      <c r="J384" s="12">
        <f>IF(OR(D384="",E384=""),"",IF(IFERROR(INDEX(Stats!$D:$D,MATCH($C384,Stats!$A:$A,0)),FALSE),ROUND(D384+(E384-D384)*(1+G384)*((3-1)/(MaxLevel-1))^(2^F384),0),D384+(E384-D384)*(1+G384)*((3-1)/(MaxLevel-1))^(2^F384)))</f>
        <v>190</v>
      </c>
      <c r="K384" s="12">
        <f>IF(OR(D384="",E384=""),"",IF(IFERROR(INDEX(Stats!$D:$D,MATCH($C384,Stats!$A:$A,0)),FALSE),ROUND(D384+(E384-D384)*(1+G384)*((4-1)/(MaxLevel-1))^(2^F384),0),D384+(E384-D384)*(1+G384)*((4-1)/(MaxLevel-1))^(2^F384)))</f>
        <v>227</v>
      </c>
      <c r="L384" s="12">
        <f>IF(OR(D384="",E384=""),"",IF(IFERROR(INDEX(Stats!$D:$D,MATCH($C384,Stats!$A:$A,0)),FALSE),ROUND(D384+(E384-D384)*(1+G384)*((5-1)/(MaxLevel-1))^(2^F384),0),D384+(E384-D384)*(1+G384)*((5-1)/(MaxLevel-1))^(2^F384)))</f>
        <v>260</v>
      </c>
      <c r="M384" s="12">
        <f>IF(OR(D384="",E384=""),"",IF(IFERROR(INDEX(Stats!$D:$D,MATCH($C384,Stats!$A:$A,0)),FALSE),ROUND(D384+(E384-D384)*(1+G384)*((6-1)/(MaxLevel-1))^(2^F384),0),D384+(E384-D384)*(1+G384)*((6-1)/(MaxLevel-1))^(2^F384)))</f>
        <v>291</v>
      </c>
      <c r="N384" s="12">
        <f>IF(OR(D384="",E384=""),"",IF(IFERROR(INDEX(Stats!$D:$D,MATCH($C384,Stats!$A:$A,0)),FALSE),ROUND(D384+(E384-D384)*(1+G384)*((7-1)/(MaxLevel-1))^(2^F384),0),D384+(E384-D384)*(1+G384)*((7-1)/(MaxLevel-1))^(2^F384)))</f>
        <v>320</v>
      </c>
      <c r="O384" s="12">
        <f>IF(OR(D384="",E384=""),"",IF(IFERROR(INDEX(Stats!$D:$D,MATCH($C384,Stats!$A:$A,0)),FALSE),ROUND(D384+(E384-D384)*(1+G384)*((8-1)/(MaxLevel-1))^(2^F384),0),D384+(E384-D384)*(1+G384)*((8-1)/(MaxLevel-1))^(2^F384)))</f>
        <v>348</v>
      </c>
      <c r="P384" s="12">
        <f>IF(OR(D384="",E384=""),"",IF(IFERROR(INDEX(Stats!$D:$D,MATCH($C384,Stats!$A:$A,0)),FALSE),ROUND(D384+(E384-D384)*(1+G384)*((9-1)/(MaxLevel-1))^(2^F384),0),D384+(E384-D384)*(1+G384)*((9-1)/(MaxLevel-1))^(2^F384)))</f>
        <v>374</v>
      </c>
      <c r="Q384" s="12">
        <f>IF(OR(D384="",E384=""),"",IF(IFERROR(INDEX(Stats!$D:$D,MATCH($C384,Stats!$A:$A,0)),FALSE),ROUND(D384+(E384-D384)*(1+G384)*((10-1)/(MaxLevel-1))^(2^F384),0),D384+(E384-D384)*(1+G384)*((10-1)/(MaxLevel-1))^(2^F384)))</f>
        <v>400</v>
      </c>
    </row>
    <row r="385" spans="1:17" x14ac:dyDescent="0.25">
      <c r="A385" s="4" t="s">
        <v>185</v>
      </c>
      <c r="B385" s="19" t="s">
        <v>235</v>
      </c>
      <c r="C385" s="4" t="s">
        <v>30</v>
      </c>
      <c r="D385" s="5"/>
      <c r="E385" s="5"/>
      <c r="F385" s="5"/>
      <c r="G385" s="5"/>
      <c r="H385" s="12" t="str">
        <f>IF(OR(D385="",E385=""),"",IF(IFERROR(INDEX(Stats!$D:$D,MATCH($C385,Stats!$A:$A,0)),FALSE),ROUND(D385+(E385-D385)*(1+G385)*((1-1)/(MaxLevel-1))^(2^F385),0),D385+(E385-D385)*(1+G385)*((1-1)/(MaxLevel-1))^(2^F385)))</f>
        <v/>
      </c>
      <c r="I385" s="12" t="str">
        <f>IF(OR(D385="",E385=""),"",IF(IFERROR(INDEX(Stats!$D:$D,MATCH($C385,Stats!$A:$A,0)),FALSE),ROUND(D385+(E385-D385)*(1+G385)*((2-1)/(MaxLevel-1))^(2^F385),0),D385+(E385-D385)*(1+G385)*((2-1)/(MaxLevel-1))^(2^F385)))</f>
        <v/>
      </c>
      <c r="J385" s="12" t="str">
        <f>IF(OR(D385="",E385=""),"",IF(IFERROR(INDEX(Stats!$D:$D,MATCH($C385,Stats!$A:$A,0)),FALSE),ROUND(D385+(E385-D385)*(1+G385)*((3-1)/(MaxLevel-1))^(2^F385),0),D385+(E385-D385)*(1+G385)*((3-1)/(MaxLevel-1))^(2^F385)))</f>
        <v/>
      </c>
      <c r="K385" s="12" t="str">
        <f>IF(OR(D385="",E385=""),"",IF(IFERROR(INDEX(Stats!$D:$D,MATCH($C385,Stats!$A:$A,0)),FALSE),ROUND(D385+(E385-D385)*(1+G385)*((4-1)/(MaxLevel-1))^(2^F385),0),D385+(E385-D385)*(1+G385)*((4-1)/(MaxLevel-1))^(2^F385)))</f>
        <v/>
      </c>
      <c r="L385" s="12" t="str">
        <f>IF(OR(D385="",E385=""),"",IF(IFERROR(INDEX(Stats!$D:$D,MATCH($C385,Stats!$A:$A,0)),FALSE),ROUND(D385+(E385-D385)*(1+G385)*((5-1)/(MaxLevel-1))^(2^F385),0),D385+(E385-D385)*(1+G385)*((5-1)/(MaxLevel-1))^(2^F385)))</f>
        <v/>
      </c>
      <c r="M385" s="12" t="str">
        <f>IF(OR(D385="",E385=""),"",IF(IFERROR(INDEX(Stats!$D:$D,MATCH($C385,Stats!$A:$A,0)),FALSE),ROUND(D385+(E385-D385)*(1+G385)*((6-1)/(MaxLevel-1))^(2^F385),0),D385+(E385-D385)*(1+G385)*((6-1)/(MaxLevel-1))^(2^F385)))</f>
        <v/>
      </c>
      <c r="N385" s="12" t="str">
        <f>IF(OR(D385="",E385=""),"",IF(IFERROR(INDEX(Stats!$D:$D,MATCH($C385,Stats!$A:$A,0)),FALSE),ROUND(D385+(E385-D385)*(1+G385)*((7-1)/(MaxLevel-1))^(2^F385),0),D385+(E385-D385)*(1+G385)*((7-1)/(MaxLevel-1))^(2^F385)))</f>
        <v/>
      </c>
      <c r="O385" s="12" t="str">
        <f>IF(OR(D385="",E385=""),"",IF(IFERROR(INDEX(Stats!$D:$D,MATCH($C385,Stats!$A:$A,0)),FALSE),ROUND(D385+(E385-D385)*(1+G385)*((8-1)/(MaxLevel-1))^(2^F385),0),D385+(E385-D385)*(1+G385)*((8-1)/(MaxLevel-1))^(2^F385)))</f>
        <v/>
      </c>
      <c r="P385" s="12" t="str">
        <f>IF(OR(D385="",E385=""),"",IF(IFERROR(INDEX(Stats!$D:$D,MATCH($C385,Stats!$A:$A,0)),FALSE),ROUND(D385+(E385-D385)*(1+G385)*((9-1)/(MaxLevel-1))^(2^F385),0),D385+(E385-D385)*(1+G385)*((9-1)/(MaxLevel-1))^(2^F385)))</f>
        <v/>
      </c>
      <c r="Q385" s="12" t="str">
        <f>IF(OR(D385="",E385=""),"",IF(IFERROR(INDEX(Stats!$D:$D,MATCH($C385,Stats!$A:$A,0)),FALSE),ROUND(D385+(E385-D385)*(1+G385)*((10-1)/(MaxLevel-1))^(2^F385),0),D385+(E385-D385)*(1+G385)*((10-1)/(MaxLevel-1))^(2^F385)))</f>
        <v/>
      </c>
    </row>
    <row r="386" spans="1:17" x14ac:dyDescent="0.25">
      <c r="A386" s="4" t="s">
        <v>185</v>
      </c>
      <c r="B386" s="19" t="s">
        <v>235</v>
      </c>
      <c r="C386" s="4" t="s">
        <v>32</v>
      </c>
      <c r="D386" s="5"/>
      <c r="E386" s="5"/>
      <c r="F386" s="5"/>
      <c r="G386" s="5"/>
      <c r="H386" s="12" t="str">
        <f>IF(OR(D386="",E386=""),"",IF(IFERROR(INDEX(Stats!$D:$D,MATCH($C386,Stats!$A:$A,0)),FALSE),ROUND(D386+(E386-D386)*(1+G386)*((1-1)/(MaxLevel-1))^(2^F386),0),D386+(E386-D386)*(1+G386)*((1-1)/(MaxLevel-1))^(2^F386)))</f>
        <v/>
      </c>
      <c r="I386" s="12" t="str">
        <f>IF(OR(D386="",E386=""),"",IF(IFERROR(INDEX(Stats!$D:$D,MATCH($C386,Stats!$A:$A,0)),FALSE),ROUND(D386+(E386-D386)*(1+G386)*((2-1)/(MaxLevel-1))^(2^F386),0),D386+(E386-D386)*(1+G386)*((2-1)/(MaxLevel-1))^(2^F386)))</f>
        <v/>
      </c>
      <c r="J386" s="12" t="str">
        <f>IF(OR(D386="",E386=""),"",IF(IFERROR(INDEX(Stats!$D:$D,MATCH($C386,Stats!$A:$A,0)),FALSE),ROUND(D386+(E386-D386)*(1+G386)*((3-1)/(MaxLevel-1))^(2^F386),0),D386+(E386-D386)*(1+G386)*((3-1)/(MaxLevel-1))^(2^F386)))</f>
        <v/>
      </c>
      <c r="K386" s="12" t="str">
        <f>IF(OR(D386="",E386=""),"",IF(IFERROR(INDEX(Stats!$D:$D,MATCH($C386,Stats!$A:$A,0)),FALSE),ROUND(D386+(E386-D386)*(1+G386)*((4-1)/(MaxLevel-1))^(2^F386),0),D386+(E386-D386)*(1+G386)*((4-1)/(MaxLevel-1))^(2^F386)))</f>
        <v/>
      </c>
      <c r="L386" s="12" t="str">
        <f>IF(OR(D386="",E386=""),"",IF(IFERROR(INDEX(Stats!$D:$D,MATCH($C386,Stats!$A:$A,0)),FALSE),ROUND(D386+(E386-D386)*(1+G386)*((5-1)/(MaxLevel-1))^(2^F386),0),D386+(E386-D386)*(1+G386)*((5-1)/(MaxLevel-1))^(2^F386)))</f>
        <v/>
      </c>
      <c r="M386" s="12" t="str">
        <f>IF(OR(D386="",E386=""),"",IF(IFERROR(INDEX(Stats!$D:$D,MATCH($C386,Stats!$A:$A,0)),FALSE),ROUND(D386+(E386-D386)*(1+G386)*((6-1)/(MaxLevel-1))^(2^F386),0),D386+(E386-D386)*(1+G386)*((6-1)/(MaxLevel-1))^(2^F386)))</f>
        <v/>
      </c>
      <c r="N386" s="12" t="str">
        <f>IF(OR(D386="",E386=""),"",IF(IFERROR(INDEX(Stats!$D:$D,MATCH($C386,Stats!$A:$A,0)),FALSE),ROUND(D386+(E386-D386)*(1+G386)*((7-1)/(MaxLevel-1))^(2^F386),0),D386+(E386-D386)*(1+G386)*((7-1)/(MaxLevel-1))^(2^F386)))</f>
        <v/>
      </c>
      <c r="O386" s="12" t="str">
        <f>IF(OR(D386="",E386=""),"",IF(IFERROR(INDEX(Stats!$D:$D,MATCH($C386,Stats!$A:$A,0)),FALSE),ROUND(D386+(E386-D386)*(1+G386)*((8-1)/(MaxLevel-1))^(2^F386),0),D386+(E386-D386)*(1+G386)*((8-1)/(MaxLevel-1))^(2^F386)))</f>
        <v/>
      </c>
      <c r="P386" s="12" t="str">
        <f>IF(OR(D386="",E386=""),"",IF(IFERROR(INDEX(Stats!$D:$D,MATCH($C386,Stats!$A:$A,0)),FALSE),ROUND(D386+(E386-D386)*(1+G386)*((9-1)/(MaxLevel-1))^(2^F386),0),D386+(E386-D386)*(1+G386)*((9-1)/(MaxLevel-1))^(2^F386)))</f>
        <v/>
      </c>
      <c r="Q386" s="12" t="str">
        <f>IF(OR(D386="",E386=""),"",IF(IFERROR(INDEX(Stats!$D:$D,MATCH($C386,Stats!$A:$A,0)),FALSE),ROUND(D386+(E386-D386)*(1+G386)*((10-1)/(MaxLevel-1))^(2^F386),0),D386+(E386-D386)*(1+G386)*((10-1)/(MaxLevel-1))^(2^F386)))</f>
        <v/>
      </c>
    </row>
    <row r="387" spans="1:17" x14ac:dyDescent="0.25">
      <c r="A387" s="4" t="s">
        <v>185</v>
      </c>
      <c r="B387" s="19" t="s">
        <v>235</v>
      </c>
      <c r="C387" s="4" t="s">
        <v>34</v>
      </c>
      <c r="D387" s="5"/>
      <c r="E387" s="5"/>
      <c r="F387" s="5"/>
      <c r="G387" s="5"/>
      <c r="H387" s="12" t="str">
        <f>IF(OR(D387="",E387=""),"",IF(IFERROR(INDEX(Stats!$D:$D,MATCH($C387,Stats!$A:$A,0)),FALSE),ROUND(D387+(E387-D387)*(1+G387)*((1-1)/(MaxLevel-1))^(2^F387),0),D387+(E387-D387)*(1+G387)*((1-1)/(MaxLevel-1))^(2^F387)))</f>
        <v/>
      </c>
      <c r="I387" s="12" t="str">
        <f>IF(OR(D387="",E387=""),"",IF(IFERROR(INDEX(Stats!$D:$D,MATCH($C387,Stats!$A:$A,0)),FALSE),ROUND(D387+(E387-D387)*(1+G387)*((2-1)/(MaxLevel-1))^(2^F387),0),D387+(E387-D387)*(1+G387)*((2-1)/(MaxLevel-1))^(2^F387)))</f>
        <v/>
      </c>
      <c r="J387" s="12" t="str">
        <f>IF(OR(D387="",E387=""),"",IF(IFERROR(INDEX(Stats!$D:$D,MATCH($C387,Stats!$A:$A,0)),FALSE),ROUND(D387+(E387-D387)*(1+G387)*((3-1)/(MaxLevel-1))^(2^F387),0),D387+(E387-D387)*(1+G387)*((3-1)/(MaxLevel-1))^(2^F387)))</f>
        <v/>
      </c>
      <c r="K387" s="12" t="str">
        <f>IF(OR(D387="",E387=""),"",IF(IFERROR(INDEX(Stats!$D:$D,MATCH($C387,Stats!$A:$A,0)),FALSE),ROUND(D387+(E387-D387)*(1+G387)*((4-1)/(MaxLevel-1))^(2^F387),0),D387+(E387-D387)*(1+G387)*((4-1)/(MaxLevel-1))^(2^F387)))</f>
        <v/>
      </c>
      <c r="L387" s="12" t="str">
        <f>IF(OR(D387="",E387=""),"",IF(IFERROR(INDEX(Stats!$D:$D,MATCH($C387,Stats!$A:$A,0)),FALSE),ROUND(D387+(E387-D387)*(1+G387)*((5-1)/(MaxLevel-1))^(2^F387),0),D387+(E387-D387)*(1+G387)*((5-1)/(MaxLevel-1))^(2^F387)))</f>
        <v/>
      </c>
      <c r="M387" s="12" t="str">
        <f>IF(OR(D387="",E387=""),"",IF(IFERROR(INDEX(Stats!$D:$D,MATCH($C387,Stats!$A:$A,0)),FALSE),ROUND(D387+(E387-D387)*(1+G387)*((6-1)/(MaxLevel-1))^(2^F387),0),D387+(E387-D387)*(1+G387)*((6-1)/(MaxLevel-1))^(2^F387)))</f>
        <v/>
      </c>
      <c r="N387" s="12" t="str">
        <f>IF(OR(D387="",E387=""),"",IF(IFERROR(INDEX(Stats!$D:$D,MATCH($C387,Stats!$A:$A,0)),FALSE),ROUND(D387+(E387-D387)*(1+G387)*((7-1)/(MaxLevel-1))^(2^F387),0),D387+(E387-D387)*(1+G387)*((7-1)/(MaxLevel-1))^(2^F387)))</f>
        <v/>
      </c>
      <c r="O387" s="12" t="str">
        <f>IF(OR(D387="",E387=""),"",IF(IFERROR(INDEX(Stats!$D:$D,MATCH($C387,Stats!$A:$A,0)),FALSE),ROUND(D387+(E387-D387)*(1+G387)*((8-1)/(MaxLevel-1))^(2^F387),0),D387+(E387-D387)*(1+G387)*((8-1)/(MaxLevel-1))^(2^F387)))</f>
        <v/>
      </c>
      <c r="P387" s="12" t="str">
        <f>IF(OR(D387="",E387=""),"",IF(IFERROR(INDEX(Stats!$D:$D,MATCH($C387,Stats!$A:$A,0)),FALSE),ROUND(D387+(E387-D387)*(1+G387)*((9-1)/(MaxLevel-1))^(2^F387),0),D387+(E387-D387)*(1+G387)*((9-1)/(MaxLevel-1))^(2^F387)))</f>
        <v/>
      </c>
      <c r="Q387" s="12" t="str">
        <f>IF(OR(D387="",E387=""),"",IF(IFERROR(INDEX(Stats!$D:$D,MATCH($C387,Stats!$A:$A,0)),FALSE),ROUND(D387+(E387-D387)*(1+G387)*((10-1)/(MaxLevel-1))^(2^F387),0),D387+(E387-D387)*(1+G387)*((10-1)/(MaxLevel-1))^(2^F387)))</f>
        <v/>
      </c>
    </row>
    <row r="388" spans="1:17" x14ac:dyDescent="0.25">
      <c r="A388" s="4" t="s">
        <v>185</v>
      </c>
      <c r="B388" s="19" t="s">
        <v>235</v>
      </c>
      <c r="C388" s="4" t="s">
        <v>36</v>
      </c>
      <c r="D388" s="5"/>
      <c r="E388" s="5"/>
      <c r="F388" s="5"/>
      <c r="G388" s="5"/>
      <c r="H388" s="12" t="str">
        <f>IF(OR(D388="",E388=""),"",IF(IFERROR(INDEX(Stats!$D:$D,MATCH($C388,Stats!$A:$A,0)),FALSE),ROUND(D388+(E388-D388)*(1+G388)*((1-1)/(MaxLevel-1))^(2^F388),0),D388+(E388-D388)*(1+G388)*((1-1)/(MaxLevel-1))^(2^F388)))</f>
        <v/>
      </c>
      <c r="I388" s="12" t="str">
        <f>IF(OR(D388="",E388=""),"",IF(IFERROR(INDEX(Stats!$D:$D,MATCH($C388,Stats!$A:$A,0)),FALSE),ROUND(D388+(E388-D388)*(1+G388)*((2-1)/(MaxLevel-1))^(2^F388),0),D388+(E388-D388)*(1+G388)*((2-1)/(MaxLevel-1))^(2^F388)))</f>
        <v/>
      </c>
      <c r="J388" s="12" t="str">
        <f>IF(OR(D388="",E388=""),"",IF(IFERROR(INDEX(Stats!$D:$D,MATCH($C388,Stats!$A:$A,0)),FALSE),ROUND(D388+(E388-D388)*(1+G388)*((3-1)/(MaxLevel-1))^(2^F388),0),D388+(E388-D388)*(1+G388)*((3-1)/(MaxLevel-1))^(2^F388)))</f>
        <v/>
      </c>
      <c r="K388" s="12" t="str">
        <f>IF(OR(D388="",E388=""),"",IF(IFERROR(INDEX(Stats!$D:$D,MATCH($C388,Stats!$A:$A,0)),FALSE),ROUND(D388+(E388-D388)*(1+G388)*((4-1)/(MaxLevel-1))^(2^F388),0),D388+(E388-D388)*(1+G388)*((4-1)/(MaxLevel-1))^(2^F388)))</f>
        <v/>
      </c>
      <c r="L388" s="12" t="str">
        <f>IF(OR(D388="",E388=""),"",IF(IFERROR(INDEX(Stats!$D:$D,MATCH($C388,Stats!$A:$A,0)),FALSE),ROUND(D388+(E388-D388)*(1+G388)*((5-1)/(MaxLevel-1))^(2^F388),0),D388+(E388-D388)*(1+G388)*((5-1)/(MaxLevel-1))^(2^F388)))</f>
        <v/>
      </c>
      <c r="M388" s="12" t="str">
        <f>IF(OR(D388="",E388=""),"",IF(IFERROR(INDEX(Stats!$D:$D,MATCH($C388,Stats!$A:$A,0)),FALSE),ROUND(D388+(E388-D388)*(1+G388)*((6-1)/(MaxLevel-1))^(2^F388),0),D388+(E388-D388)*(1+G388)*((6-1)/(MaxLevel-1))^(2^F388)))</f>
        <v/>
      </c>
      <c r="N388" s="12" t="str">
        <f>IF(OR(D388="",E388=""),"",IF(IFERROR(INDEX(Stats!$D:$D,MATCH($C388,Stats!$A:$A,0)),FALSE),ROUND(D388+(E388-D388)*(1+G388)*((7-1)/(MaxLevel-1))^(2^F388),0),D388+(E388-D388)*(1+G388)*((7-1)/(MaxLevel-1))^(2^F388)))</f>
        <v/>
      </c>
      <c r="O388" s="12" t="str">
        <f>IF(OR(D388="",E388=""),"",IF(IFERROR(INDEX(Stats!$D:$D,MATCH($C388,Stats!$A:$A,0)),FALSE),ROUND(D388+(E388-D388)*(1+G388)*((8-1)/(MaxLevel-1))^(2^F388),0),D388+(E388-D388)*(1+G388)*((8-1)/(MaxLevel-1))^(2^F388)))</f>
        <v/>
      </c>
      <c r="P388" s="12" t="str">
        <f>IF(OR(D388="",E388=""),"",IF(IFERROR(INDEX(Stats!$D:$D,MATCH($C388,Stats!$A:$A,0)),FALSE),ROUND(D388+(E388-D388)*(1+G388)*((9-1)/(MaxLevel-1))^(2^F388),0),D388+(E388-D388)*(1+G388)*((9-1)/(MaxLevel-1))^(2^F388)))</f>
        <v/>
      </c>
      <c r="Q388" s="12" t="str">
        <f>IF(OR(D388="",E388=""),"",IF(IFERROR(INDEX(Stats!$D:$D,MATCH($C388,Stats!$A:$A,0)),FALSE),ROUND(D388+(E388-D388)*(1+G388)*((10-1)/(MaxLevel-1))^(2^F388),0),D388+(E388-D388)*(1+G388)*((10-1)/(MaxLevel-1))^(2^F388)))</f>
        <v/>
      </c>
    </row>
    <row r="389" spans="1:17" x14ac:dyDescent="0.25">
      <c r="A389" s="4" t="s">
        <v>185</v>
      </c>
      <c r="B389" s="19" t="s">
        <v>235</v>
      </c>
      <c r="C389" s="4" t="s">
        <v>38</v>
      </c>
      <c r="D389" s="5">
        <v>1.5</v>
      </c>
      <c r="E389" s="5">
        <v>2</v>
      </c>
      <c r="F389" s="5">
        <v>-1</v>
      </c>
      <c r="G389" s="5">
        <v>0</v>
      </c>
      <c r="H389" s="12">
        <f>IF(OR(D389="",E389=""),"",IF(IFERROR(INDEX(Stats!$D:$D,MATCH($C389,Stats!$A:$A,0)),FALSE),ROUND(D389+(E389-D389)*(1+G389)*((1-1)/(MaxLevel-1))^(2^F389),0),D389+(E389-D389)*(1+G389)*((1-1)/(MaxLevel-1))^(2^F389)))</f>
        <v>1.5</v>
      </c>
      <c r="I389" s="12">
        <f>IF(OR(D389="",E389=""),"",IF(IFERROR(INDEX(Stats!$D:$D,MATCH($C389,Stats!$A:$A,0)),FALSE),ROUND(D389+(E389-D389)*(1+G389)*((2-1)/(MaxLevel-1))^(2^F389),0),D389+(E389-D389)*(1+G389)*((2-1)/(MaxLevel-1))^(2^F389)))</f>
        <v>1.6666666666666667</v>
      </c>
      <c r="J389" s="12">
        <f>IF(OR(D389="",E389=""),"",IF(IFERROR(INDEX(Stats!$D:$D,MATCH($C389,Stats!$A:$A,0)),FALSE),ROUND(D389+(E389-D389)*(1+G389)*((3-1)/(MaxLevel-1))^(2^F389),0),D389+(E389-D389)*(1+G389)*((3-1)/(MaxLevel-1))^(2^F389)))</f>
        <v>1.7357022603955159</v>
      </c>
      <c r="K389" s="12">
        <f>IF(OR(D389="",E389=""),"",IF(IFERROR(INDEX(Stats!$D:$D,MATCH($C389,Stats!$A:$A,0)),FALSE),ROUND(D389+(E389-D389)*(1+G389)*((4-1)/(MaxLevel-1))^(2^F389),0),D389+(E389-D389)*(1+G389)*((4-1)/(MaxLevel-1))^(2^F389)))</f>
        <v>1.7886751345948129</v>
      </c>
      <c r="L389" s="12">
        <f>IF(OR(D389="",E389=""),"",IF(IFERROR(INDEX(Stats!$D:$D,MATCH($C389,Stats!$A:$A,0)),FALSE),ROUND(D389+(E389-D389)*(1+G389)*((5-1)/(MaxLevel-1))^(2^F389),0),D389+(E389-D389)*(1+G389)*((5-1)/(MaxLevel-1))^(2^F389)))</f>
        <v>1.8333333333333333</v>
      </c>
      <c r="M389" s="12">
        <f>IF(OR(D389="",E389=""),"",IF(IFERROR(INDEX(Stats!$D:$D,MATCH($C389,Stats!$A:$A,0)),FALSE),ROUND(D389+(E389-D389)*(1+G389)*((6-1)/(MaxLevel-1))^(2^F389),0),D389+(E389-D389)*(1+G389)*((6-1)/(MaxLevel-1))^(2^F389)))</f>
        <v>1.8726779962499649</v>
      </c>
      <c r="N389" s="12">
        <f>IF(OR(D389="",E389=""),"",IF(IFERROR(INDEX(Stats!$D:$D,MATCH($C389,Stats!$A:$A,0)),FALSE),ROUND(D389+(E389-D389)*(1+G389)*((7-1)/(MaxLevel-1))^(2^F389),0),D389+(E389-D389)*(1+G389)*((7-1)/(MaxLevel-1))^(2^F389)))</f>
        <v>1.9082482904638631</v>
      </c>
      <c r="O389" s="12">
        <f>IF(OR(D389="",E389=""),"",IF(IFERROR(INDEX(Stats!$D:$D,MATCH($C389,Stats!$A:$A,0)),FALSE),ROUND(D389+(E389-D389)*(1+G389)*((8-1)/(MaxLevel-1))^(2^F389),0),D389+(E389-D389)*(1+G389)*((8-1)/(MaxLevel-1))^(2^F389)))</f>
        <v>1.9409585518440984</v>
      </c>
      <c r="P389" s="12">
        <f>IF(OR(D389="",E389=""),"",IF(IFERROR(INDEX(Stats!$D:$D,MATCH($C389,Stats!$A:$A,0)),FALSE),ROUND(D389+(E389-D389)*(1+G389)*((9-1)/(MaxLevel-1))^(2^F389),0),D389+(E389-D389)*(1+G389)*((9-1)/(MaxLevel-1))^(2^F389)))</f>
        <v>1.9714045207910318</v>
      </c>
      <c r="Q389" s="12">
        <f>IF(OR(D389="",E389=""),"",IF(IFERROR(INDEX(Stats!$D:$D,MATCH($C389,Stats!$A:$A,0)),FALSE),ROUND(D389+(E389-D389)*(1+G389)*((10-1)/(MaxLevel-1))^(2^F389),0),D389+(E389-D389)*(1+G389)*((10-1)/(MaxLevel-1))^(2^F389)))</f>
        <v>2</v>
      </c>
    </row>
    <row r="390" spans="1:17" x14ac:dyDescent="0.25">
      <c r="A390" s="4" t="s">
        <v>185</v>
      </c>
      <c r="B390" s="19" t="s">
        <v>235</v>
      </c>
      <c r="C390" s="4" t="s">
        <v>40</v>
      </c>
      <c r="D390" s="5">
        <v>20</v>
      </c>
      <c r="E390" s="5">
        <v>100</v>
      </c>
      <c r="F390" s="5">
        <v>1</v>
      </c>
      <c r="G390" s="5">
        <v>0.1</v>
      </c>
      <c r="H390" s="12">
        <f>IF(OR(D390="",E390=""),"",IF(IFERROR(INDEX(Stats!$D:$D,MATCH($C390,Stats!$A:$A,0)),FALSE),ROUND(D390+(E390-D390)*(1+G390)*((1-1)/(MaxLevel-1))^(2^F390),0),D390+(E390-D390)*(1+G390)*((1-1)/(MaxLevel-1))^(2^F390)))</f>
        <v>20</v>
      </c>
      <c r="I390" s="12">
        <f>IF(OR(D390="",E390=""),"",IF(IFERROR(INDEX(Stats!$D:$D,MATCH($C390,Stats!$A:$A,0)),FALSE),ROUND(D390+(E390-D390)*(1+G390)*((2-1)/(MaxLevel-1))^(2^F390),0),D390+(E390-D390)*(1+G390)*((2-1)/(MaxLevel-1))^(2^F390)))</f>
        <v>21</v>
      </c>
      <c r="J390" s="12">
        <f>IF(OR(D390="",E390=""),"",IF(IFERROR(INDEX(Stats!$D:$D,MATCH($C390,Stats!$A:$A,0)),FALSE),ROUND(D390+(E390-D390)*(1+G390)*((3-1)/(MaxLevel-1))^(2^F390),0),D390+(E390-D390)*(1+G390)*((3-1)/(MaxLevel-1))^(2^F390)))</f>
        <v>24</v>
      </c>
      <c r="K390" s="12">
        <f>IF(OR(D390="",E390=""),"",IF(IFERROR(INDEX(Stats!$D:$D,MATCH($C390,Stats!$A:$A,0)),FALSE),ROUND(D390+(E390-D390)*(1+G390)*((4-1)/(MaxLevel-1))^(2^F390),0),D390+(E390-D390)*(1+G390)*((4-1)/(MaxLevel-1))^(2^F390)))</f>
        <v>30</v>
      </c>
      <c r="L390" s="12">
        <f>IF(OR(D390="",E390=""),"",IF(IFERROR(INDEX(Stats!$D:$D,MATCH($C390,Stats!$A:$A,0)),FALSE),ROUND(D390+(E390-D390)*(1+G390)*((5-1)/(MaxLevel-1))^(2^F390),0),D390+(E390-D390)*(1+G390)*((5-1)/(MaxLevel-1))^(2^F390)))</f>
        <v>37</v>
      </c>
      <c r="M390" s="12">
        <f>IF(OR(D390="",E390=""),"",IF(IFERROR(INDEX(Stats!$D:$D,MATCH($C390,Stats!$A:$A,0)),FALSE),ROUND(D390+(E390-D390)*(1+G390)*((6-1)/(MaxLevel-1))^(2^F390),0),D390+(E390-D390)*(1+G390)*((6-1)/(MaxLevel-1))^(2^F390)))</f>
        <v>47</v>
      </c>
      <c r="N390" s="12">
        <f>IF(OR(D390="",E390=""),"",IF(IFERROR(INDEX(Stats!$D:$D,MATCH($C390,Stats!$A:$A,0)),FALSE),ROUND(D390+(E390-D390)*(1+G390)*((7-1)/(MaxLevel-1))^(2^F390),0),D390+(E390-D390)*(1+G390)*((7-1)/(MaxLevel-1))^(2^F390)))</f>
        <v>59</v>
      </c>
      <c r="O390" s="12">
        <f>IF(OR(D390="",E390=""),"",IF(IFERROR(INDEX(Stats!$D:$D,MATCH($C390,Stats!$A:$A,0)),FALSE),ROUND(D390+(E390-D390)*(1+G390)*((8-1)/(MaxLevel-1))^(2^F390),0),D390+(E390-D390)*(1+G390)*((8-1)/(MaxLevel-1))^(2^F390)))</f>
        <v>73</v>
      </c>
      <c r="P390" s="12">
        <f>IF(OR(D390="",E390=""),"",IF(IFERROR(INDEX(Stats!$D:$D,MATCH($C390,Stats!$A:$A,0)),FALSE),ROUND(D390+(E390-D390)*(1+G390)*((9-1)/(MaxLevel-1))^(2^F390),0),D390+(E390-D390)*(1+G390)*((9-1)/(MaxLevel-1))^(2^F390)))</f>
        <v>90</v>
      </c>
      <c r="Q390" s="12">
        <f>IF(OR(D390="",E390=""),"",IF(IFERROR(INDEX(Stats!$D:$D,MATCH($C390,Stats!$A:$A,0)),FALSE),ROUND(D390+(E390-D390)*(1+G390)*((10-1)/(MaxLevel-1))^(2^F390),0),D390+(E390-D390)*(1+G390)*((10-1)/(MaxLevel-1))^(2^F390)))</f>
        <v>108</v>
      </c>
    </row>
    <row r="391" spans="1:17" x14ac:dyDescent="0.25">
      <c r="A391" s="4" t="s">
        <v>185</v>
      </c>
      <c r="B391" s="19" t="s">
        <v>235</v>
      </c>
      <c r="C391" s="4" t="s">
        <v>42</v>
      </c>
      <c r="D391" s="5"/>
      <c r="E391" s="5"/>
      <c r="F391" s="5"/>
      <c r="G391" s="5"/>
      <c r="H391" s="12" t="str">
        <f>IF(OR(D391="",E391=""),"",IF(IFERROR(INDEX(Stats!$D:$D,MATCH($C391,Stats!$A:$A,0)),FALSE),ROUND(D391+(E391-D391)*(1+G391)*((1-1)/(MaxLevel-1))^(2^F391),0),D391+(E391-D391)*(1+G391)*((1-1)/(MaxLevel-1))^(2^F391)))</f>
        <v/>
      </c>
      <c r="I391" s="12" t="str">
        <f>IF(OR(D391="",E391=""),"",IF(IFERROR(INDEX(Stats!$D:$D,MATCH($C391,Stats!$A:$A,0)),FALSE),ROUND(D391+(E391-D391)*(1+G391)*((2-1)/(MaxLevel-1))^(2^F391),0),D391+(E391-D391)*(1+G391)*((2-1)/(MaxLevel-1))^(2^F391)))</f>
        <v/>
      </c>
      <c r="J391" s="12" t="str">
        <f>IF(OR(D391="",E391=""),"",IF(IFERROR(INDEX(Stats!$D:$D,MATCH($C391,Stats!$A:$A,0)),FALSE),ROUND(D391+(E391-D391)*(1+G391)*((3-1)/(MaxLevel-1))^(2^F391),0),D391+(E391-D391)*(1+G391)*((3-1)/(MaxLevel-1))^(2^F391)))</f>
        <v/>
      </c>
      <c r="K391" s="12" t="str">
        <f>IF(OR(D391="",E391=""),"",IF(IFERROR(INDEX(Stats!$D:$D,MATCH($C391,Stats!$A:$A,0)),FALSE),ROUND(D391+(E391-D391)*(1+G391)*((4-1)/(MaxLevel-1))^(2^F391),0),D391+(E391-D391)*(1+G391)*((4-1)/(MaxLevel-1))^(2^F391)))</f>
        <v/>
      </c>
      <c r="L391" s="12" t="str">
        <f>IF(OR(D391="",E391=""),"",IF(IFERROR(INDEX(Stats!$D:$D,MATCH($C391,Stats!$A:$A,0)),FALSE),ROUND(D391+(E391-D391)*(1+G391)*((5-1)/(MaxLevel-1))^(2^F391),0),D391+(E391-D391)*(1+G391)*((5-1)/(MaxLevel-1))^(2^F391)))</f>
        <v/>
      </c>
      <c r="M391" s="12" t="str">
        <f>IF(OR(D391="",E391=""),"",IF(IFERROR(INDEX(Stats!$D:$D,MATCH($C391,Stats!$A:$A,0)),FALSE),ROUND(D391+(E391-D391)*(1+G391)*((6-1)/(MaxLevel-1))^(2^F391),0),D391+(E391-D391)*(1+G391)*((6-1)/(MaxLevel-1))^(2^F391)))</f>
        <v/>
      </c>
      <c r="N391" s="12" t="str">
        <f>IF(OR(D391="",E391=""),"",IF(IFERROR(INDEX(Stats!$D:$D,MATCH($C391,Stats!$A:$A,0)),FALSE),ROUND(D391+(E391-D391)*(1+G391)*((7-1)/(MaxLevel-1))^(2^F391),0),D391+(E391-D391)*(1+G391)*((7-1)/(MaxLevel-1))^(2^F391)))</f>
        <v/>
      </c>
      <c r="O391" s="12" t="str">
        <f>IF(OR(D391="",E391=""),"",IF(IFERROR(INDEX(Stats!$D:$D,MATCH($C391,Stats!$A:$A,0)),FALSE),ROUND(D391+(E391-D391)*(1+G391)*((8-1)/(MaxLevel-1))^(2^F391),0),D391+(E391-D391)*(1+G391)*((8-1)/(MaxLevel-1))^(2^F391)))</f>
        <v/>
      </c>
      <c r="P391" s="12" t="str">
        <f>IF(OR(D391="",E391=""),"",IF(IFERROR(INDEX(Stats!$D:$D,MATCH($C391,Stats!$A:$A,0)),FALSE),ROUND(D391+(E391-D391)*(1+G391)*((9-1)/(MaxLevel-1))^(2^F391),0),D391+(E391-D391)*(1+G391)*((9-1)/(MaxLevel-1))^(2^F391)))</f>
        <v/>
      </c>
      <c r="Q391" s="12" t="str">
        <f>IF(OR(D391="",E391=""),"",IF(IFERROR(INDEX(Stats!$D:$D,MATCH($C391,Stats!$A:$A,0)),FALSE),ROUND(D391+(E391-D391)*(1+G391)*((10-1)/(MaxLevel-1))^(2^F391),0),D391+(E391-D391)*(1+G391)*((10-1)/(MaxLevel-1))^(2^F391)))</f>
        <v/>
      </c>
    </row>
    <row r="392" spans="1:17" x14ac:dyDescent="0.25">
      <c r="A392" s="4" t="s">
        <v>185</v>
      </c>
      <c r="B392" s="19" t="s">
        <v>235</v>
      </c>
      <c r="C392" s="4" t="s">
        <v>44</v>
      </c>
      <c r="D392" s="5"/>
      <c r="E392" s="5"/>
      <c r="F392" s="5"/>
      <c r="G392" s="5"/>
      <c r="H392" s="12" t="str">
        <f>IF(OR(D392="",E392=""),"",IF(IFERROR(INDEX(Stats!$D:$D,MATCH($C392,Stats!$A:$A,0)),FALSE),ROUND(D392+(E392-D392)*(1+G392)*((1-1)/(MaxLevel-1))^(2^F392),0),D392+(E392-D392)*(1+G392)*((1-1)/(MaxLevel-1))^(2^F392)))</f>
        <v/>
      </c>
      <c r="I392" s="12" t="str">
        <f>IF(OR(D392="",E392=""),"",IF(IFERROR(INDEX(Stats!$D:$D,MATCH($C392,Stats!$A:$A,0)),FALSE),ROUND(D392+(E392-D392)*(1+G392)*((2-1)/(MaxLevel-1))^(2^F392),0),D392+(E392-D392)*(1+G392)*((2-1)/(MaxLevel-1))^(2^F392)))</f>
        <v/>
      </c>
      <c r="J392" s="12" t="str">
        <f>IF(OR(D392="",E392=""),"",IF(IFERROR(INDEX(Stats!$D:$D,MATCH($C392,Stats!$A:$A,0)),FALSE),ROUND(D392+(E392-D392)*(1+G392)*((3-1)/(MaxLevel-1))^(2^F392),0),D392+(E392-D392)*(1+G392)*((3-1)/(MaxLevel-1))^(2^F392)))</f>
        <v/>
      </c>
      <c r="K392" s="12" t="str">
        <f>IF(OR(D392="",E392=""),"",IF(IFERROR(INDEX(Stats!$D:$D,MATCH($C392,Stats!$A:$A,0)),FALSE),ROUND(D392+(E392-D392)*(1+G392)*((4-1)/(MaxLevel-1))^(2^F392),0),D392+(E392-D392)*(1+G392)*((4-1)/(MaxLevel-1))^(2^F392)))</f>
        <v/>
      </c>
      <c r="L392" s="12" t="str">
        <f>IF(OR(D392="",E392=""),"",IF(IFERROR(INDEX(Stats!$D:$D,MATCH($C392,Stats!$A:$A,0)),FALSE),ROUND(D392+(E392-D392)*(1+G392)*((5-1)/(MaxLevel-1))^(2^F392),0),D392+(E392-D392)*(1+G392)*((5-1)/(MaxLevel-1))^(2^F392)))</f>
        <v/>
      </c>
      <c r="M392" s="12" t="str">
        <f>IF(OR(D392="",E392=""),"",IF(IFERROR(INDEX(Stats!$D:$D,MATCH($C392,Stats!$A:$A,0)),FALSE),ROUND(D392+(E392-D392)*(1+G392)*((6-1)/(MaxLevel-1))^(2^F392),0),D392+(E392-D392)*(1+G392)*((6-1)/(MaxLevel-1))^(2^F392)))</f>
        <v/>
      </c>
      <c r="N392" s="12" t="str">
        <f>IF(OR(D392="",E392=""),"",IF(IFERROR(INDEX(Stats!$D:$D,MATCH($C392,Stats!$A:$A,0)),FALSE),ROUND(D392+(E392-D392)*(1+G392)*((7-1)/(MaxLevel-1))^(2^F392),0),D392+(E392-D392)*(1+G392)*((7-1)/(MaxLevel-1))^(2^F392)))</f>
        <v/>
      </c>
      <c r="O392" s="12" t="str">
        <f>IF(OR(D392="",E392=""),"",IF(IFERROR(INDEX(Stats!$D:$D,MATCH($C392,Stats!$A:$A,0)),FALSE),ROUND(D392+(E392-D392)*(1+G392)*((8-1)/(MaxLevel-1))^(2^F392),0),D392+(E392-D392)*(1+G392)*((8-1)/(MaxLevel-1))^(2^F392)))</f>
        <v/>
      </c>
      <c r="P392" s="12" t="str">
        <f>IF(OR(D392="",E392=""),"",IF(IFERROR(INDEX(Stats!$D:$D,MATCH($C392,Stats!$A:$A,0)),FALSE),ROUND(D392+(E392-D392)*(1+G392)*((9-1)/(MaxLevel-1))^(2^F392),0),D392+(E392-D392)*(1+G392)*((9-1)/(MaxLevel-1))^(2^F392)))</f>
        <v/>
      </c>
      <c r="Q392" s="12" t="str">
        <f>IF(OR(D392="",E392=""),"",IF(IFERROR(INDEX(Stats!$D:$D,MATCH($C392,Stats!$A:$A,0)),FALSE),ROUND(D392+(E392-D392)*(1+G392)*((10-1)/(MaxLevel-1))^(2^F392),0),D392+(E392-D392)*(1+G392)*((10-1)/(MaxLevel-1))^(2^F392)))</f>
        <v/>
      </c>
    </row>
    <row r="393" spans="1:17" x14ac:dyDescent="0.25">
      <c r="A393" s="4" t="s">
        <v>185</v>
      </c>
      <c r="B393" s="19" t="s">
        <v>235</v>
      </c>
      <c r="C393" s="4" t="s">
        <v>46</v>
      </c>
      <c r="D393" s="5"/>
      <c r="E393" s="5"/>
      <c r="F393" s="5"/>
      <c r="G393" s="5"/>
      <c r="H393" s="12" t="str">
        <f>IF(OR(D393="",E393=""),"",IF(IFERROR(INDEX(Stats!$D:$D,MATCH($C393,Stats!$A:$A,0)),FALSE),ROUND(D393+(E393-D393)*(1+G393)*((1-1)/(MaxLevel-1))^(2^F393),0),D393+(E393-D393)*(1+G393)*((1-1)/(MaxLevel-1))^(2^F393)))</f>
        <v/>
      </c>
      <c r="I393" s="12" t="str">
        <f>IF(OR(D393="",E393=""),"",IF(IFERROR(INDEX(Stats!$D:$D,MATCH($C393,Stats!$A:$A,0)),FALSE),ROUND(D393+(E393-D393)*(1+G393)*((2-1)/(MaxLevel-1))^(2^F393),0),D393+(E393-D393)*(1+G393)*((2-1)/(MaxLevel-1))^(2^F393)))</f>
        <v/>
      </c>
      <c r="J393" s="12" t="str">
        <f>IF(OR(D393="",E393=""),"",IF(IFERROR(INDEX(Stats!$D:$D,MATCH($C393,Stats!$A:$A,0)),FALSE),ROUND(D393+(E393-D393)*(1+G393)*((3-1)/(MaxLevel-1))^(2^F393),0),D393+(E393-D393)*(1+G393)*((3-1)/(MaxLevel-1))^(2^F393)))</f>
        <v/>
      </c>
      <c r="K393" s="12" t="str">
        <f>IF(OR(D393="",E393=""),"",IF(IFERROR(INDEX(Stats!$D:$D,MATCH($C393,Stats!$A:$A,0)),FALSE),ROUND(D393+(E393-D393)*(1+G393)*((4-1)/(MaxLevel-1))^(2^F393),0),D393+(E393-D393)*(1+G393)*((4-1)/(MaxLevel-1))^(2^F393)))</f>
        <v/>
      </c>
      <c r="L393" s="12" t="str">
        <f>IF(OR(D393="",E393=""),"",IF(IFERROR(INDEX(Stats!$D:$D,MATCH($C393,Stats!$A:$A,0)),FALSE),ROUND(D393+(E393-D393)*(1+G393)*((5-1)/(MaxLevel-1))^(2^F393),0),D393+(E393-D393)*(1+G393)*((5-1)/(MaxLevel-1))^(2^F393)))</f>
        <v/>
      </c>
      <c r="M393" s="12" t="str">
        <f>IF(OR(D393="",E393=""),"",IF(IFERROR(INDEX(Stats!$D:$D,MATCH($C393,Stats!$A:$A,0)),FALSE),ROUND(D393+(E393-D393)*(1+G393)*((6-1)/(MaxLevel-1))^(2^F393),0),D393+(E393-D393)*(1+G393)*((6-1)/(MaxLevel-1))^(2^F393)))</f>
        <v/>
      </c>
      <c r="N393" s="12" t="str">
        <f>IF(OR(D393="",E393=""),"",IF(IFERROR(INDEX(Stats!$D:$D,MATCH($C393,Stats!$A:$A,0)),FALSE),ROUND(D393+(E393-D393)*(1+G393)*((7-1)/(MaxLevel-1))^(2^F393),0),D393+(E393-D393)*(1+G393)*((7-1)/(MaxLevel-1))^(2^F393)))</f>
        <v/>
      </c>
      <c r="O393" s="12" t="str">
        <f>IF(OR(D393="",E393=""),"",IF(IFERROR(INDEX(Stats!$D:$D,MATCH($C393,Stats!$A:$A,0)),FALSE),ROUND(D393+(E393-D393)*(1+G393)*((8-1)/(MaxLevel-1))^(2^F393),0),D393+(E393-D393)*(1+G393)*((8-1)/(MaxLevel-1))^(2^F393)))</f>
        <v/>
      </c>
      <c r="P393" s="12" t="str">
        <f>IF(OR(D393="",E393=""),"",IF(IFERROR(INDEX(Stats!$D:$D,MATCH($C393,Stats!$A:$A,0)),FALSE),ROUND(D393+(E393-D393)*(1+G393)*((9-1)/(MaxLevel-1))^(2^F393),0),D393+(E393-D393)*(1+G393)*((9-1)/(MaxLevel-1))^(2^F393)))</f>
        <v/>
      </c>
      <c r="Q393" s="12" t="str">
        <f>IF(OR(D393="",E393=""),"",IF(IFERROR(INDEX(Stats!$D:$D,MATCH($C393,Stats!$A:$A,0)),FALSE),ROUND(D393+(E393-D393)*(1+G393)*((10-1)/(MaxLevel-1))^(2^F393),0),D393+(E393-D393)*(1+G393)*((10-1)/(MaxLevel-1))^(2^F393)))</f>
        <v/>
      </c>
    </row>
    <row r="394" spans="1:17" x14ac:dyDescent="0.25">
      <c r="A394" s="4" t="s">
        <v>185</v>
      </c>
      <c r="B394" s="19" t="s">
        <v>235</v>
      </c>
      <c r="C394" s="4" t="s">
        <v>48</v>
      </c>
      <c r="D394" s="5"/>
      <c r="E394" s="5"/>
      <c r="F394" s="5"/>
      <c r="G394" s="5"/>
      <c r="H394" s="12" t="str">
        <f>IF(OR(D394="",E394=""),"",IF(IFERROR(INDEX(Stats!$D:$D,MATCH($C394,Stats!$A:$A,0)),FALSE),ROUND(D394+(E394-D394)*(1+G394)*((1-1)/(MaxLevel-1))^(2^F394),0),D394+(E394-D394)*(1+G394)*((1-1)/(MaxLevel-1))^(2^F394)))</f>
        <v/>
      </c>
      <c r="I394" s="12" t="str">
        <f>IF(OR(D394="",E394=""),"",IF(IFERROR(INDEX(Stats!$D:$D,MATCH($C394,Stats!$A:$A,0)),FALSE),ROUND(D394+(E394-D394)*(1+G394)*((2-1)/(MaxLevel-1))^(2^F394),0),D394+(E394-D394)*(1+G394)*((2-1)/(MaxLevel-1))^(2^F394)))</f>
        <v/>
      </c>
      <c r="J394" s="12" t="str">
        <f>IF(OR(D394="",E394=""),"",IF(IFERROR(INDEX(Stats!$D:$D,MATCH($C394,Stats!$A:$A,0)),FALSE),ROUND(D394+(E394-D394)*(1+G394)*((3-1)/(MaxLevel-1))^(2^F394),0),D394+(E394-D394)*(1+G394)*((3-1)/(MaxLevel-1))^(2^F394)))</f>
        <v/>
      </c>
      <c r="K394" s="12" t="str">
        <f>IF(OR(D394="",E394=""),"",IF(IFERROR(INDEX(Stats!$D:$D,MATCH($C394,Stats!$A:$A,0)),FALSE),ROUND(D394+(E394-D394)*(1+G394)*((4-1)/(MaxLevel-1))^(2^F394),0),D394+(E394-D394)*(1+G394)*((4-1)/(MaxLevel-1))^(2^F394)))</f>
        <v/>
      </c>
      <c r="L394" s="12" t="str">
        <f>IF(OR(D394="",E394=""),"",IF(IFERROR(INDEX(Stats!$D:$D,MATCH($C394,Stats!$A:$A,0)),FALSE),ROUND(D394+(E394-D394)*(1+G394)*((5-1)/(MaxLevel-1))^(2^F394),0),D394+(E394-D394)*(1+G394)*((5-1)/(MaxLevel-1))^(2^F394)))</f>
        <v/>
      </c>
      <c r="M394" s="12" t="str">
        <f>IF(OR(D394="",E394=""),"",IF(IFERROR(INDEX(Stats!$D:$D,MATCH($C394,Stats!$A:$A,0)),FALSE),ROUND(D394+(E394-D394)*(1+G394)*((6-1)/(MaxLevel-1))^(2^F394),0),D394+(E394-D394)*(1+G394)*((6-1)/(MaxLevel-1))^(2^F394)))</f>
        <v/>
      </c>
      <c r="N394" s="12" t="str">
        <f>IF(OR(D394="",E394=""),"",IF(IFERROR(INDEX(Stats!$D:$D,MATCH($C394,Stats!$A:$A,0)),FALSE),ROUND(D394+(E394-D394)*(1+G394)*((7-1)/(MaxLevel-1))^(2^F394),0),D394+(E394-D394)*(1+G394)*((7-1)/(MaxLevel-1))^(2^F394)))</f>
        <v/>
      </c>
      <c r="O394" s="12" t="str">
        <f>IF(OR(D394="",E394=""),"",IF(IFERROR(INDEX(Stats!$D:$D,MATCH($C394,Stats!$A:$A,0)),FALSE),ROUND(D394+(E394-D394)*(1+G394)*((8-1)/(MaxLevel-1))^(2^F394),0),D394+(E394-D394)*(1+G394)*((8-1)/(MaxLevel-1))^(2^F394)))</f>
        <v/>
      </c>
      <c r="P394" s="12" t="str">
        <f>IF(OR(D394="",E394=""),"",IF(IFERROR(INDEX(Stats!$D:$D,MATCH($C394,Stats!$A:$A,0)),FALSE),ROUND(D394+(E394-D394)*(1+G394)*((9-1)/(MaxLevel-1))^(2^F394),0),D394+(E394-D394)*(1+G394)*((9-1)/(MaxLevel-1))^(2^F394)))</f>
        <v/>
      </c>
      <c r="Q394" s="12" t="str">
        <f>IF(OR(D394="",E394=""),"",IF(IFERROR(INDEX(Stats!$D:$D,MATCH($C394,Stats!$A:$A,0)),FALSE),ROUND(D394+(E394-D394)*(1+G394)*((10-1)/(MaxLevel-1))^(2^F394),0),D394+(E394-D394)*(1+G394)*((10-1)/(MaxLevel-1))^(2^F394)))</f>
        <v/>
      </c>
    </row>
    <row r="395" spans="1:17" x14ac:dyDescent="0.25">
      <c r="A395" s="4" t="s">
        <v>185</v>
      </c>
      <c r="B395" s="19" t="s">
        <v>235</v>
      </c>
      <c r="C395" s="4" t="s">
        <v>50</v>
      </c>
      <c r="D395" s="5"/>
      <c r="E395" s="5"/>
      <c r="F395" s="5"/>
      <c r="G395" s="5"/>
      <c r="H395" s="12" t="str">
        <f>IF(OR(D395="",E395=""),"",IF(IFERROR(INDEX(Stats!$D:$D,MATCH($C395,Stats!$A:$A,0)),FALSE),ROUND(D395+(E395-D395)*(1+G395)*((1-1)/(MaxLevel-1))^(2^F395),0),D395+(E395-D395)*(1+G395)*((1-1)/(MaxLevel-1))^(2^F395)))</f>
        <v/>
      </c>
      <c r="I395" s="12" t="str">
        <f>IF(OR(D395="",E395=""),"",IF(IFERROR(INDEX(Stats!$D:$D,MATCH($C395,Stats!$A:$A,0)),FALSE),ROUND(D395+(E395-D395)*(1+G395)*((2-1)/(MaxLevel-1))^(2^F395),0),D395+(E395-D395)*(1+G395)*((2-1)/(MaxLevel-1))^(2^F395)))</f>
        <v/>
      </c>
      <c r="J395" s="12" t="str">
        <f>IF(OR(D395="",E395=""),"",IF(IFERROR(INDEX(Stats!$D:$D,MATCH($C395,Stats!$A:$A,0)),FALSE),ROUND(D395+(E395-D395)*(1+G395)*((3-1)/(MaxLevel-1))^(2^F395),0),D395+(E395-D395)*(1+G395)*((3-1)/(MaxLevel-1))^(2^F395)))</f>
        <v/>
      </c>
      <c r="K395" s="12" t="str">
        <f>IF(OR(D395="",E395=""),"",IF(IFERROR(INDEX(Stats!$D:$D,MATCH($C395,Stats!$A:$A,0)),FALSE),ROUND(D395+(E395-D395)*(1+G395)*((4-1)/(MaxLevel-1))^(2^F395),0),D395+(E395-D395)*(1+G395)*((4-1)/(MaxLevel-1))^(2^F395)))</f>
        <v/>
      </c>
      <c r="L395" s="12" t="str">
        <f>IF(OR(D395="",E395=""),"",IF(IFERROR(INDEX(Stats!$D:$D,MATCH($C395,Stats!$A:$A,0)),FALSE),ROUND(D395+(E395-D395)*(1+G395)*((5-1)/(MaxLevel-1))^(2^F395),0),D395+(E395-D395)*(1+G395)*((5-1)/(MaxLevel-1))^(2^F395)))</f>
        <v/>
      </c>
      <c r="M395" s="12" t="str">
        <f>IF(OR(D395="",E395=""),"",IF(IFERROR(INDEX(Stats!$D:$D,MATCH($C395,Stats!$A:$A,0)),FALSE),ROUND(D395+(E395-D395)*(1+G395)*((6-1)/(MaxLevel-1))^(2^F395),0),D395+(E395-D395)*(1+G395)*((6-1)/(MaxLevel-1))^(2^F395)))</f>
        <v/>
      </c>
      <c r="N395" s="12" t="str">
        <f>IF(OR(D395="",E395=""),"",IF(IFERROR(INDEX(Stats!$D:$D,MATCH($C395,Stats!$A:$A,0)),FALSE),ROUND(D395+(E395-D395)*(1+G395)*((7-1)/(MaxLevel-1))^(2^F395),0),D395+(E395-D395)*(1+G395)*((7-1)/(MaxLevel-1))^(2^F395)))</f>
        <v/>
      </c>
      <c r="O395" s="12" t="str">
        <f>IF(OR(D395="",E395=""),"",IF(IFERROR(INDEX(Stats!$D:$D,MATCH($C395,Stats!$A:$A,0)),FALSE),ROUND(D395+(E395-D395)*(1+G395)*((8-1)/(MaxLevel-1))^(2^F395),0),D395+(E395-D395)*(1+G395)*((8-1)/(MaxLevel-1))^(2^F395)))</f>
        <v/>
      </c>
      <c r="P395" s="12" t="str">
        <f>IF(OR(D395="",E395=""),"",IF(IFERROR(INDEX(Stats!$D:$D,MATCH($C395,Stats!$A:$A,0)),FALSE),ROUND(D395+(E395-D395)*(1+G395)*((9-1)/(MaxLevel-1))^(2^F395),0),D395+(E395-D395)*(1+G395)*((9-1)/(MaxLevel-1))^(2^F395)))</f>
        <v/>
      </c>
      <c r="Q395" s="12" t="str">
        <f>IF(OR(D395="",E395=""),"",IF(IFERROR(INDEX(Stats!$D:$D,MATCH($C395,Stats!$A:$A,0)),FALSE),ROUND(D395+(E395-D395)*(1+G395)*((10-1)/(MaxLevel-1))^(2^F395),0),D395+(E395-D395)*(1+G395)*((10-1)/(MaxLevel-1))^(2^F395)))</f>
        <v/>
      </c>
    </row>
    <row r="396" spans="1:17" x14ac:dyDescent="0.25">
      <c r="A396" s="4" t="s">
        <v>185</v>
      </c>
      <c r="B396" s="19" t="s">
        <v>235</v>
      </c>
      <c r="C396" s="4" t="s">
        <v>52</v>
      </c>
      <c r="D396" s="5"/>
      <c r="E396" s="5"/>
      <c r="F396" s="5"/>
      <c r="G396" s="5"/>
      <c r="H396" s="12" t="str">
        <f>IF(OR(D396="",E396=""),"",IF(IFERROR(INDEX(Stats!$D:$D,MATCH($C396,Stats!$A:$A,0)),FALSE),ROUND(D396+(E396-D396)*(1+G396)*((1-1)/(MaxLevel-1))^(2^F396),0),D396+(E396-D396)*(1+G396)*((1-1)/(MaxLevel-1))^(2^F396)))</f>
        <v/>
      </c>
      <c r="I396" s="12" t="str">
        <f>IF(OR(D396="",E396=""),"",IF(IFERROR(INDEX(Stats!$D:$D,MATCH($C396,Stats!$A:$A,0)),FALSE),ROUND(D396+(E396-D396)*(1+G396)*((2-1)/(MaxLevel-1))^(2^F396),0),D396+(E396-D396)*(1+G396)*((2-1)/(MaxLevel-1))^(2^F396)))</f>
        <v/>
      </c>
      <c r="J396" s="12" t="str">
        <f>IF(OR(D396="",E396=""),"",IF(IFERROR(INDEX(Stats!$D:$D,MATCH($C396,Stats!$A:$A,0)),FALSE),ROUND(D396+(E396-D396)*(1+G396)*((3-1)/(MaxLevel-1))^(2^F396),0),D396+(E396-D396)*(1+G396)*((3-1)/(MaxLevel-1))^(2^F396)))</f>
        <v/>
      </c>
      <c r="K396" s="12" t="str">
        <f>IF(OR(D396="",E396=""),"",IF(IFERROR(INDEX(Stats!$D:$D,MATCH($C396,Stats!$A:$A,0)),FALSE),ROUND(D396+(E396-D396)*(1+G396)*((4-1)/(MaxLevel-1))^(2^F396),0),D396+(E396-D396)*(1+G396)*((4-1)/(MaxLevel-1))^(2^F396)))</f>
        <v/>
      </c>
      <c r="L396" s="12" t="str">
        <f>IF(OR(D396="",E396=""),"",IF(IFERROR(INDEX(Stats!$D:$D,MATCH($C396,Stats!$A:$A,0)),FALSE),ROUND(D396+(E396-D396)*(1+G396)*((5-1)/(MaxLevel-1))^(2^F396),0),D396+(E396-D396)*(1+G396)*((5-1)/(MaxLevel-1))^(2^F396)))</f>
        <v/>
      </c>
      <c r="M396" s="12" t="str">
        <f>IF(OR(D396="",E396=""),"",IF(IFERROR(INDEX(Stats!$D:$D,MATCH($C396,Stats!$A:$A,0)),FALSE),ROUND(D396+(E396-D396)*(1+G396)*((6-1)/(MaxLevel-1))^(2^F396),0),D396+(E396-D396)*(1+G396)*((6-1)/(MaxLevel-1))^(2^F396)))</f>
        <v/>
      </c>
      <c r="N396" s="12" t="str">
        <f>IF(OR(D396="",E396=""),"",IF(IFERROR(INDEX(Stats!$D:$D,MATCH($C396,Stats!$A:$A,0)),FALSE),ROUND(D396+(E396-D396)*(1+G396)*((7-1)/(MaxLevel-1))^(2^F396),0),D396+(E396-D396)*(1+G396)*((7-1)/(MaxLevel-1))^(2^F396)))</f>
        <v/>
      </c>
      <c r="O396" s="12" t="str">
        <f>IF(OR(D396="",E396=""),"",IF(IFERROR(INDEX(Stats!$D:$D,MATCH($C396,Stats!$A:$A,0)),FALSE),ROUND(D396+(E396-D396)*(1+G396)*((8-1)/(MaxLevel-1))^(2^F396),0),D396+(E396-D396)*(1+G396)*((8-1)/(MaxLevel-1))^(2^F396)))</f>
        <v/>
      </c>
      <c r="P396" s="12" t="str">
        <f>IF(OR(D396="",E396=""),"",IF(IFERROR(INDEX(Stats!$D:$D,MATCH($C396,Stats!$A:$A,0)),FALSE),ROUND(D396+(E396-D396)*(1+G396)*((9-1)/(MaxLevel-1))^(2^F396),0),D396+(E396-D396)*(1+G396)*((9-1)/(MaxLevel-1))^(2^F396)))</f>
        <v/>
      </c>
      <c r="Q396" s="12" t="str">
        <f>IF(OR(D396="",E396=""),"",IF(IFERROR(INDEX(Stats!$D:$D,MATCH($C396,Stats!$A:$A,0)),FALSE),ROUND(D396+(E396-D396)*(1+G396)*((10-1)/(MaxLevel-1))^(2^F396),0),D396+(E396-D396)*(1+G396)*((10-1)/(MaxLevel-1))^(2^F396)))</f>
        <v/>
      </c>
    </row>
    <row r="397" spans="1:17" x14ac:dyDescent="0.25">
      <c r="A397" s="4" t="s">
        <v>185</v>
      </c>
      <c r="B397" s="19" t="s">
        <v>235</v>
      </c>
      <c r="C397" s="4" t="s">
        <v>54</v>
      </c>
      <c r="D397" s="5"/>
      <c r="E397" s="5"/>
      <c r="F397" s="5"/>
      <c r="G397" s="5"/>
      <c r="H397" s="12" t="str">
        <f>IF(OR(D397="",E397=""),"",IF(IFERROR(INDEX(Stats!$D:$D,MATCH($C397,Stats!$A:$A,0)),FALSE),ROUND(D397+(E397-D397)*(1+G397)*((1-1)/(MaxLevel-1))^(2^F397),0),D397+(E397-D397)*(1+G397)*((1-1)/(MaxLevel-1))^(2^F397)))</f>
        <v/>
      </c>
      <c r="I397" s="12" t="str">
        <f>IF(OR(D397="",E397=""),"",IF(IFERROR(INDEX(Stats!$D:$D,MATCH($C397,Stats!$A:$A,0)),FALSE),ROUND(D397+(E397-D397)*(1+G397)*((2-1)/(MaxLevel-1))^(2^F397),0),D397+(E397-D397)*(1+G397)*((2-1)/(MaxLevel-1))^(2^F397)))</f>
        <v/>
      </c>
      <c r="J397" s="12" t="str">
        <f>IF(OR(D397="",E397=""),"",IF(IFERROR(INDEX(Stats!$D:$D,MATCH($C397,Stats!$A:$A,0)),FALSE),ROUND(D397+(E397-D397)*(1+G397)*((3-1)/(MaxLevel-1))^(2^F397),0),D397+(E397-D397)*(1+G397)*((3-1)/(MaxLevel-1))^(2^F397)))</f>
        <v/>
      </c>
      <c r="K397" s="12" t="str">
        <f>IF(OR(D397="",E397=""),"",IF(IFERROR(INDEX(Stats!$D:$D,MATCH($C397,Stats!$A:$A,0)),FALSE),ROUND(D397+(E397-D397)*(1+G397)*((4-1)/(MaxLevel-1))^(2^F397),0),D397+(E397-D397)*(1+G397)*((4-1)/(MaxLevel-1))^(2^F397)))</f>
        <v/>
      </c>
      <c r="L397" s="12" t="str">
        <f>IF(OR(D397="",E397=""),"",IF(IFERROR(INDEX(Stats!$D:$D,MATCH($C397,Stats!$A:$A,0)),FALSE),ROUND(D397+(E397-D397)*(1+G397)*((5-1)/(MaxLevel-1))^(2^F397),0),D397+(E397-D397)*(1+G397)*((5-1)/(MaxLevel-1))^(2^F397)))</f>
        <v/>
      </c>
      <c r="M397" s="12" t="str">
        <f>IF(OR(D397="",E397=""),"",IF(IFERROR(INDEX(Stats!$D:$D,MATCH($C397,Stats!$A:$A,0)),FALSE),ROUND(D397+(E397-D397)*(1+G397)*((6-1)/(MaxLevel-1))^(2^F397),0),D397+(E397-D397)*(1+G397)*((6-1)/(MaxLevel-1))^(2^F397)))</f>
        <v/>
      </c>
      <c r="N397" s="12" t="str">
        <f>IF(OR(D397="",E397=""),"",IF(IFERROR(INDEX(Stats!$D:$D,MATCH($C397,Stats!$A:$A,0)),FALSE),ROUND(D397+(E397-D397)*(1+G397)*((7-1)/(MaxLevel-1))^(2^F397),0),D397+(E397-D397)*(1+G397)*((7-1)/(MaxLevel-1))^(2^F397)))</f>
        <v/>
      </c>
      <c r="O397" s="12" t="str">
        <f>IF(OR(D397="",E397=""),"",IF(IFERROR(INDEX(Stats!$D:$D,MATCH($C397,Stats!$A:$A,0)),FALSE),ROUND(D397+(E397-D397)*(1+G397)*((8-1)/(MaxLevel-1))^(2^F397),0),D397+(E397-D397)*(1+G397)*((8-1)/(MaxLevel-1))^(2^F397)))</f>
        <v/>
      </c>
      <c r="P397" s="12" t="str">
        <f>IF(OR(D397="",E397=""),"",IF(IFERROR(INDEX(Stats!$D:$D,MATCH($C397,Stats!$A:$A,0)),FALSE),ROUND(D397+(E397-D397)*(1+G397)*((9-1)/(MaxLevel-1))^(2^F397),0),D397+(E397-D397)*(1+G397)*((9-1)/(MaxLevel-1))^(2^F397)))</f>
        <v/>
      </c>
      <c r="Q397" s="12" t="str">
        <f>IF(OR(D397="",E397=""),"",IF(IFERROR(INDEX(Stats!$D:$D,MATCH($C397,Stats!$A:$A,0)),FALSE),ROUND(D397+(E397-D397)*(1+G397)*((10-1)/(MaxLevel-1))^(2^F397),0),D397+(E397-D397)*(1+G397)*((10-1)/(MaxLevel-1))^(2^F397)))</f>
        <v/>
      </c>
    </row>
    <row r="398" spans="1:17" x14ac:dyDescent="0.25">
      <c r="A398" s="4" t="s">
        <v>185</v>
      </c>
      <c r="B398" s="19" t="s">
        <v>235</v>
      </c>
      <c r="C398" s="4" t="s">
        <v>56</v>
      </c>
      <c r="D398" s="5"/>
      <c r="E398" s="5"/>
      <c r="F398" s="5"/>
      <c r="G398" s="5"/>
      <c r="H398" s="12" t="str">
        <f>IF(OR(D398="",E398=""),"",IF(IFERROR(INDEX(Stats!$D:$D,MATCH($C398,Stats!$A:$A,0)),FALSE),ROUND(D398+(E398-D398)*(1+G398)*((1-1)/(MaxLevel-1))^(2^F398),0),D398+(E398-D398)*(1+G398)*((1-1)/(MaxLevel-1))^(2^F398)))</f>
        <v/>
      </c>
      <c r="I398" s="12" t="str">
        <f>IF(OR(D398="",E398=""),"",IF(IFERROR(INDEX(Stats!$D:$D,MATCH($C398,Stats!$A:$A,0)),FALSE),ROUND(D398+(E398-D398)*(1+G398)*((2-1)/(MaxLevel-1))^(2^F398),0),D398+(E398-D398)*(1+G398)*((2-1)/(MaxLevel-1))^(2^F398)))</f>
        <v/>
      </c>
      <c r="J398" s="12" t="str">
        <f>IF(OR(D398="",E398=""),"",IF(IFERROR(INDEX(Stats!$D:$D,MATCH($C398,Stats!$A:$A,0)),FALSE),ROUND(D398+(E398-D398)*(1+G398)*((3-1)/(MaxLevel-1))^(2^F398),0),D398+(E398-D398)*(1+G398)*((3-1)/(MaxLevel-1))^(2^F398)))</f>
        <v/>
      </c>
      <c r="K398" s="12" t="str">
        <f>IF(OR(D398="",E398=""),"",IF(IFERROR(INDEX(Stats!$D:$D,MATCH($C398,Stats!$A:$A,0)),FALSE),ROUND(D398+(E398-D398)*(1+G398)*((4-1)/(MaxLevel-1))^(2^F398),0),D398+(E398-D398)*(1+G398)*((4-1)/(MaxLevel-1))^(2^F398)))</f>
        <v/>
      </c>
      <c r="L398" s="12" t="str">
        <f>IF(OR(D398="",E398=""),"",IF(IFERROR(INDEX(Stats!$D:$D,MATCH($C398,Stats!$A:$A,0)),FALSE),ROUND(D398+(E398-D398)*(1+G398)*((5-1)/(MaxLevel-1))^(2^F398),0),D398+(E398-D398)*(1+G398)*((5-1)/(MaxLevel-1))^(2^F398)))</f>
        <v/>
      </c>
      <c r="M398" s="12" t="str">
        <f>IF(OR(D398="",E398=""),"",IF(IFERROR(INDEX(Stats!$D:$D,MATCH($C398,Stats!$A:$A,0)),FALSE),ROUND(D398+(E398-D398)*(1+G398)*((6-1)/(MaxLevel-1))^(2^F398),0),D398+(E398-D398)*(1+G398)*((6-1)/(MaxLevel-1))^(2^F398)))</f>
        <v/>
      </c>
      <c r="N398" s="12" t="str">
        <f>IF(OR(D398="",E398=""),"",IF(IFERROR(INDEX(Stats!$D:$D,MATCH($C398,Stats!$A:$A,0)),FALSE),ROUND(D398+(E398-D398)*(1+G398)*((7-1)/(MaxLevel-1))^(2^F398),0),D398+(E398-D398)*(1+G398)*((7-1)/(MaxLevel-1))^(2^F398)))</f>
        <v/>
      </c>
      <c r="O398" s="12" t="str">
        <f>IF(OR(D398="",E398=""),"",IF(IFERROR(INDEX(Stats!$D:$D,MATCH($C398,Stats!$A:$A,0)),FALSE),ROUND(D398+(E398-D398)*(1+G398)*((8-1)/(MaxLevel-1))^(2^F398),0),D398+(E398-D398)*(1+G398)*((8-1)/(MaxLevel-1))^(2^F398)))</f>
        <v/>
      </c>
      <c r="P398" s="12" t="str">
        <f>IF(OR(D398="",E398=""),"",IF(IFERROR(INDEX(Stats!$D:$D,MATCH($C398,Stats!$A:$A,0)),FALSE),ROUND(D398+(E398-D398)*(1+G398)*((9-1)/(MaxLevel-1))^(2^F398),0),D398+(E398-D398)*(1+G398)*((9-1)/(MaxLevel-1))^(2^F398)))</f>
        <v/>
      </c>
      <c r="Q398" s="12" t="str">
        <f>IF(OR(D398="",E398=""),"",IF(IFERROR(INDEX(Stats!$D:$D,MATCH($C398,Stats!$A:$A,0)),FALSE),ROUND(D398+(E398-D398)*(1+G398)*((10-1)/(MaxLevel-1))^(2^F398),0),D398+(E398-D398)*(1+G398)*((10-1)/(MaxLevel-1))^(2^F398)))</f>
        <v/>
      </c>
    </row>
    <row r="399" spans="1:17" x14ac:dyDescent="0.25">
      <c r="A399" s="4" t="s">
        <v>185</v>
      </c>
      <c r="B399" s="19" t="s">
        <v>235</v>
      </c>
      <c r="C399" s="4" t="s">
        <v>58</v>
      </c>
      <c r="D399" s="5"/>
      <c r="E399" s="5"/>
      <c r="F399" s="5"/>
      <c r="G399" s="5"/>
      <c r="H399" s="12" t="str">
        <f>IF(OR(D399="",E399=""),"",IF(IFERROR(INDEX(Stats!$D:$D,MATCH($C399,Stats!$A:$A,0)),FALSE),ROUND(D399+(E399-D399)*(1+G399)*((1-1)/(MaxLevel-1))^(2^F399),0),D399+(E399-D399)*(1+G399)*((1-1)/(MaxLevel-1))^(2^F399)))</f>
        <v/>
      </c>
      <c r="I399" s="12" t="str">
        <f>IF(OR(D399="",E399=""),"",IF(IFERROR(INDEX(Stats!$D:$D,MATCH($C399,Stats!$A:$A,0)),FALSE),ROUND(D399+(E399-D399)*(1+G399)*((2-1)/(MaxLevel-1))^(2^F399),0),D399+(E399-D399)*(1+G399)*((2-1)/(MaxLevel-1))^(2^F399)))</f>
        <v/>
      </c>
      <c r="J399" s="12" t="str">
        <f>IF(OR(D399="",E399=""),"",IF(IFERROR(INDEX(Stats!$D:$D,MATCH($C399,Stats!$A:$A,0)),FALSE),ROUND(D399+(E399-D399)*(1+G399)*((3-1)/(MaxLevel-1))^(2^F399),0),D399+(E399-D399)*(1+G399)*((3-1)/(MaxLevel-1))^(2^F399)))</f>
        <v/>
      </c>
      <c r="K399" s="12" t="str">
        <f>IF(OR(D399="",E399=""),"",IF(IFERROR(INDEX(Stats!$D:$D,MATCH($C399,Stats!$A:$A,0)),FALSE),ROUND(D399+(E399-D399)*(1+G399)*((4-1)/(MaxLevel-1))^(2^F399),0),D399+(E399-D399)*(1+G399)*((4-1)/(MaxLevel-1))^(2^F399)))</f>
        <v/>
      </c>
      <c r="L399" s="12" t="str">
        <f>IF(OR(D399="",E399=""),"",IF(IFERROR(INDEX(Stats!$D:$D,MATCH($C399,Stats!$A:$A,0)),FALSE),ROUND(D399+(E399-D399)*(1+G399)*((5-1)/(MaxLevel-1))^(2^F399),0),D399+(E399-D399)*(1+G399)*((5-1)/(MaxLevel-1))^(2^F399)))</f>
        <v/>
      </c>
      <c r="M399" s="12" t="str">
        <f>IF(OR(D399="",E399=""),"",IF(IFERROR(INDEX(Stats!$D:$D,MATCH($C399,Stats!$A:$A,0)),FALSE),ROUND(D399+(E399-D399)*(1+G399)*((6-1)/(MaxLevel-1))^(2^F399),0),D399+(E399-D399)*(1+G399)*((6-1)/(MaxLevel-1))^(2^F399)))</f>
        <v/>
      </c>
      <c r="N399" s="12" t="str">
        <f>IF(OR(D399="",E399=""),"",IF(IFERROR(INDEX(Stats!$D:$D,MATCH($C399,Stats!$A:$A,0)),FALSE),ROUND(D399+(E399-D399)*(1+G399)*((7-1)/(MaxLevel-1))^(2^F399),0),D399+(E399-D399)*(1+G399)*((7-1)/(MaxLevel-1))^(2^F399)))</f>
        <v/>
      </c>
      <c r="O399" s="12" t="str">
        <f>IF(OR(D399="",E399=""),"",IF(IFERROR(INDEX(Stats!$D:$D,MATCH($C399,Stats!$A:$A,0)),FALSE),ROUND(D399+(E399-D399)*(1+G399)*((8-1)/(MaxLevel-1))^(2^F399),0),D399+(E399-D399)*(1+G399)*((8-1)/(MaxLevel-1))^(2^F399)))</f>
        <v/>
      </c>
      <c r="P399" s="12" t="str">
        <f>IF(OR(D399="",E399=""),"",IF(IFERROR(INDEX(Stats!$D:$D,MATCH($C399,Stats!$A:$A,0)),FALSE),ROUND(D399+(E399-D399)*(1+G399)*((9-1)/(MaxLevel-1))^(2^F399),0),D399+(E399-D399)*(1+G399)*((9-1)/(MaxLevel-1))^(2^F399)))</f>
        <v/>
      </c>
      <c r="Q399" s="12" t="str">
        <f>IF(OR(D399="",E399=""),"",IF(IFERROR(INDEX(Stats!$D:$D,MATCH($C399,Stats!$A:$A,0)),FALSE),ROUND(D399+(E399-D399)*(1+G399)*((10-1)/(MaxLevel-1))^(2^F399),0),D399+(E399-D399)*(1+G399)*((10-1)/(MaxLevel-1))^(2^F399)))</f>
        <v/>
      </c>
    </row>
    <row r="400" spans="1:17" x14ac:dyDescent="0.25">
      <c r="A400" s="4" t="s">
        <v>185</v>
      </c>
      <c r="B400" s="19" t="s">
        <v>235</v>
      </c>
      <c r="C400" s="4" t="s">
        <v>60</v>
      </c>
      <c r="D400" s="5"/>
      <c r="E400" s="5"/>
      <c r="F400" s="5"/>
      <c r="G400" s="5"/>
      <c r="H400" s="12" t="str">
        <f>IF(OR(D400="",E400=""),"",IF(IFERROR(INDEX(Stats!$D:$D,MATCH($C400,Stats!$A:$A,0)),FALSE),ROUND(D400+(E400-D400)*(1+G400)*((1-1)/(MaxLevel-1))^(2^F400),0),D400+(E400-D400)*(1+G400)*((1-1)/(MaxLevel-1))^(2^F400)))</f>
        <v/>
      </c>
      <c r="I400" s="12" t="str">
        <f>IF(OR(D400="",E400=""),"",IF(IFERROR(INDEX(Stats!$D:$D,MATCH($C400,Stats!$A:$A,0)),FALSE),ROUND(D400+(E400-D400)*(1+G400)*((2-1)/(MaxLevel-1))^(2^F400),0),D400+(E400-D400)*(1+G400)*((2-1)/(MaxLevel-1))^(2^F400)))</f>
        <v/>
      </c>
      <c r="J400" s="12" t="str">
        <f>IF(OR(D400="",E400=""),"",IF(IFERROR(INDEX(Stats!$D:$D,MATCH($C400,Stats!$A:$A,0)),FALSE),ROUND(D400+(E400-D400)*(1+G400)*((3-1)/(MaxLevel-1))^(2^F400),0),D400+(E400-D400)*(1+G400)*((3-1)/(MaxLevel-1))^(2^F400)))</f>
        <v/>
      </c>
      <c r="K400" s="12" t="str">
        <f>IF(OR(D400="",E400=""),"",IF(IFERROR(INDEX(Stats!$D:$D,MATCH($C400,Stats!$A:$A,0)),FALSE),ROUND(D400+(E400-D400)*(1+G400)*((4-1)/(MaxLevel-1))^(2^F400),0),D400+(E400-D400)*(1+G400)*((4-1)/(MaxLevel-1))^(2^F400)))</f>
        <v/>
      </c>
      <c r="L400" s="12" t="str">
        <f>IF(OR(D400="",E400=""),"",IF(IFERROR(INDEX(Stats!$D:$D,MATCH($C400,Stats!$A:$A,0)),FALSE),ROUND(D400+(E400-D400)*(1+G400)*((5-1)/(MaxLevel-1))^(2^F400),0),D400+(E400-D400)*(1+G400)*((5-1)/(MaxLevel-1))^(2^F400)))</f>
        <v/>
      </c>
      <c r="M400" s="12" t="str">
        <f>IF(OR(D400="",E400=""),"",IF(IFERROR(INDEX(Stats!$D:$D,MATCH($C400,Stats!$A:$A,0)),FALSE),ROUND(D400+(E400-D400)*(1+G400)*((6-1)/(MaxLevel-1))^(2^F400),0),D400+(E400-D400)*(1+G400)*((6-1)/(MaxLevel-1))^(2^F400)))</f>
        <v/>
      </c>
      <c r="N400" s="12" t="str">
        <f>IF(OR(D400="",E400=""),"",IF(IFERROR(INDEX(Stats!$D:$D,MATCH($C400,Stats!$A:$A,0)),FALSE),ROUND(D400+(E400-D400)*(1+G400)*((7-1)/(MaxLevel-1))^(2^F400),0),D400+(E400-D400)*(1+G400)*((7-1)/(MaxLevel-1))^(2^F400)))</f>
        <v/>
      </c>
      <c r="O400" s="12" t="str">
        <f>IF(OR(D400="",E400=""),"",IF(IFERROR(INDEX(Stats!$D:$D,MATCH($C400,Stats!$A:$A,0)),FALSE),ROUND(D400+(E400-D400)*(1+G400)*((8-1)/(MaxLevel-1))^(2^F400),0),D400+(E400-D400)*(1+G400)*((8-1)/(MaxLevel-1))^(2^F400)))</f>
        <v/>
      </c>
      <c r="P400" s="12" t="str">
        <f>IF(OR(D400="",E400=""),"",IF(IFERROR(INDEX(Stats!$D:$D,MATCH($C400,Stats!$A:$A,0)),FALSE),ROUND(D400+(E400-D400)*(1+G400)*((9-1)/(MaxLevel-1))^(2^F400),0),D400+(E400-D400)*(1+G400)*((9-1)/(MaxLevel-1))^(2^F400)))</f>
        <v/>
      </c>
      <c r="Q400" s="12" t="str">
        <f>IF(OR(D400="",E400=""),"",IF(IFERROR(INDEX(Stats!$D:$D,MATCH($C400,Stats!$A:$A,0)),FALSE),ROUND(D400+(E400-D400)*(1+G400)*((10-1)/(MaxLevel-1))^(2^F400),0),D400+(E400-D400)*(1+G400)*((10-1)/(MaxLevel-1))^(2^F400)))</f>
        <v/>
      </c>
    </row>
    <row r="401" spans="1:17" x14ac:dyDescent="0.25">
      <c r="A401" s="4" t="s">
        <v>185</v>
      </c>
      <c r="B401" s="19" t="s">
        <v>236</v>
      </c>
      <c r="C401" s="4" t="s">
        <v>24</v>
      </c>
      <c r="D401" s="5">
        <v>0</v>
      </c>
      <c r="E401" s="5">
        <v>5000</v>
      </c>
      <c r="F401" s="5">
        <v>1</v>
      </c>
      <c r="G401" s="5">
        <v>0</v>
      </c>
      <c r="H401" s="12">
        <f>IF(OR(D401="",E401=""),"",IF(IFERROR(INDEX(Stats!$D:$D,MATCH($C401,Stats!$A:$A,0)),FALSE),ROUND(D401+(E401-D401)*(1+G401)*((1-1)/(MaxLevel-1))^(2^F401),0),D401+(E401-D401)*(1+G401)*((1-1)/(MaxLevel-1))^(2^F401)))</f>
        <v>0</v>
      </c>
      <c r="I401" s="12">
        <f>IF(OR(D401="",E401=""),"",IF(IFERROR(INDEX(Stats!$D:$D,MATCH($C401,Stats!$A:$A,0)),FALSE),ROUND(D401+(E401-D401)*(1+G401)*((2-1)/(MaxLevel-1))^(2^F401),0),D401+(E401-D401)*(1+G401)*((2-1)/(MaxLevel-1))^(2^F401)))</f>
        <v>62</v>
      </c>
      <c r="J401" s="12">
        <f>IF(OR(D401="",E401=""),"",IF(IFERROR(INDEX(Stats!$D:$D,MATCH($C401,Stats!$A:$A,0)),FALSE),ROUND(D401+(E401-D401)*(1+G401)*((3-1)/(MaxLevel-1))^(2^F401),0),D401+(E401-D401)*(1+G401)*((3-1)/(MaxLevel-1))^(2^F401)))</f>
        <v>247</v>
      </c>
      <c r="K401" s="12">
        <f>IF(OR(D401="",E401=""),"",IF(IFERROR(INDEX(Stats!$D:$D,MATCH($C401,Stats!$A:$A,0)),FALSE),ROUND(D401+(E401-D401)*(1+G401)*((4-1)/(MaxLevel-1))^(2^F401),0),D401+(E401-D401)*(1+G401)*((4-1)/(MaxLevel-1))^(2^F401)))</f>
        <v>556</v>
      </c>
      <c r="L401" s="12">
        <f>IF(OR(D401="",E401=""),"",IF(IFERROR(INDEX(Stats!$D:$D,MATCH($C401,Stats!$A:$A,0)),FALSE),ROUND(D401+(E401-D401)*(1+G401)*((5-1)/(MaxLevel-1))^(2^F401),0),D401+(E401-D401)*(1+G401)*((5-1)/(MaxLevel-1))^(2^F401)))</f>
        <v>988</v>
      </c>
      <c r="M401" s="12">
        <f>IF(OR(D401="",E401=""),"",IF(IFERROR(INDEX(Stats!$D:$D,MATCH($C401,Stats!$A:$A,0)),FALSE),ROUND(D401+(E401-D401)*(1+G401)*((6-1)/(MaxLevel-1))^(2^F401),0),D401+(E401-D401)*(1+G401)*((6-1)/(MaxLevel-1))^(2^F401)))</f>
        <v>1543</v>
      </c>
      <c r="N401" s="12">
        <f>IF(OR(D401="",E401=""),"",IF(IFERROR(INDEX(Stats!$D:$D,MATCH($C401,Stats!$A:$A,0)),FALSE),ROUND(D401+(E401-D401)*(1+G401)*((7-1)/(MaxLevel-1))^(2^F401),0),D401+(E401-D401)*(1+G401)*((7-1)/(MaxLevel-1))^(2^F401)))</f>
        <v>2222</v>
      </c>
      <c r="O401" s="12">
        <f>IF(OR(D401="",E401=""),"",IF(IFERROR(INDEX(Stats!$D:$D,MATCH($C401,Stats!$A:$A,0)),FALSE),ROUND(D401+(E401-D401)*(1+G401)*((8-1)/(MaxLevel-1))^(2^F401),0),D401+(E401-D401)*(1+G401)*((8-1)/(MaxLevel-1))^(2^F401)))</f>
        <v>3025</v>
      </c>
      <c r="P401" s="12">
        <f>IF(OR(D401="",E401=""),"",IF(IFERROR(INDEX(Stats!$D:$D,MATCH($C401,Stats!$A:$A,0)),FALSE),ROUND(D401+(E401-D401)*(1+G401)*((9-1)/(MaxLevel-1))^(2^F401),0),D401+(E401-D401)*(1+G401)*((9-1)/(MaxLevel-1))^(2^F401)))</f>
        <v>3951</v>
      </c>
      <c r="Q401" s="12">
        <f>IF(OR(D401="",E401=""),"",IF(IFERROR(INDEX(Stats!$D:$D,MATCH($C401,Stats!$A:$A,0)),FALSE),ROUND(D401+(E401-D401)*(1+G401)*((10-1)/(MaxLevel-1))^(2^F401),0),D401+(E401-D401)*(1+G401)*((10-1)/(MaxLevel-1))^(2^F401)))</f>
        <v>5000</v>
      </c>
    </row>
    <row r="402" spans="1:17" x14ac:dyDescent="0.25">
      <c r="A402" s="4" t="s">
        <v>185</v>
      </c>
      <c r="B402" s="19" t="s">
        <v>236</v>
      </c>
      <c r="C402" s="4" t="s">
        <v>26</v>
      </c>
      <c r="D402" s="5">
        <v>10</v>
      </c>
      <c r="E402" s="5">
        <v>80</v>
      </c>
      <c r="F402" s="5">
        <v>0</v>
      </c>
      <c r="G402" s="5">
        <v>0</v>
      </c>
      <c r="H402" s="12">
        <f>IF(OR(D402="",E402=""),"",IF(IFERROR(INDEX(Stats!$D:$D,MATCH($C402,Stats!$A:$A,0)),FALSE),ROUND(D402+(E402-D402)*(1+G402)*((1-1)/(MaxLevel-1))^(2^F402),0),D402+(E402-D402)*(1+G402)*((1-1)/(MaxLevel-1))^(2^F402)))</f>
        <v>10</v>
      </c>
      <c r="I402" s="12">
        <f>IF(OR(D402="",E402=""),"",IF(IFERROR(INDEX(Stats!$D:$D,MATCH($C402,Stats!$A:$A,0)),FALSE),ROUND(D402+(E402-D402)*(1+G402)*((2-1)/(MaxLevel-1))^(2^F402),0),D402+(E402-D402)*(1+G402)*((2-1)/(MaxLevel-1))^(2^F402)))</f>
        <v>18</v>
      </c>
      <c r="J402" s="12">
        <f>IF(OR(D402="",E402=""),"",IF(IFERROR(INDEX(Stats!$D:$D,MATCH($C402,Stats!$A:$A,0)),FALSE),ROUND(D402+(E402-D402)*(1+G402)*((3-1)/(MaxLevel-1))^(2^F402),0),D402+(E402-D402)*(1+G402)*((3-1)/(MaxLevel-1))^(2^F402)))</f>
        <v>26</v>
      </c>
      <c r="K402" s="12">
        <f>IF(OR(D402="",E402=""),"",IF(IFERROR(INDEX(Stats!$D:$D,MATCH($C402,Stats!$A:$A,0)),FALSE),ROUND(D402+(E402-D402)*(1+G402)*((4-1)/(MaxLevel-1))^(2^F402),0),D402+(E402-D402)*(1+G402)*((4-1)/(MaxLevel-1))^(2^F402)))</f>
        <v>33</v>
      </c>
      <c r="L402" s="12">
        <f>IF(OR(D402="",E402=""),"",IF(IFERROR(INDEX(Stats!$D:$D,MATCH($C402,Stats!$A:$A,0)),FALSE),ROUND(D402+(E402-D402)*(1+G402)*((5-1)/(MaxLevel-1))^(2^F402),0),D402+(E402-D402)*(1+G402)*((5-1)/(MaxLevel-1))^(2^F402)))</f>
        <v>41</v>
      </c>
      <c r="M402" s="12">
        <f>IF(OR(D402="",E402=""),"",IF(IFERROR(INDEX(Stats!$D:$D,MATCH($C402,Stats!$A:$A,0)),FALSE),ROUND(D402+(E402-D402)*(1+G402)*((6-1)/(MaxLevel-1))^(2^F402),0),D402+(E402-D402)*(1+G402)*((6-1)/(MaxLevel-1))^(2^F402)))</f>
        <v>49</v>
      </c>
      <c r="N402" s="12">
        <f>IF(OR(D402="",E402=""),"",IF(IFERROR(INDEX(Stats!$D:$D,MATCH($C402,Stats!$A:$A,0)),FALSE),ROUND(D402+(E402-D402)*(1+G402)*((7-1)/(MaxLevel-1))^(2^F402),0),D402+(E402-D402)*(1+G402)*((7-1)/(MaxLevel-1))^(2^F402)))</f>
        <v>57</v>
      </c>
      <c r="O402" s="12">
        <f>IF(OR(D402="",E402=""),"",IF(IFERROR(INDEX(Stats!$D:$D,MATCH($C402,Stats!$A:$A,0)),FALSE),ROUND(D402+(E402-D402)*(1+G402)*((8-1)/(MaxLevel-1))^(2^F402),0),D402+(E402-D402)*(1+G402)*((8-1)/(MaxLevel-1))^(2^F402)))</f>
        <v>64</v>
      </c>
      <c r="P402" s="12">
        <f>IF(OR(D402="",E402=""),"",IF(IFERROR(INDEX(Stats!$D:$D,MATCH($C402,Stats!$A:$A,0)),FALSE),ROUND(D402+(E402-D402)*(1+G402)*((9-1)/(MaxLevel-1))^(2^F402),0),D402+(E402-D402)*(1+G402)*((9-1)/(MaxLevel-1))^(2^F402)))</f>
        <v>72</v>
      </c>
      <c r="Q402" s="12">
        <f>IF(OR(D402="",E402=""),"",IF(IFERROR(INDEX(Stats!$D:$D,MATCH($C402,Stats!$A:$A,0)),FALSE),ROUND(D402+(E402-D402)*(1+G402)*((10-1)/(MaxLevel-1))^(2^F402),0),D402+(E402-D402)*(1+G402)*((10-1)/(MaxLevel-1))^(2^F402)))</f>
        <v>80</v>
      </c>
    </row>
    <row r="403" spans="1:17" x14ac:dyDescent="0.25">
      <c r="A403" s="4" t="s">
        <v>185</v>
      </c>
      <c r="B403" s="19" t="s">
        <v>236</v>
      </c>
      <c r="C403" s="4" t="s">
        <v>28</v>
      </c>
      <c r="D403" s="5">
        <v>80</v>
      </c>
      <c r="E403" s="5">
        <v>400</v>
      </c>
      <c r="F403" s="5">
        <v>-0.5</v>
      </c>
      <c r="G403" s="5">
        <v>0</v>
      </c>
      <c r="H403" s="12">
        <f>IF(OR(D403="",E403=""),"",IF(IFERROR(INDEX(Stats!$D:$D,MATCH($C403,Stats!$A:$A,0)),FALSE),ROUND(D403+(E403-D403)*(1+G403)*((1-1)/(MaxLevel-1))^(2^F403),0),D403+(E403-D403)*(1+G403)*((1-1)/(MaxLevel-1))^(2^F403)))</f>
        <v>80</v>
      </c>
      <c r="I403" s="12">
        <f>IF(OR(D403="",E403=""),"",IF(IFERROR(INDEX(Stats!$D:$D,MATCH($C403,Stats!$A:$A,0)),FALSE),ROUND(D403+(E403-D403)*(1+G403)*((2-1)/(MaxLevel-1))^(2^F403),0),D403+(E403-D403)*(1+G403)*((2-1)/(MaxLevel-1))^(2^F403)))</f>
        <v>148</v>
      </c>
      <c r="J403" s="12">
        <f>IF(OR(D403="",E403=""),"",IF(IFERROR(INDEX(Stats!$D:$D,MATCH($C403,Stats!$A:$A,0)),FALSE),ROUND(D403+(E403-D403)*(1+G403)*((3-1)/(MaxLevel-1))^(2^F403),0),D403+(E403-D403)*(1+G403)*((3-1)/(MaxLevel-1))^(2^F403)))</f>
        <v>190</v>
      </c>
      <c r="K403" s="12">
        <f>IF(OR(D403="",E403=""),"",IF(IFERROR(INDEX(Stats!$D:$D,MATCH($C403,Stats!$A:$A,0)),FALSE),ROUND(D403+(E403-D403)*(1+G403)*((4-1)/(MaxLevel-1))^(2^F403),0),D403+(E403-D403)*(1+G403)*((4-1)/(MaxLevel-1))^(2^F403)))</f>
        <v>227</v>
      </c>
      <c r="L403" s="12">
        <f>IF(OR(D403="",E403=""),"",IF(IFERROR(INDEX(Stats!$D:$D,MATCH($C403,Stats!$A:$A,0)),FALSE),ROUND(D403+(E403-D403)*(1+G403)*((5-1)/(MaxLevel-1))^(2^F403),0),D403+(E403-D403)*(1+G403)*((5-1)/(MaxLevel-1))^(2^F403)))</f>
        <v>260</v>
      </c>
      <c r="M403" s="12">
        <f>IF(OR(D403="",E403=""),"",IF(IFERROR(INDEX(Stats!$D:$D,MATCH($C403,Stats!$A:$A,0)),FALSE),ROUND(D403+(E403-D403)*(1+G403)*((6-1)/(MaxLevel-1))^(2^F403),0),D403+(E403-D403)*(1+G403)*((6-1)/(MaxLevel-1))^(2^F403)))</f>
        <v>291</v>
      </c>
      <c r="N403" s="12">
        <f>IF(OR(D403="",E403=""),"",IF(IFERROR(INDEX(Stats!$D:$D,MATCH($C403,Stats!$A:$A,0)),FALSE),ROUND(D403+(E403-D403)*(1+G403)*((7-1)/(MaxLevel-1))^(2^F403),0),D403+(E403-D403)*(1+G403)*((7-1)/(MaxLevel-1))^(2^F403)))</f>
        <v>320</v>
      </c>
      <c r="O403" s="12">
        <f>IF(OR(D403="",E403=""),"",IF(IFERROR(INDEX(Stats!$D:$D,MATCH($C403,Stats!$A:$A,0)),FALSE),ROUND(D403+(E403-D403)*(1+G403)*((8-1)/(MaxLevel-1))^(2^F403),0),D403+(E403-D403)*(1+G403)*((8-1)/(MaxLevel-1))^(2^F403)))</f>
        <v>348</v>
      </c>
      <c r="P403" s="12">
        <f>IF(OR(D403="",E403=""),"",IF(IFERROR(INDEX(Stats!$D:$D,MATCH($C403,Stats!$A:$A,0)),FALSE),ROUND(D403+(E403-D403)*(1+G403)*((9-1)/(MaxLevel-1))^(2^F403),0),D403+(E403-D403)*(1+G403)*((9-1)/(MaxLevel-1))^(2^F403)))</f>
        <v>374</v>
      </c>
      <c r="Q403" s="12">
        <f>IF(OR(D403="",E403=""),"",IF(IFERROR(INDEX(Stats!$D:$D,MATCH($C403,Stats!$A:$A,0)),FALSE),ROUND(D403+(E403-D403)*(1+G403)*((10-1)/(MaxLevel-1))^(2^F403),0),D403+(E403-D403)*(1+G403)*((10-1)/(MaxLevel-1))^(2^F403)))</f>
        <v>400</v>
      </c>
    </row>
    <row r="404" spans="1:17" x14ac:dyDescent="0.25">
      <c r="A404" s="4" t="s">
        <v>185</v>
      </c>
      <c r="B404" s="19" t="s">
        <v>236</v>
      </c>
      <c r="C404" s="4" t="s">
        <v>30</v>
      </c>
      <c r="D404" s="5"/>
      <c r="E404" s="5"/>
      <c r="F404" s="5"/>
      <c r="G404" s="5"/>
      <c r="H404" s="12" t="str">
        <f>IF(OR(D404="",E404=""),"",IF(IFERROR(INDEX(Stats!$D:$D,MATCH($C404,Stats!$A:$A,0)),FALSE),ROUND(D404+(E404-D404)*(1+G404)*((1-1)/(MaxLevel-1))^(2^F404),0),D404+(E404-D404)*(1+G404)*((1-1)/(MaxLevel-1))^(2^F404)))</f>
        <v/>
      </c>
      <c r="I404" s="12" t="str">
        <f>IF(OR(D404="",E404=""),"",IF(IFERROR(INDEX(Stats!$D:$D,MATCH($C404,Stats!$A:$A,0)),FALSE),ROUND(D404+(E404-D404)*(1+G404)*((2-1)/(MaxLevel-1))^(2^F404),0),D404+(E404-D404)*(1+G404)*((2-1)/(MaxLevel-1))^(2^F404)))</f>
        <v/>
      </c>
      <c r="J404" s="12" t="str">
        <f>IF(OR(D404="",E404=""),"",IF(IFERROR(INDEX(Stats!$D:$D,MATCH($C404,Stats!$A:$A,0)),FALSE),ROUND(D404+(E404-D404)*(1+G404)*((3-1)/(MaxLevel-1))^(2^F404),0),D404+(E404-D404)*(1+G404)*((3-1)/(MaxLevel-1))^(2^F404)))</f>
        <v/>
      </c>
      <c r="K404" s="12" t="str">
        <f>IF(OR(D404="",E404=""),"",IF(IFERROR(INDEX(Stats!$D:$D,MATCH($C404,Stats!$A:$A,0)),FALSE),ROUND(D404+(E404-D404)*(1+G404)*((4-1)/(MaxLevel-1))^(2^F404),0),D404+(E404-D404)*(1+G404)*((4-1)/(MaxLevel-1))^(2^F404)))</f>
        <v/>
      </c>
      <c r="L404" s="12" t="str">
        <f>IF(OR(D404="",E404=""),"",IF(IFERROR(INDEX(Stats!$D:$D,MATCH($C404,Stats!$A:$A,0)),FALSE),ROUND(D404+(E404-D404)*(1+G404)*((5-1)/(MaxLevel-1))^(2^F404),0),D404+(E404-D404)*(1+G404)*((5-1)/(MaxLevel-1))^(2^F404)))</f>
        <v/>
      </c>
      <c r="M404" s="12" t="str">
        <f>IF(OR(D404="",E404=""),"",IF(IFERROR(INDEX(Stats!$D:$D,MATCH($C404,Stats!$A:$A,0)),FALSE),ROUND(D404+(E404-D404)*(1+G404)*((6-1)/(MaxLevel-1))^(2^F404),0),D404+(E404-D404)*(1+G404)*((6-1)/(MaxLevel-1))^(2^F404)))</f>
        <v/>
      </c>
      <c r="N404" s="12" t="str">
        <f>IF(OR(D404="",E404=""),"",IF(IFERROR(INDEX(Stats!$D:$D,MATCH($C404,Stats!$A:$A,0)),FALSE),ROUND(D404+(E404-D404)*(1+G404)*((7-1)/(MaxLevel-1))^(2^F404),0),D404+(E404-D404)*(1+G404)*((7-1)/(MaxLevel-1))^(2^F404)))</f>
        <v/>
      </c>
      <c r="O404" s="12" t="str">
        <f>IF(OR(D404="",E404=""),"",IF(IFERROR(INDEX(Stats!$D:$D,MATCH($C404,Stats!$A:$A,0)),FALSE),ROUND(D404+(E404-D404)*(1+G404)*((8-1)/(MaxLevel-1))^(2^F404),0),D404+(E404-D404)*(1+G404)*((8-1)/(MaxLevel-1))^(2^F404)))</f>
        <v/>
      </c>
      <c r="P404" s="12" t="str">
        <f>IF(OR(D404="",E404=""),"",IF(IFERROR(INDEX(Stats!$D:$D,MATCH($C404,Stats!$A:$A,0)),FALSE),ROUND(D404+(E404-D404)*(1+G404)*((9-1)/(MaxLevel-1))^(2^F404),0),D404+(E404-D404)*(1+G404)*((9-1)/(MaxLevel-1))^(2^F404)))</f>
        <v/>
      </c>
      <c r="Q404" s="12" t="str">
        <f>IF(OR(D404="",E404=""),"",IF(IFERROR(INDEX(Stats!$D:$D,MATCH($C404,Stats!$A:$A,0)),FALSE),ROUND(D404+(E404-D404)*(1+G404)*((10-1)/(MaxLevel-1))^(2^F404),0),D404+(E404-D404)*(1+G404)*((10-1)/(MaxLevel-1))^(2^F404)))</f>
        <v/>
      </c>
    </row>
    <row r="405" spans="1:17" x14ac:dyDescent="0.25">
      <c r="A405" s="4" t="s">
        <v>185</v>
      </c>
      <c r="B405" s="19" t="s">
        <v>236</v>
      </c>
      <c r="C405" s="4" t="s">
        <v>32</v>
      </c>
      <c r="D405" s="5"/>
      <c r="E405" s="5"/>
      <c r="F405" s="5"/>
      <c r="G405" s="5"/>
      <c r="H405" s="12" t="str">
        <f>IF(OR(D405="",E405=""),"",IF(IFERROR(INDEX(Stats!$D:$D,MATCH($C405,Stats!$A:$A,0)),FALSE),ROUND(D405+(E405-D405)*(1+G405)*((1-1)/(MaxLevel-1))^(2^F405),0),D405+(E405-D405)*(1+G405)*((1-1)/(MaxLevel-1))^(2^F405)))</f>
        <v/>
      </c>
      <c r="I405" s="12" t="str">
        <f>IF(OR(D405="",E405=""),"",IF(IFERROR(INDEX(Stats!$D:$D,MATCH($C405,Stats!$A:$A,0)),FALSE),ROUND(D405+(E405-D405)*(1+G405)*((2-1)/(MaxLevel-1))^(2^F405),0),D405+(E405-D405)*(1+G405)*((2-1)/(MaxLevel-1))^(2^F405)))</f>
        <v/>
      </c>
      <c r="J405" s="12" t="str">
        <f>IF(OR(D405="",E405=""),"",IF(IFERROR(INDEX(Stats!$D:$D,MATCH($C405,Stats!$A:$A,0)),FALSE),ROUND(D405+(E405-D405)*(1+G405)*((3-1)/(MaxLevel-1))^(2^F405),0),D405+(E405-D405)*(1+G405)*((3-1)/(MaxLevel-1))^(2^F405)))</f>
        <v/>
      </c>
      <c r="K405" s="12" t="str">
        <f>IF(OR(D405="",E405=""),"",IF(IFERROR(INDEX(Stats!$D:$D,MATCH($C405,Stats!$A:$A,0)),FALSE),ROUND(D405+(E405-D405)*(1+G405)*((4-1)/(MaxLevel-1))^(2^F405),0),D405+(E405-D405)*(1+G405)*((4-1)/(MaxLevel-1))^(2^F405)))</f>
        <v/>
      </c>
      <c r="L405" s="12" t="str">
        <f>IF(OR(D405="",E405=""),"",IF(IFERROR(INDEX(Stats!$D:$D,MATCH($C405,Stats!$A:$A,0)),FALSE),ROUND(D405+(E405-D405)*(1+G405)*((5-1)/(MaxLevel-1))^(2^F405),0),D405+(E405-D405)*(1+G405)*((5-1)/(MaxLevel-1))^(2^F405)))</f>
        <v/>
      </c>
      <c r="M405" s="12" t="str">
        <f>IF(OR(D405="",E405=""),"",IF(IFERROR(INDEX(Stats!$D:$D,MATCH($C405,Stats!$A:$A,0)),FALSE),ROUND(D405+(E405-D405)*(1+G405)*((6-1)/(MaxLevel-1))^(2^F405),0),D405+(E405-D405)*(1+G405)*((6-1)/(MaxLevel-1))^(2^F405)))</f>
        <v/>
      </c>
      <c r="N405" s="12" t="str">
        <f>IF(OR(D405="",E405=""),"",IF(IFERROR(INDEX(Stats!$D:$D,MATCH($C405,Stats!$A:$A,0)),FALSE),ROUND(D405+(E405-D405)*(1+G405)*((7-1)/(MaxLevel-1))^(2^F405),0),D405+(E405-D405)*(1+G405)*((7-1)/(MaxLevel-1))^(2^F405)))</f>
        <v/>
      </c>
      <c r="O405" s="12" t="str">
        <f>IF(OR(D405="",E405=""),"",IF(IFERROR(INDEX(Stats!$D:$D,MATCH($C405,Stats!$A:$A,0)),FALSE),ROUND(D405+(E405-D405)*(1+G405)*((8-1)/(MaxLevel-1))^(2^F405),0),D405+(E405-D405)*(1+G405)*((8-1)/(MaxLevel-1))^(2^F405)))</f>
        <v/>
      </c>
      <c r="P405" s="12" t="str">
        <f>IF(OR(D405="",E405=""),"",IF(IFERROR(INDEX(Stats!$D:$D,MATCH($C405,Stats!$A:$A,0)),FALSE),ROUND(D405+(E405-D405)*(1+G405)*((9-1)/(MaxLevel-1))^(2^F405),0),D405+(E405-D405)*(1+G405)*((9-1)/(MaxLevel-1))^(2^F405)))</f>
        <v/>
      </c>
      <c r="Q405" s="12" t="str">
        <f>IF(OR(D405="",E405=""),"",IF(IFERROR(INDEX(Stats!$D:$D,MATCH($C405,Stats!$A:$A,0)),FALSE),ROUND(D405+(E405-D405)*(1+G405)*((10-1)/(MaxLevel-1))^(2^F405),0),D405+(E405-D405)*(1+G405)*((10-1)/(MaxLevel-1))^(2^F405)))</f>
        <v/>
      </c>
    </row>
    <row r="406" spans="1:17" x14ac:dyDescent="0.25">
      <c r="A406" s="4" t="s">
        <v>185</v>
      </c>
      <c r="B406" s="19" t="s">
        <v>236</v>
      </c>
      <c r="C406" s="4" t="s">
        <v>34</v>
      </c>
      <c r="D406" s="5"/>
      <c r="E406" s="5"/>
      <c r="F406" s="5"/>
      <c r="G406" s="5"/>
      <c r="H406" s="12" t="str">
        <f>IF(OR(D406="",E406=""),"",IF(IFERROR(INDEX(Stats!$D:$D,MATCH($C406,Stats!$A:$A,0)),FALSE),ROUND(D406+(E406-D406)*(1+G406)*((1-1)/(MaxLevel-1))^(2^F406),0),D406+(E406-D406)*(1+G406)*((1-1)/(MaxLevel-1))^(2^F406)))</f>
        <v/>
      </c>
      <c r="I406" s="12" t="str">
        <f>IF(OR(D406="",E406=""),"",IF(IFERROR(INDEX(Stats!$D:$D,MATCH($C406,Stats!$A:$A,0)),FALSE),ROUND(D406+(E406-D406)*(1+G406)*((2-1)/(MaxLevel-1))^(2^F406),0),D406+(E406-D406)*(1+G406)*((2-1)/(MaxLevel-1))^(2^F406)))</f>
        <v/>
      </c>
      <c r="J406" s="12" t="str">
        <f>IF(OR(D406="",E406=""),"",IF(IFERROR(INDEX(Stats!$D:$D,MATCH($C406,Stats!$A:$A,0)),FALSE),ROUND(D406+(E406-D406)*(1+G406)*((3-1)/(MaxLevel-1))^(2^F406),0),D406+(E406-D406)*(1+G406)*((3-1)/(MaxLevel-1))^(2^F406)))</f>
        <v/>
      </c>
      <c r="K406" s="12" t="str">
        <f>IF(OR(D406="",E406=""),"",IF(IFERROR(INDEX(Stats!$D:$D,MATCH($C406,Stats!$A:$A,0)),FALSE),ROUND(D406+(E406-D406)*(1+G406)*((4-1)/(MaxLevel-1))^(2^F406),0),D406+(E406-D406)*(1+G406)*((4-1)/(MaxLevel-1))^(2^F406)))</f>
        <v/>
      </c>
      <c r="L406" s="12" t="str">
        <f>IF(OR(D406="",E406=""),"",IF(IFERROR(INDEX(Stats!$D:$D,MATCH($C406,Stats!$A:$A,0)),FALSE),ROUND(D406+(E406-D406)*(1+G406)*((5-1)/(MaxLevel-1))^(2^F406),0),D406+(E406-D406)*(1+G406)*((5-1)/(MaxLevel-1))^(2^F406)))</f>
        <v/>
      </c>
      <c r="M406" s="12" t="str">
        <f>IF(OR(D406="",E406=""),"",IF(IFERROR(INDEX(Stats!$D:$D,MATCH($C406,Stats!$A:$A,0)),FALSE),ROUND(D406+(E406-D406)*(1+G406)*((6-1)/(MaxLevel-1))^(2^F406),0),D406+(E406-D406)*(1+G406)*((6-1)/(MaxLevel-1))^(2^F406)))</f>
        <v/>
      </c>
      <c r="N406" s="12" t="str">
        <f>IF(OR(D406="",E406=""),"",IF(IFERROR(INDEX(Stats!$D:$D,MATCH($C406,Stats!$A:$A,0)),FALSE),ROUND(D406+(E406-D406)*(1+G406)*((7-1)/(MaxLevel-1))^(2^F406),0),D406+(E406-D406)*(1+G406)*((7-1)/(MaxLevel-1))^(2^F406)))</f>
        <v/>
      </c>
      <c r="O406" s="12" t="str">
        <f>IF(OR(D406="",E406=""),"",IF(IFERROR(INDEX(Stats!$D:$D,MATCH($C406,Stats!$A:$A,0)),FALSE),ROUND(D406+(E406-D406)*(1+G406)*((8-1)/(MaxLevel-1))^(2^F406),0),D406+(E406-D406)*(1+G406)*((8-1)/(MaxLevel-1))^(2^F406)))</f>
        <v/>
      </c>
      <c r="P406" s="12" t="str">
        <f>IF(OR(D406="",E406=""),"",IF(IFERROR(INDEX(Stats!$D:$D,MATCH($C406,Stats!$A:$A,0)),FALSE),ROUND(D406+(E406-D406)*(1+G406)*((9-1)/(MaxLevel-1))^(2^F406),0),D406+(E406-D406)*(1+G406)*((9-1)/(MaxLevel-1))^(2^F406)))</f>
        <v/>
      </c>
      <c r="Q406" s="12" t="str">
        <f>IF(OR(D406="",E406=""),"",IF(IFERROR(INDEX(Stats!$D:$D,MATCH($C406,Stats!$A:$A,0)),FALSE),ROUND(D406+(E406-D406)*(1+G406)*((10-1)/(MaxLevel-1))^(2^F406),0),D406+(E406-D406)*(1+G406)*((10-1)/(MaxLevel-1))^(2^F406)))</f>
        <v/>
      </c>
    </row>
    <row r="407" spans="1:17" x14ac:dyDescent="0.25">
      <c r="A407" s="4" t="s">
        <v>185</v>
      </c>
      <c r="B407" s="19" t="s">
        <v>236</v>
      </c>
      <c r="C407" s="4" t="s">
        <v>36</v>
      </c>
      <c r="D407" s="5"/>
      <c r="E407" s="5"/>
      <c r="F407" s="5"/>
      <c r="G407" s="5"/>
      <c r="H407" s="12" t="str">
        <f>IF(OR(D407="",E407=""),"",IF(IFERROR(INDEX(Stats!$D:$D,MATCH($C407,Stats!$A:$A,0)),FALSE),ROUND(D407+(E407-D407)*(1+G407)*((1-1)/(MaxLevel-1))^(2^F407),0),D407+(E407-D407)*(1+G407)*((1-1)/(MaxLevel-1))^(2^F407)))</f>
        <v/>
      </c>
      <c r="I407" s="12" t="str">
        <f>IF(OR(D407="",E407=""),"",IF(IFERROR(INDEX(Stats!$D:$D,MATCH($C407,Stats!$A:$A,0)),FALSE),ROUND(D407+(E407-D407)*(1+G407)*((2-1)/(MaxLevel-1))^(2^F407),0),D407+(E407-D407)*(1+G407)*((2-1)/(MaxLevel-1))^(2^F407)))</f>
        <v/>
      </c>
      <c r="J407" s="12" t="str">
        <f>IF(OR(D407="",E407=""),"",IF(IFERROR(INDEX(Stats!$D:$D,MATCH($C407,Stats!$A:$A,0)),FALSE),ROUND(D407+(E407-D407)*(1+G407)*((3-1)/(MaxLevel-1))^(2^F407),0),D407+(E407-D407)*(1+G407)*((3-1)/(MaxLevel-1))^(2^F407)))</f>
        <v/>
      </c>
      <c r="K407" s="12" t="str">
        <f>IF(OR(D407="",E407=""),"",IF(IFERROR(INDEX(Stats!$D:$D,MATCH($C407,Stats!$A:$A,0)),FALSE),ROUND(D407+(E407-D407)*(1+G407)*((4-1)/(MaxLevel-1))^(2^F407),0),D407+(E407-D407)*(1+G407)*((4-1)/(MaxLevel-1))^(2^F407)))</f>
        <v/>
      </c>
      <c r="L407" s="12" t="str">
        <f>IF(OR(D407="",E407=""),"",IF(IFERROR(INDEX(Stats!$D:$D,MATCH($C407,Stats!$A:$A,0)),FALSE),ROUND(D407+(E407-D407)*(1+G407)*((5-1)/(MaxLevel-1))^(2^F407),0),D407+(E407-D407)*(1+G407)*((5-1)/(MaxLevel-1))^(2^F407)))</f>
        <v/>
      </c>
      <c r="M407" s="12" t="str">
        <f>IF(OR(D407="",E407=""),"",IF(IFERROR(INDEX(Stats!$D:$D,MATCH($C407,Stats!$A:$A,0)),FALSE),ROUND(D407+(E407-D407)*(1+G407)*((6-1)/(MaxLevel-1))^(2^F407),0),D407+(E407-D407)*(1+G407)*((6-1)/(MaxLevel-1))^(2^F407)))</f>
        <v/>
      </c>
      <c r="N407" s="12" t="str">
        <f>IF(OR(D407="",E407=""),"",IF(IFERROR(INDEX(Stats!$D:$D,MATCH($C407,Stats!$A:$A,0)),FALSE),ROUND(D407+(E407-D407)*(1+G407)*((7-1)/(MaxLevel-1))^(2^F407),0),D407+(E407-D407)*(1+G407)*((7-1)/(MaxLevel-1))^(2^F407)))</f>
        <v/>
      </c>
      <c r="O407" s="12" t="str">
        <f>IF(OR(D407="",E407=""),"",IF(IFERROR(INDEX(Stats!$D:$D,MATCH($C407,Stats!$A:$A,0)),FALSE),ROUND(D407+(E407-D407)*(1+G407)*((8-1)/(MaxLevel-1))^(2^F407),0),D407+(E407-D407)*(1+G407)*((8-1)/(MaxLevel-1))^(2^F407)))</f>
        <v/>
      </c>
      <c r="P407" s="12" t="str">
        <f>IF(OR(D407="",E407=""),"",IF(IFERROR(INDEX(Stats!$D:$D,MATCH($C407,Stats!$A:$A,0)),FALSE),ROUND(D407+(E407-D407)*(1+G407)*((9-1)/(MaxLevel-1))^(2^F407),0),D407+(E407-D407)*(1+G407)*((9-1)/(MaxLevel-1))^(2^F407)))</f>
        <v/>
      </c>
      <c r="Q407" s="12" t="str">
        <f>IF(OR(D407="",E407=""),"",IF(IFERROR(INDEX(Stats!$D:$D,MATCH($C407,Stats!$A:$A,0)),FALSE),ROUND(D407+(E407-D407)*(1+G407)*((10-1)/(MaxLevel-1))^(2^F407),0),D407+(E407-D407)*(1+G407)*((10-1)/(MaxLevel-1))^(2^F407)))</f>
        <v/>
      </c>
    </row>
    <row r="408" spans="1:17" x14ac:dyDescent="0.25">
      <c r="A408" s="4" t="s">
        <v>185</v>
      </c>
      <c r="B408" s="19" t="s">
        <v>236</v>
      </c>
      <c r="C408" s="4" t="s">
        <v>38</v>
      </c>
      <c r="D408" s="5">
        <v>1.5</v>
      </c>
      <c r="E408" s="5">
        <v>2</v>
      </c>
      <c r="F408" s="5">
        <v>-1</v>
      </c>
      <c r="G408" s="5">
        <v>0</v>
      </c>
      <c r="H408" s="12">
        <f>IF(OR(D408="",E408=""),"",IF(IFERROR(INDEX(Stats!$D:$D,MATCH($C408,Stats!$A:$A,0)),FALSE),ROUND(D408+(E408-D408)*(1+G408)*((1-1)/(MaxLevel-1))^(2^F408),0),D408+(E408-D408)*(1+G408)*((1-1)/(MaxLevel-1))^(2^F408)))</f>
        <v>1.5</v>
      </c>
      <c r="I408" s="12">
        <f>IF(OR(D408="",E408=""),"",IF(IFERROR(INDEX(Stats!$D:$D,MATCH($C408,Stats!$A:$A,0)),FALSE),ROUND(D408+(E408-D408)*(1+G408)*((2-1)/(MaxLevel-1))^(2^F408),0),D408+(E408-D408)*(1+G408)*((2-1)/(MaxLevel-1))^(2^F408)))</f>
        <v>1.6666666666666667</v>
      </c>
      <c r="J408" s="12">
        <f>IF(OR(D408="",E408=""),"",IF(IFERROR(INDEX(Stats!$D:$D,MATCH($C408,Stats!$A:$A,0)),FALSE),ROUND(D408+(E408-D408)*(1+G408)*((3-1)/(MaxLevel-1))^(2^F408),0),D408+(E408-D408)*(1+G408)*((3-1)/(MaxLevel-1))^(2^F408)))</f>
        <v>1.7357022603955159</v>
      </c>
      <c r="K408" s="12">
        <f>IF(OR(D408="",E408=""),"",IF(IFERROR(INDEX(Stats!$D:$D,MATCH($C408,Stats!$A:$A,0)),FALSE),ROUND(D408+(E408-D408)*(1+G408)*((4-1)/(MaxLevel-1))^(2^F408),0),D408+(E408-D408)*(1+G408)*((4-1)/(MaxLevel-1))^(2^F408)))</f>
        <v>1.7886751345948129</v>
      </c>
      <c r="L408" s="12">
        <f>IF(OR(D408="",E408=""),"",IF(IFERROR(INDEX(Stats!$D:$D,MATCH($C408,Stats!$A:$A,0)),FALSE),ROUND(D408+(E408-D408)*(1+G408)*((5-1)/(MaxLevel-1))^(2^F408),0),D408+(E408-D408)*(1+G408)*((5-1)/(MaxLevel-1))^(2^F408)))</f>
        <v>1.8333333333333333</v>
      </c>
      <c r="M408" s="12">
        <f>IF(OR(D408="",E408=""),"",IF(IFERROR(INDEX(Stats!$D:$D,MATCH($C408,Stats!$A:$A,0)),FALSE),ROUND(D408+(E408-D408)*(1+G408)*((6-1)/(MaxLevel-1))^(2^F408),0),D408+(E408-D408)*(1+G408)*((6-1)/(MaxLevel-1))^(2^F408)))</f>
        <v>1.8726779962499649</v>
      </c>
      <c r="N408" s="12">
        <f>IF(OR(D408="",E408=""),"",IF(IFERROR(INDEX(Stats!$D:$D,MATCH($C408,Stats!$A:$A,0)),FALSE),ROUND(D408+(E408-D408)*(1+G408)*((7-1)/(MaxLevel-1))^(2^F408),0),D408+(E408-D408)*(1+G408)*((7-1)/(MaxLevel-1))^(2^F408)))</f>
        <v>1.9082482904638631</v>
      </c>
      <c r="O408" s="12">
        <f>IF(OR(D408="",E408=""),"",IF(IFERROR(INDEX(Stats!$D:$D,MATCH($C408,Stats!$A:$A,0)),FALSE),ROUND(D408+(E408-D408)*(1+G408)*((8-1)/(MaxLevel-1))^(2^F408),0),D408+(E408-D408)*(1+G408)*((8-1)/(MaxLevel-1))^(2^F408)))</f>
        <v>1.9409585518440984</v>
      </c>
      <c r="P408" s="12">
        <f>IF(OR(D408="",E408=""),"",IF(IFERROR(INDEX(Stats!$D:$D,MATCH($C408,Stats!$A:$A,0)),FALSE),ROUND(D408+(E408-D408)*(1+G408)*((9-1)/(MaxLevel-1))^(2^F408),0),D408+(E408-D408)*(1+G408)*((9-1)/(MaxLevel-1))^(2^F408)))</f>
        <v>1.9714045207910318</v>
      </c>
      <c r="Q408" s="12">
        <f>IF(OR(D408="",E408=""),"",IF(IFERROR(INDEX(Stats!$D:$D,MATCH($C408,Stats!$A:$A,0)),FALSE),ROUND(D408+(E408-D408)*(1+G408)*((10-1)/(MaxLevel-1))^(2^F408),0),D408+(E408-D408)*(1+G408)*((10-1)/(MaxLevel-1))^(2^F408)))</f>
        <v>2</v>
      </c>
    </row>
    <row r="409" spans="1:17" x14ac:dyDescent="0.25">
      <c r="A409" s="4" t="s">
        <v>185</v>
      </c>
      <c r="B409" s="19" t="s">
        <v>236</v>
      </c>
      <c r="C409" s="4" t="s">
        <v>40</v>
      </c>
      <c r="D409" s="5">
        <v>20</v>
      </c>
      <c r="E409" s="5">
        <v>100</v>
      </c>
      <c r="F409" s="5">
        <v>1</v>
      </c>
      <c r="G409" s="5">
        <v>0.1</v>
      </c>
      <c r="H409" s="12">
        <f>IF(OR(D409="",E409=""),"",IF(IFERROR(INDEX(Stats!$D:$D,MATCH($C409,Stats!$A:$A,0)),FALSE),ROUND(D409+(E409-D409)*(1+G409)*((1-1)/(MaxLevel-1))^(2^F409),0),D409+(E409-D409)*(1+G409)*((1-1)/(MaxLevel-1))^(2^F409)))</f>
        <v>20</v>
      </c>
      <c r="I409" s="12">
        <f>IF(OR(D409="",E409=""),"",IF(IFERROR(INDEX(Stats!$D:$D,MATCH($C409,Stats!$A:$A,0)),FALSE),ROUND(D409+(E409-D409)*(1+G409)*((2-1)/(MaxLevel-1))^(2^F409),0),D409+(E409-D409)*(1+G409)*((2-1)/(MaxLevel-1))^(2^F409)))</f>
        <v>21</v>
      </c>
      <c r="J409" s="12">
        <f>IF(OR(D409="",E409=""),"",IF(IFERROR(INDEX(Stats!$D:$D,MATCH($C409,Stats!$A:$A,0)),FALSE),ROUND(D409+(E409-D409)*(1+G409)*((3-1)/(MaxLevel-1))^(2^F409),0),D409+(E409-D409)*(1+G409)*((3-1)/(MaxLevel-1))^(2^F409)))</f>
        <v>24</v>
      </c>
      <c r="K409" s="12">
        <f>IF(OR(D409="",E409=""),"",IF(IFERROR(INDEX(Stats!$D:$D,MATCH($C409,Stats!$A:$A,0)),FALSE),ROUND(D409+(E409-D409)*(1+G409)*((4-1)/(MaxLevel-1))^(2^F409),0),D409+(E409-D409)*(1+G409)*((4-1)/(MaxLevel-1))^(2^F409)))</f>
        <v>30</v>
      </c>
      <c r="L409" s="12">
        <f>IF(OR(D409="",E409=""),"",IF(IFERROR(INDEX(Stats!$D:$D,MATCH($C409,Stats!$A:$A,0)),FALSE),ROUND(D409+(E409-D409)*(1+G409)*((5-1)/(MaxLevel-1))^(2^F409),0),D409+(E409-D409)*(1+G409)*((5-1)/(MaxLevel-1))^(2^F409)))</f>
        <v>37</v>
      </c>
      <c r="M409" s="12">
        <f>IF(OR(D409="",E409=""),"",IF(IFERROR(INDEX(Stats!$D:$D,MATCH($C409,Stats!$A:$A,0)),FALSE),ROUND(D409+(E409-D409)*(1+G409)*((6-1)/(MaxLevel-1))^(2^F409),0),D409+(E409-D409)*(1+G409)*((6-1)/(MaxLevel-1))^(2^F409)))</f>
        <v>47</v>
      </c>
      <c r="N409" s="12">
        <f>IF(OR(D409="",E409=""),"",IF(IFERROR(INDEX(Stats!$D:$D,MATCH($C409,Stats!$A:$A,0)),FALSE),ROUND(D409+(E409-D409)*(1+G409)*((7-1)/(MaxLevel-1))^(2^F409),0),D409+(E409-D409)*(1+G409)*((7-1)/(MaxLevel-1))^(2^F409)))</f>
        <v>59</v>
      </c>
      <c r="O409" s="12">
        <f>IF(OR(D409="",E409=""),"",IF(IFERROR(INDEX(Stats!$D:$D,MATCH($C409,Stats!$A:$A,0)),FALSE),ROUND(D409+(E409-D409)*(1+G409)*((8-1)/(MaxLevel-1))^(2^F409),0),D409+(E409-D409)*(1+G409)*((8-1)/(MaxLevel-1))^(2^F409)))</f>
        <v>73</v>
      </c>
      <c r="P409" s="12">
        <f>IF(OR(D409="",E409=""),"",IF(IFERROR(INDEX(Stats!$D:$D,MATCH($C409,Stats!$A:$A,0)),FALSE),ROUND(D409+(E409-D409)*(1+G409)*((9-1)/(MaxLevel-1))^(2^F409),0),D409+(E409-D409)*(1+G409)*((9-1)/(MaxLevel-1))^(2^F409)))</f>
        <v>90</v>
      </c>
      <c r="Q409" s="12">
        <f>IF(OR(D409="",E409=""),"",IF(IFERROR(INDEX(Stats!$D:$D,MATCH($C409,Stats!$A:$A,0)),FALSE),ROUND(D409+(E409-D409)*(1+G409)*((10-1)/(MaxLevel-1))^(2^F409),0),D409+(E409-D409)*(1+G409)*((10-1)/(MaxLevel-1))^(2^F409)))</f>
        <v>108</v>
      </c>
    </row>
    <row r="410" spans="1:17" x14ac:dyDescent="0.25">
      <c r="A410" s="4" t="s">
        <v>185</v>
      </c>
      <c r="B410" s="19" t="s">
        <v>236</v>
      </c>
      <c r="C410" s="4" t="s">
        <v>42</v>
      </c>
      <c r="D410" s="5"/>
      <c r="E410" s="5"/>
      <c r="F410" s="5"/>
      <c r="G410" s="5"/>
      <c r="H410" s="12" t="str">
        <f>IF(OR(D410="",E410=""),"",IF(IFERROR(INDEX(Stats!$D:$D,MATCH($C410,Stats!$A:$A,0)),FALSE),ROUND(D410+(E410-D410)*(1+G410)*((1-1)/(MaxLevel-1))^(2^F410),0),D410+(E410-D410)*(1+G410)*((1-1)/(MaxLevel-1))^(2^F410)))</f>
        <v/>
      </c>
      <c r="I410" s="12" t="str">
        <f>IF(OR(D410="",E410=""),"",IF(IFERROR(INDEX(Stats!$D:$D,MATCH($C410,Stats!$A:$A,0)),FALSE),ROUND(D410+(E410-D410)*(1+G410)*((2-1)/(MaxLevel-1))^(2^F410),0),D410+(E410-D410)*(1+G410)*((2-1)/(MaxLevel-1))^(2^F410)))</f>
        <v/>
      </c>
      <c r="J410" s="12" t="str">
        <f>IF(OR(D410="",E410=""),"",IF(IFERROR(INDEX(Stats!$D:$D,MATCH($C410,Stats!$A:$A,0)),FALSE),ROUND(D410+(E410-D410)*(1+G410)*((3-1)/(MaxLevel-1))^(2^F410),0),D410+(E410-D410)*(1+G410)*((3-1)/(MaxLevel-1))^(2^F410)))</f>
        <v/>
      </c>
      <c r="K410" s="12" t="str">
        <f>IF(OR(D410="",E410=""),"",IF(IFERROR(INDEX(Stats!$D:$D,MATCH($C410,Stats!$A:$A,0)),FALSE),ROUND(D410+(E410-D410)*(1+G410)*((4-1)/(MaxLevel-1))^(2^F410),0),D410+(E410-D410)*(1+G410)*((4-1)/(MaxLevel-1))^(2^F410)))</f>
        <v/>
      </c>
      <c r="L410" s="12" t="str">
        <f>IF(OR(D410="",E410=""),"",IF(IFERROR(INDEX(Stats!$D:$D,MATCH($C410,Stats!$A:$A,0)),FALSE),ROUND(D410+(E410-D410)*(1+G410)*((5-1)/(MaxLevel-1))^(2^F410),0),D410+(E410-D410)*(1+G410)*((5-1)/(MaxLevel-1))^(2^F410)))</f>
        <v/>
      </c>
      <c r="M410" s="12" t="str">
        <f>IF(OR(D410="",E410=""),"",IF(IFERROR(INDEX(Stats!$D:$D,MATCH($C410,Stats!$A:$A,0)),FALSE),ROUND(D410+(E410-D410)*(1+G410)*((6-1)/(MaxLevel-1))^(2^F410),0),D410+(E410-D410)*(1+G410)*((6-1)/(MaxLevel-1))^(2^F410)))</f>
        <v/>
      </c>
      <c r="N410" s="12" t="str">
        <f>IF(OR(D410="",E410=""),"",IF(IFERROR(INDEX(Stats!$D:$D,MATCH($C410,Stats!$A:$A,0)),FALSE),ROUND(D410+(E410-D410)*(1+G410)*((7-1)/(MaxLevel-1))^(2^F410),0),D410+(E410-D410)*(1+G410)*((7-1)/(MaxLevel-1))^(2^F410)))</f>
        <v/>
      </c>
      <c r="O410" s="12" t="str">
        <f>IF(OR(D410="",E410=""),"",IF(IFERROR(INDEX(Stats!$D:$D,MATCH($C410,Stats!$A:$A,0)),FALSE),ROUND(D410+(E410-D410)*(1+G410)*((8-1)/(MaxLevel-1))^(2^F410),0),D410+(E410-D410)*(1+G410)*((8-1)/(MaxLevel-1))^(2^F410)))</f>
        <v/>
      </c>
      <c r="P410" s="12" t="str">
        <f>IF(OR(D410="",E410=""),"",IF(IFERROR(INDEX(Stats!$D:$D,MATCH($C410,Stats!$A:$A,0)),FALSE),ROUND(D410+(E410-D410)*(1+G410)*((9-1)/(MaxLevel-1))^(2^F410),0),D410+(E410-D410)*(1+G410)*((9-1)/(MaxLevel-1))^(2^F410)))</f>
        <v/>
      </c>
      <c r="Q410" s="12" t="str">
        <f>IF(OR(D410="",E410=""),"",IF(IFERROR(INDEX(Stats!$D:$D,MATCH($C410,Stats!$A:$A,0)),FALSE),ROUND(D410+(E410-D410)*(1+G410)*((10-1)/(MaxLevel-1))^(2^F410),0),D410+(E410-D410)*(1+G410)*((10-1)/(MaxLevel-1))^(2^F410)))</f>
        <v/>
      </c>
    </row>
    <row r="411" spans="1:17" x14ac:dyDescent="0.25">
      <c r="A411" s="4" t="s">
        <v>185</v>
      </c>
      <c r="B411" s="19" t="s">
        <v>236</v>
      </c>
      <c r="C411" s="4" t="s">
        <v>44</v>
      </c>
      <c r="D411" s="5"/>
      <c r="E411" s="5"/>
      <c r="F411" s="5"/>
      <c r="G411" s="5"/>
      <c r="H411" s="12" t="str">
        <f>IF(OR(D411="",E411=""),"",IF(IFERROR(INDEX(Stats!$D:$D,MATCH($C411,Stats!$A:$A,0)),FALSE),ROUND(D411+(E411-D411)*(1+G411)*((1-1)/(MaxLevel-1))^(2^F411),0),D411+(E411-D411)*(1+G411)*((1-1)/(MaxLevel-1))^(2^F411)))</f>
        <v/>
      </c>
      <c r="I411" s="12" t="str">
        <f>IF(OR(D411="",E411=""),"",IF(IFERROR(INDEX(Stats!$D:$D,MATCH($C411,Stats!$A:$A,0)),FALSE),ROUND(D411+(E411-D411)*(1+G411)*((2-1)/(MaxLevel-1))^(2^F411),0),D411+(E411-D411)*(1+G411)*((2-1)/(MaxLevel-1))^(2^F411)))</f>
        <v/>
      </c>
      <c r="J411" s="12" t="str">
        <f>IF(OR(D411="",E411=""),"",IF(IFERROR(INDEX(Stats!$D:$D,MATCH($C411,Stats!$A:$A,0)),FALSE),ROUND(D411+(E411-D411)*(1+G411)*((3-1)/(MaxLevel-1))^(2^F411),0),D411+(E411-D411)*(1+G411)*((3-1)/(MaxLevel-1))^(2^F411)))</f>
        <v/>
      </c>
      <c r="K411" s="12" t="str">
        <f>IF(OR(D411="",E411=""),"",IF(IFERROR(INDEX(Stats!$D:$D,MATCH($C411,Stats!$A:$A,0)),FALSE),ROUND(D411+(E411-D411)*(1+G411)*((4-1)/(MaxLevel-1))^(2^F411),0),D411+(E411-D411)*(1+G411)*((4-1)/(MaxLevel-1))^(2^F411)))</f>
        <v/>
      </c>
      <c r="L411" s="12" t="str">
        <f>IF(OR(D411="",E411=""),"",IF(IFERROR(INDEX(Stats!$D:$D,MATCH($C411,Stats!$A:$A,0)),FALSE),ROUND(D411+(E411-D411)*(1+G411)*((5-1)/(MaxLevel-1))^(2^F411),0),D411+(E411-D411)*(1+G411)*((5-1)/(MaxLevel-1))^(2^F411)))</f>
        <v/>
      </c>
      <c r="M411" s="12" t="str">
        <f>IF(OR(D411="",E411=""),"",IF(IFERROR(INDEX(Stats!$D:$D,MATCH($C411,Stats!$A:$A,0)),FALSE),ROUND(D411+(E411-D411)*(1+G411)*((6-1)/(MaxLevel-1))^(2^F411),0),D411+(E411-D411)*(1+G411)*((6-1)/(MaxLevel-1))^(2^F411)))</f>
        <v/>
      </c>
      <c r="N411" s="12" t="str">
        <f>IF(OR(D411="",E411=""),"",IF(IFERROR(INDEX(Stats!$D:$D,MATCH($C411,Stats!$A:$A,0)),FALSE),ROUND(D411+(E411-D411)*(1+G411)*((7-1)/(MaxLevel-1))^(2^F411),0),D411+(E411-D411)*(1+G411)*((7-1)/(MaxLevel-1))^(2^F411)))</f>
        <v/>
      </c>
      <c r="O411" s="12" t="str">
        <f>IF(OR(D411="",E411=""),"",IF(IFERROR(INDEX(Stats!$D:$D,MATCH($C411,Stats!$A:$A,0)),FALSE),ROUND(D411+(E411-D411)*(1+G411)*((8-1)/(MaxLevel-1))^(2^F411),0),D411+(E411-D411)*(1+G411)*((8-1)/(MaxLevel-1))^(2^F411)))</f>
        <v/>
      </c>
      <c r="P411" s="12" t="str">
        <f>IF(OR(D411="",E411=""),"",IF(IFERROR(INDEX(Stats!$D:$D,MATCH($C411,Stats!$A:$A,0)),FALSE),ROUND(D411+(E411-D411)*(1+G411)*((9-1)/(MaxLevel-1))^(2^F411),0),D411+(E411-D411)*(1+G411)*((9-1)/(MaxLevel-1))^(2^F411)))</f>
        <v/>
      </c>
      <c r="Q411" s="12" t="str">
        <f>IF(OR(D411="",E411=""),"",IF(IFERROR(INDEX(Stats!$D:$D,MATCH($C411,Stats!$A:$A,0)),FALSE),ROUND(D411+(E411-D411)*(1+G411)*((10-1)/(MaxLevel-1))^(2^F411),0),D411+(E411-D411)*(1+G411)*((10-1)/(MaxLevel-1))^(2^F411)))</f>
        <v/>
      </c>
    </row>
    <row r="412" spans="1:17" x14ac:dyDescent="0.25">
      <c r="A412" s="4" t="s">
        <v>185</v>
      </c>
      <c r="B412" s="19" t="s">
        <v>236</v>
      </c>
      <c r="C412" s="4" t="s">
        <v>46</v>
      </c>
      <c r="D412" s="5"/>
      <c r="E412" s="5"/>
      <c r="F412" s="5"/>
      <c r="G412" s="5"/>
      <c r="H412" s="12" t="str">
        <f>IF(OR(D412="",E412=""),"",IF(IFERROR(INDEX(Stats!$D:$D,MATCH($C412,Stats!$A:$A,0)),FALSE),ROUND(D412+(E412-D412)*(1+G412)*((1-1)/(MaxLevel-1))^(2^F412),0),D412+(E412-D412)*(1+G412)*((1-1)/(MaxLevel-1))^(2^F412)))</f>
        <v/>
      </c>
      <c r="I412" s="12" t="str">
        <f>IF(OR(D412="",E412=""),"",IF(IFERROR(INDEX(Stats!$D:$D,MATCH($C412,Stats!$A:$A,0)),FALSE),ROUND(D412+(E412-D412)*(1+G412)*((2-1)/(MaxLevel-1))^(2^F412),0),D412+(E412-D412)*(1+G412)*((2-1)/(MaxLevel-1))^(2^F412)))</f>
        <v/>
      </c>
      <c r="J412" s="12" t="str">
        <f>IF(OR(D412="",E412=""),"",IF(IFERROR(INDEX(Stats!$D:$D,MATCH($C412,Stats!$A:$A,0)),FALSE),ROUND(D412+(E412-D412)*(1+G412)*((3-1)/(MaxLevel-1))^(2^F412),0),D412+(E412-D412)*(1+G412)*((3-1)/(MaxLevel-1))^(2^F412)))</f>
        <v/>
      </c>
      <c r="K412" s="12" t="str">
        <f>IF(OR(D412="",E412=""),"",IF(IFERROR(INDEX(Stats!$D:$D,MATCH($C412,Stats!$A:$A,0)),FALSE),ROUND(D412+(E412-D412)*(1+G412)*((4-1)/(MaxLevel-1))^(2^F412),0),D412+(E412-D412)*(1+G412)*((4-1)/(MaxLevel-1))^(2^F412)))</f>
        <v/>
      </c>
      <c r="L412" s="12" t="str">
        <f>IF(OR(D412="",E412=""),"",IF(IFERROR(INDEX(Stats!$D:$D,MATCH($C412,Stats!$A:$A,0)),FALSE),ROUND(D412+(E412-D412)*(1+G412)*((5-1)/(MaxLevel-1))^(2^F412),0),D412+(E412-D412)*(1+G412)*((5-1)/(MaxLevel-1))^(2^F412)))</f>
        <v/>
      </c>
      <c r="M412" s="12" t="str">
        <f>IF(OR(D412="",E412=""),"",IF(IFERROR(INDEX(Stats!$D:$D,MATCH($C412,Stats!$A:$A,0)),FALSE),ROUND(D412+(E412-D412)*(1+G412)*((6-1)/(MaxLevel-1))^(2^F412),0),D412+(E412-D412)*(1+G412)*((6-1)/(MaxLevel-1))^(2^F412)))</f>
        <v/>
      </c>
      <c r="N412" s="12" t="str">
        <f>IF(OR(D412="",E412=""),"",IF(IFERROR(INDEX(Stats!$D:$D,MATCH($C412,Stats!$A:$A,0)),FALSE),ROUND(D412+(E412-D412)*(1+G412)*((7-1)/(MaxLevel-1))^(2^F412),0),D412+(E412-D412)*(1+G412)*((7-1)/(MaxLevel-1))^(2^F412)))</f>
        <v/>
      </c>
      <c r="O412" s="12" t="str">
        <f>IF(OR(D412="",E412=""),"",IF(IFERROR(INDEX(Stats!$D:$D,MATCH($C412,Stats!$A:$A,0)),FALSE),ROUND(D412+(E412-D412)*(1+G412)*((8-1)/(MaxLevel-1))^(2^F412),0),D412+(E412-D412)*(1+G412)*((8-1)/(MaxLevel-1))^(2^F412)))</f>
        <v/>
      </c>
      <c r="P412" s="12" t="str">
        <f>IF(OR(D412="",E412=""),"",IF(IFERROR(INDEX(Stats!$D:$D,MATCH($C412,Stats!$A:$A,0)),FALSE),ROUND(D412+(E412-D412)*(1+G412)*((9-1)/(MaxLevel-1))^(2^F412),0),D412+(E412-D412)*(1+G412)*((9-1)/(MaxLevel-1))^(2^F412)))</f>
        <v/>
      </c>
      <c r="Q412" s="12" t="str">
        <f>IF(OR(D412="",E412=""),"",IF(IFERROR(INDEX(Stats!$D:$D,MATCH($C412,Stats!$A:$A,0)),FALSE),ROUND(D412+(E412-D412)*(1+G412)*((10-1)/(MaxLevel-1))^(2^F412),0),D412+(E412-D412)*(1+G412)*((10-1)/(MaxLevel-1))^(2^F412)))</f>
        <v/>
      </c>
    </row>
    <row r="413" spans="1:17" x14ac:dyDescent="0.25">
      <c r="A413" s="4" t="s">
        <v>185</v>
      </c>
      <c r="B413" s="19" t="s">
        <v>236</v>
      </c>
      <c r="C413" s="4" t="s">
        <v>48</v>
      </c>
      <c r="D413" s="5"/>
      <c r="E413" s="5"/>
      <c r="F413" s="5"/>
      <c r="G413" s="5"/>
      <c r="H413" s="12" t="str">
        <f>IF(OR(D413="",E413=""),"",IF(IFERROR(INDEX(Stats!$D:$D,MATCH($C413,Stats!$A:$A,0)),FALSE),ROUND(D413+(E413-D413)*(1+G413)*((1-1)/(MaxLevel-1))^(2^F413),0),D413+(E413-D413)*(1+G413)*((1-1)/(MaxLevel-1))^(2^F413)))</f>
        <v/>
      </c>
      <c r="I413" s="12" t="str">
        <f>IF(OR(D413="",E413=""),"",IF(IFERROR(INDEX(Stats!$D:$D,MATCH($C413,Stats!$A:$A,0)),FALSE),ROUND(D413+(E413-D413)*(1+G413)*((2-1)/(MaxLevel-1))^(2^F413),0),D413+(E413-D413)*(1+G413)*((2-1)/(MaxLevel-1))^(2^F413)))</f>
        <v/>
      </c>
      <c r="J413" s="12" t="str">
        <f>IF(OR(D413="",E413=""),"",IF(IFERROR(INDEX(Stats!$D:$D,MATCH($C413,Stats!$A:$A,0)),FALSE),ROUND(D413+(E413-D413)*(1+G413)*((3-1)/(MaxLevel-1))^(2^F413),0),D413+(E413-D413)*(1+G413)*((3-1)/(MaxLevel-1))^(2^F413)))</f>
        <v/>
      </c>
      <c r="K413" s="12" t="str">
        <f>IF(OR(D413="",E413=""),"",IF(IFERROR(INDEX(Stats!$D:$D,MATCH($C413,Stats!$A:$A,0)),FALSE),ROUND(D413+(E413-D413)*(1+G413)*((4-1)/(MaxLevel-1))^(2^F413),0),D413+(E413-D413)*(1+G413)*((4-1)/(MaxLevel-1))^(2^F413)))</f>
        <v/>
      </c>
      <c r="L413" s="12" t="str">
        <f>IF(OR(D413="",E413=""),"",IF(IFERROR(INDEX(Stats!$D:$D,MATCH($C413,Stats!$A:$A,0)),FALSE),ROUND(D413+(E413-D413)*(1+G413)*((5-1)/(MaxLevel-1))^(2^F413),0),D413+(E413-D413)*(1+G413)*((5-1)/(MaxLevel-1))^(2^F413)))</f>
        <v/>
      </c>
      <c r="M413" s="12" t="str">
        <f>IF(OR(D413="",E413=""),"",IF(IFERROR(INDEX(Stats!$D:$D,MATCH($C413,Stats!$A:$A,0)),FALSE),ROUND(D413+(E413-D413)*(1+G413)*((6-1)/(MaxLevel-1))^(2^F413),0),D413+(E413-D413)*(1+G413)*((6-1)/(MaxLevel-1))^(2^F413)))</f>
        <v/>
      </c>
      <c r="N413" s="12" t="str">
        <f>IF(OR(D413="",E413=""),"",IF(IFERROR(INDEX(Stats!$D:$D,MATCH($C413,Stats!$A:$A,0)),FALSE),ROUND(D413+(E413-D413)*(1+G413)*((7-1)/(MaxLevel-1))^(2^F413),0),D413+(E413-D413)*(1+G413)*((7-1)/(MaxLevel-1))^(2^F413)))</f>
        <v/>
      </c>
      <c r="O413" s="12" t="str">
        <f>IF(OR(D413="",E413=""),"",IF(IFERROR(INDEX(Stats!$D:$D,MATCH($C413,Stats!$A:$A,0)),FALSE),ROUND(D413+(E413-D413)*(1+G413)*((8-1)/(MaxLevel-1))^(2^F413),0),D413+(E413-D413)*(1+G413)*((8-1)/(MaxLevel-1))^(2^F413)))</f>
        <v/>
      </c>
      <c r="P413" s="12" t="str">
        <f>IF(OR(D413="",E413=""),"",IF(IFERROR(INDEX(Stats!$D:$D,MATCH($C413,Stats!$A:$A,0)),FALSE),ROUND(D413+(E413-D413)*(1+G413)*((9-1)/(MaxLevel-1))^(2^F413),0),D413+(E413-D413)*(1+G413)*((9-1)/(MaxLevel-1))^(2^F413)))</f>
        <v/>
      </c>
      <c r="Q413" s="12" t="str">
        <f>IF(OR(D413="",E413=""),"",IF(IFERROR(INDEX(Stats!$D:$D,MATCH($C413,Stats!$A:$A,0)),FALSE),ROUND(D413+(E413-D413)*(1+G413)*((10-1)/(MaxLevel-1))^(2^F413),0),D413+(E413-D413)*(1+G413)*((10-1)/(MaxLevel-1))^(2^F413)))</f>
        <v/>
      </c>
    </row>
    <row r="414" spans="1:17" x14ac:dyDescent="0.25">
      <c r="A414" s="4" t="s">
        <v>185</v>
      </c>
      <c r="B414" s="19" t="s">
        <v>236</v>
      </c>
      <c r="C414" s="4" t="s">
        <v>50</v>
      </c>
      <c r="D414" s="5"/>
      <c r="E414" s="5"/>
      <c r="F414" s="5"/>
      <c r="G414" s="5"/>
      <c r="H414" s="12" t="str">
        <f>IF(OR(D414="",E414=""),"",IF(IFERROR(INDEX(Stats!$D:$D,MATCH($C414,Stats!$A:$A,0)),FALSE),ROUND(D414+(E414-D414)*(1+G414)*((1-1)/(MaxLevel-1))^(2^F414),0),D414+(E414-D414)*(1+G414)*((1-1)/(MaxLevel-1))^(2^F414)))</f>
        <v/>
      </c>
      <c r="I414" s="12" t="str">
        <f>IF(OR(D414="",E414=""),"",IF(IFERROR(INDEX(Stats!$D:$D,MATCH($C414,Stats!$A:$A,0)),FALSE),ROUND(D414+(E414-D414)*(1+G414)*((2-1)/(MaxLevel-1))^(2^F414),0),D414+(E414-D414)*(1+G414)*((2-1)/(MaxLevel-1))^(2^F414)))</f>
        <v/>
      </c>
      <c r="J414" s="12" t="str">
        <f>IF(OR(D414="",E414=""),"",IF(IFERROR(INDEX(Stats!$D:$D,MATCH($C414,Stats!$A:$A,0)),FALSE),ROUND(D414+(E414-D414)*(1+G414)*((3-1)/(MaxLevel-1))^(2^F414),0),D414+(E414-D414)*(1+G414)*((3-1)/(MaxLevel-1))^(2^F414)))</f>
        <v/>
      </c>
      <c r="K414" s="12" t="str">
        <f>IF(OR(D414="",E414=""),"",IF(IFERROR(INDEX(Stats!$D:$D,MATCH($C414,Stats!$A:$A,0)),FALSE),ROUND(D414+(E414-D414)*(1+G414)*((4-1)/(MaxLevel-1))^(2^F414),0),D414+(E414-D414)*(1+G414)*((4-1)/(MaxLevel-1))^(2^F414)))</f>
        <v/>
      </c>
      <c r="L414" s="12" t="str">
        <f>IF(OR(D414="",E414=""),"",IF(IFERROR(INDEX(Stats!$D:$D,MATCH($C414,Stats!$A:$A,0)),FALSE),ROUND(D414+(E414-D414)*(1+G414)*((5-1)/(MaxLevel-1))^(2^F414),0),D414+(E414-D414)*(1+G414)*((5-1)/(MaxLevel-1))^(2^F414)))</f>
        <v/>
      </c>
      <c r="M414" s="12" t="str">
        <f>IF(OR(D414="",E414=""),"",IF(IFERROR(INDEX(Stats!$D:$D,MATCH($C414,Stats!$A:$A,0)),FALSE),ROUND(D414+(E414-D414)*(1+G414)*((6-1)/(MaxLevel-1))^(2^F414),0),D414+(E414-D414)*(1+G414)*((6-1)/(MaxLevel-1))^(2^F414)))</f>
        <v/>
      </c>
      <c r="N414" s="12" t="str">
        <f>IF(OR(D414="",E414=""),"",IF(IFERROR(INDEX(Stats!$D:$D,MATCH($C414,Stats!$A:$A,0)),FALSE),ROUND(D414+(E414-D414)*(1+G414)*((7-1)/(MaxLevel-1))^(2^F414),0),D414+(E414-D414)*(1+G414)*((7-1)/(MaxLevel-1))^(2^F414)))</f>
        <v/>
      </c>
      <c r="O414" s="12" t="str">
        <f>IF(OR(D414="",E414=""),"",IF(IFERROR(INDEX(Stats!$D:$D,MATCH($C414,Stats!$A:$A,0)),FALSE),ROUND(D414+(E414-D414)*(1+G414)*((8-1)/(MaxLevel-1))^(2^F414),0),D414+(E414-D414)*(1+G414)*((8-1)/(MaxLevel-1))^(2^F414)))</f>
        <v/>
      </c>
      <c r="P414" s="12" t="str">
        <f>IF(OR(D414="",E414=""),"",IF(IFERROR(INDEX(Stats!$D:$D,MATCH($C414,Stats!$A:$A,0)),FALSE),ROUND(D414+(E414-D414)*(1+G414)*((9-1)/(MaxLevel-1))^(2^F414),0),D414+(E414-D414)*(1+G414)*((9-1)/(MaxLevel-1))^(2^F414)))</f>
        <v/>
      </c>
      <c r="Q414" s="12" t="str">
        <f>IF(OR(D414="",E414=""),"",IF(IFERROR(INDEX(Stats!$D:$D,MATCH($C414,Stats!$A:$A,0)),FALSE),ROUND(D414+(E414-D414)*(1+G414)*((10-1)/(MaxLevel-1))^(2^F414),0),D414+(E414-D414)*(1+G414)*((10-1)/(MaxLevel-1))^(2^F414)))</f>
        <v/>
      </c>
    </row>
    <row r="415" spans="1:17" x14ac:dyDescent="0.25">
      <c r="A415" s="4" t="s">
        <v>185</v>
      </c>
      <c r="B415" s="19" t="s">
        <v>236</v>
      </c>
      <c r="C415" s="4" t="s">
        <v>52</v>
      </c>
      <c r="D415" s="5"/>
      <c r="E415" s="5"/>
      <c r="F415" s="5"/>
      <c r="G415" s="5"/>
      <c r="H415" s="12" t="str">
        <f>IF(OR(D415="",E415=""),"",IF(IFERROR(INDEX(Stats!$D:$D,MATCH($C415,Stats!$A:$A,0)),FALSE),ROUND(D415+(E415-D415)*(1+G415)*((1-1)/(MaxLevel-1))^(2^F415),0),D415+(E415-D415)*(1+G415)*((1-1)/(MaxLevel-1))^(2^F415)))</f>
        <v/>
      </c>
      <c r="I415" s="12" t="str">
        <f>IF(OR(D415="",E415=""),"",IF(IFERROR(INDEX(Stats!$D:$D,MATCH($C415,Stats!$A:$A,0)),FALSE),ROUND(D415+(E415-D415)*(1+G415)*((2-1)/(MaxLevel-1))^(2^F415),0),D415+(E415-D415)*(1+G415)*((2-1)/(MaxLevel-1))^(2^F415)))</f>
        <v/>
      </c>
      <c r="J415" s="12" t="str">
        <f>IF(OR(D415="",E415=""),"",IF(IFERROR(INDEX(Stats!$D:$D,MATCH($C415,Stats!$A:$A,0)),FALSE),ROUND(D415+(E415-D415)*(1+G415)*((3-1)/(MaxLevel-1))^(2^F415),0),D415+(E415-D415)*(1+G415)*((3-1)/(MaxLevel-1))^(2^F415)))</f>
        <v/>
      </c>
      <c r="K415" s="12" t="str">
        <f>IF(OR(D415="",E415=""),"",IF(IFERROR(INDEX(Stats!$D:$D,MATCH($C415,Stats!$A:$A,0)),FALSE),ROUND(D415+(E415-D415)*(1+G415)*((4-1)/(MaxLevel-1))^(2^F415),0),D415+(E415-D415)*(1+G415)*((4-1)/(MaxLevel-1))^(2^F415)))</f>
        <v/>
      </c>
      <c r="L415" s="12" t="str">
        <f>IF(OR(D415="",E415=""),"",IF(IFERROR(INDEX(Stats!$D:$D,MATCH($C415,Stats!$A:$A,0)),FALSE),ROUND(D415+(E415-D415)*(1+G415)*((5-1)/(MaxLevel-1))^(2^F415),0),D415+(E415-D415)*(1+G415)*((5-1)/(MaxLevel-1))^(2^F415)))</f>
        <v/>
      </c>
      <c r="M415" s="12" t="str">
        <f>IF(OR(D415="",E415=""),"",IF(IFERROR(INDEX(Stats!$D:$D,MATCH($C415,Stats!$A:$A,0)),FALSE),ROUND(D415+(E415-D415)*(1+G415)*((6-1)/(MaxLevel-1))^(2^F415),0),D415+(E415-D415)*(1+G415)*((6-1)/(MaxLevel-1))^(2^F415)))</f>
        <v/>
      </c>
      <c r="N415" s="12" t="str">
        <f>IF(OR(D415="",E415=""),"",IF(IFERROR(INDEX(Stats!$D:$D,MATCH($C415,Stats!$A:$A,0)),FALSE),ROUND(D415+(E415-D415)*(1+G415)*((7-1)/(MaxLevel-1))^(2^F415),0),D415+(E415-D415)*(1+G415)*((7-1)/(MaxLevel-1))^(2^F415)))</f>
        <v/>
      </c>
      <c r="O415" s="12" t="str">
        <f>IF(OR(D415="",E415=""),"",IF(IFERROR(INDEX(Stats!$D:$D,MATCH($C415,Stats!$A:$A,0)),FALSE),ROUND(D415+(E415-D415)*(1+G415)*((8-1)/(MaxLevel-1))^(2^F415),0),D415+(E415-D415)*(1+G415)*((8-1)/(MaxLevel-1))^(2^F415)))</f>
        <v/>
      </c>
      <c r="P415" s="12" t="str">
        <f>IF(OR(D415="",E415=""),"",IF(IFERROR(INDEX(Stats!$D:$D,MATCH($C415,Stats!$A:$A,0)),FALSE),ROUND(D415+(E415-D415)*(1+G415)*((9-1)/(MaxLevel-1))^(2^F415),0),D415+(E415-D415)*(1+G415)*((9-1)/(MaxLevel-1))^(2^F415)))</f>
        <v/>
      </c>
      <c r="Q415" s="12" t="str">
        <f>IF(OR(D415="",E415=""),"",IF(IFERROR(INDEX(Stats!$D:$D,MATCH($C415,Stats!$A:$A,0)),FALSE),ROUND(D415+(E415-D415)*(1+G415)*((10-1)/(MaxLevel-1))^(2^F415),0),D415+(E415-D415)*(1+G415)*((10-1)/(MaxLevel-1))^(2^F415)))</f>
        <v/>
      </c>
    </row>
    <row r="416" spans="1:17" x14ac:dyDescent="0.25">
      <c r="A416" s="4" t="s">
        <v>185</v>
      </c>
      <c r="B416" s="19" t="s">
        <v>236</v>
      </c>
      <c r="C416" s="4" t="s">
        <v>54</v>
      </c>
      <c r="D416" s="5"/>
      <c r="E416" s="5"/>
      <c r="F416" s="5"/>
      <c r="G416" s="5"/>
      <c r="H416" s="12" t="str">
        <f>IF(OR(D416="",E416=""),"",IF(IFERROR(INDEX(Stats!$D:$D,MATCH($C416,Stats!$A:$A,0)),FALSE),ROUND(D416+(E416-D416)*(1+G416)*((1-1)/(MaxLevel-1))^(2^F416),0),D416+(E416-D416)*(1+G416)*((1-1)/(MaxLevel-1))^(2^F416)))</f>
        <v/>
      </c>
      <c r="I416" s="12" t="str">
        <f>IF(OR(D416="",E416=""),"",IF(IFERROR(INDEX(Stats!$D:$D,MATCH($C416,Stats!$A:$A,0)),FALSE),ROUND(D416+(E416-D416)*(1+G416)*((2-1)/(MaxLevel-1))^(2^F416),0),D416+(E416-D416)*(1+G416)*((2-1)/(MaxLevel-1))^(2^F416)))</f>
        <v/>
      </c>
      <c r="J416" s="12" t="str">
        <f>IF(OR(D416="",E416=""),"",IF(IFERROR(INDEX(Stats!$D:$D,MATCH($C416,Stats!$A:$A,0)),FALSE),ROUND(D416+(E416-D416)*(1+G416)*((3-1)/(MaxLevel-1))^(2^F416),0),D416+(E416-D416)*(1+G416)*((3-1)/(MaxLevel-1))^(2^F416)))</f>
        <v/>
      </c>
      <c r="K416" s="12" t="str">
        <f>IF(OR(D416="",E416=""),"",IF(IFERROR(INDEX(Stats!$D:$D,MATCH($C416,Stats!$A:$A,0)),FALSE),ROUND(D416+(E416-D416)*(1+G416)*((4-1)/(MaxLevel-1))^(2^F416),0),D416+(E416-D416)*(1+G416)*((4-1)/(MaxLevel-1))^(2^F416)))</f>
        <v/>
      </c>
      <c r="L416" s="12" t="str">
        <f>IF(OR(D416="",E416=""),"",IF(IFERROR(INDEX(Stats!$D:$D,MATCH($C416,Stats!$A:$A,0)),FALSE),ROUND(D416+(E416-D416)*(1+G416)*((5-1)/(MaxLevel-1))^(2^F416),0),D416+(E416-D416)*(1+G416)*((5-1)/(MaxLevel-1))^(2^F416)))</f>
        <v/>
      </c>
      <c r="M416" s="12" t="str">
        <f>IF(OR(D416="",E416=""),"",IF(IFERROR(INDEX(Stats!$D:$D,MATCH($C416,Stats!$A:$A,0)),FALSE),ROUND(D416+(E416-D416)*(1+G416)*((6-1)/(MaxLevel-1))^(2^F416),0),D416+(E416-D416)*(1+G416)*((6-1)/(MaxLevel-1))^(2^F416)))</f>
        <v/>
      </c>
      <c r="N416" s="12" t="str">
        <f>IF(OR(D416="",E416=""),"",IF(IFERROR(INDEX(Stats!$D:$D,MATCH($C416,Stats!$A:$A,0)),FALSE),ROUND(D416+(E416-D416)*(1+G416)*((7-1)/(MaxLevel-1))^(2^F416),0),D416+(E416-D416)*(1+G416)*((7-1)/(MaxLevel-1))^(2^F416)))</f>
        <v/>
      </c>
      <c r="O416" s="12" t="str">
        <f>IF(OR(D416="",E416=""),"",IF(IFERROR(INDEX(Stats!$D:$D,MATCH($C416,Stats!$A:$A,0)),FALSE),ROUND(D416+(E416-D416)*(1+G416)*((8-1)/(MaxLevel-1))^(2^F416),0),D416+(E416-D416)*(1+G416)*((8-1)/(MaxLevel-1))^(2^F416)))</f>
        <v/>
      </c>
      <c r="P416" s="12" t="str">
        <f>IF(OR(D416="",E416=""),"",IF(IFERROR(INDEX(Stats!$D:$D,MATCH($C416,Stats!$A:$A,0)),FALSE),ROUND(D416+(E416-D416)*(1+G416)*((9-1)/(MaxLevel-1))^(2^F416),0),D416+(E416-D416)*(1+G416)*((9-1)/(MaxLevel-1))^(2^F416)))</f>
        <v/>
      </c>
      <c r="Q416" s="12" t="str">
        <f>IF(OR(D416="",E416=""),"",IF(IFERROR(INDEX(Stats!$D:$D,MATCH($C416,Stats!$A:$A,0)),FALSE),ROUND(D416+(E416-D416)*(1+G416)*((10-1)/(MaxLevel-1))^(2^F416),0),D416+(E416-D416)*(1+G416)*((10-1)/(MaxLevel-1))^(2^F416)))</f>
        <v/>
      </c>
    </row>
    <row r="417" spans="1:17" x14ac:dyDescent="0.25">
      <c r="A417" s="4" t="s">
        <v>185</v>
      </c>
      <c r="B417" s="19" t="s">
        <v>236</v>
      </c>
      <c r="C417" s="4" t="s">
        <v>56</v>
      </c>
      <c r="D417" s="5"/>
      <c r="E417" s="5"/>
      <c r="F417" s="5"/>
      <c r="G417" s="5"/>
      <c r="H417" s="12" t="str">
        <f>IF(OR(D417="",E417=""),"",IF(IFERROR(INDEX(Stats!$D:$D,MATCH($C417,Stats!$A:$A,0)),FALSE),ROUND(D417+(E417-D417)*(1+G417)*((1-1)/(MaxLevel-1))^(2^F417),0),D417+(E417-D417)*(1+G417)*((1-1)/(MaxLevel-1))^(2^F417)))</f>
        <v/>
      </c>
      <c r="I417" s="12" t="str">
        <f>IF(OR(D417="",E417=""),"",IF(IFERROR(INDEX(Stats!$D:$D,MATCH($C417,Stats!$A:$A,0)),FALSE),ROUND(D417+(E417-D417)*(1+G417)*((2-1)/(MaxLevel-1))^(2^F417),0),D417+(E417-D417)*(1+G417)*((2-1)/(MaxLevel-1))^(2^F417)))</f>
        <v/>
      </c>
      <c r="J417" s="12" t="str">
        <f>IF(OR(D417="",E417=""),"",IF(IFERROR(INDEX(Stats!$D:$D,MATCH($C417,Stats!$A:$A,0)),FALSE),ROUND(D417+(E417-D417)*(1+G417)*((3-1)/(MaxLevel-1))^(2^F417),0),D417+(E417-D417)*(1+G417)*((3-1)/(MaxLevel-1))^(2^F417)))</f>
        <v/>
      </c>
      <c r="K417" s="12" t="str">
        <f>IF(OR(D417="",E417=""),"",IF(IFERROR(INDEX(Stats!$D:$D,MATCH($C417,Stats!$A:$A,0)),FALSE),ROUND(D417+(E417-D417)*(1+G417)*((4-1)/(MaxLevel-1))^(2^F417),0),D417+(E417-D417)*(1+G417)*((4-1)/(MaxLevel-1))^(2^F417)))</f>
        <v/>
      </c>
      <c r="L417" s="12" t="str">
        <f>IF(OR(D417="",E417=""),"",IF(IFERROR(INDEX(Stats!$D:$D,MATCH($C417,Stats!$A:$A,0)),FALSE),ROUND(D417+(E417-D417)*(1+G417)*((5-1)/(MaxLevel-1))^(2^F417),0),D417+(E417-D417)*(1+G417)*((5-1)/(MaxLevel-1))^(2^F417)))</f>
        <v/>
      </c>
      <c r="M417" s="12" t="str">
        <f>IF(OR(D417="",E417=""),"",IF(IFERROR(INDEX(Stats!$D:$D,MATCH($C417,Stats!$A:$A,0)),FALSE),ROUND(D417+(E417-D417)*(1+G417)*((6-1)/(MaxLevel-1))^(2^F417),0),D417+(E417-D417)*(1+G417)*((6-1)/(MaxLevel-1))^(2^F417)))</f>
        <v/>
      </c>
      <c r="N417" s="12" t="str">
        <f>IF(OR(D417="",E417=""),"",IF(IFERROR(INDEX(Stats!$D:$D,MATCH($C417,Stats!$A:$A,0)),FALSE),ROUND(D417+(E417-D417)*(1+G417)*((7-1)/(MaxLevel-1))^(2^F417),0),D417+(E417-D417)*(1+G417)*((7-1)/(MaxLevel-1))^(2^F417)))</f>
        <v/>
      </c>
      <c r="O417" s="12" t="str">
        <f>IF(OR(D417="",E417=""),"",IF(IFERROR(INDEX(Stats!$D:$D,MATCH($C417,Stats!$A:$A,0)),FALSE),ROUND(D417+(E417-D417)*(1+G417)*((8-1)/(MaxLevel-1))^(2^F417),0),D417+(E417-D417)*(1+G417)*((8-1)/(MaxLevel-1))^(2^F417)))</f>
        <v/>
      </c>
      <c r="P417" s="12" t="str">
        <f>IF(OR(D417="",E417=""),"",IF(IFERROR(INDEX(Stats!$D:$D,MATCH($C417,Stats!$A:$A,0)),FALSE),ROUND(D417+(E417-D417)*(1+G417)*((9-1)/(MaxLevel-1))^(2^F417),0),D417+(E417-D417)*(1+G417)*((9-1)/(MaxLevel-1))^(2^F417)))</f>
        <v/>
      </c>
      <c r="Q417" s="12" t="str">
        <f>IF(OR(D417="",E417=""),"",IF(IFERROR(INDEX(Stats!$D:$D,MATCH($C417,Stats!$A:$A,0)),FALSE),ROUND(D417+(E417-D417)*(1+G417)*((10-1)/(MaxLevel-1))^(2^F417),0),D417+(E417-D417)*(1+G417)*((10-1)/(MaxLevel-1))^(2^F417)))</f>
        <v/>
      </c>
    </row>
    <row r="418" spans="1:17" x14ac:dyDescent="0.25">
      <c r="A418" s="4" t="s">
        <v>185</v>
      </c>
      <c r="B418" s="19" t="s">
        <v>236</v>
      </c>
      <c r="C418" s="4" t="s">
        <v>58</v>
      </c>
      <c r="D418" s="5"/>
      <c r="E418" s="5"/>
      <c r="F418" s="5"/>
      <c r="G418" s="5"/>
      <c r="H418" s="12" t="str">
        <f>IF(OR(D418="",E418=""),"",IF(IFERROR(INDEX(Stats!$D:$D,MATCH($C418,Stats!$A:$A,0)),FALSE),ROUND(D418+(E418-D418)*(1+G418)*((1-1)/(MaxLevel-1))^(2^F418),0),D418+(E418-D418)*(1+G418)*((1-1)/(MaxLevel-1))^(2^F418)))</f>
        <v/>
      </c>
      <c r="I418" s="12" t="str">
        <f>IF(OR(D418="",E418=""),"",IF(IFERROR(INDEX(Stats!$D:$D,MATCH($C418,Stats!$A:$A,0)),FALSE),ROUND(D418+(E418-D418)*(1+G418)*((2-1)/(MaxLevel-1))^(2^F418),0),D418+(E418-D418)*(1+G418)*((2-1)/(MaxLevel-1))^(2^F418)))</f>
        <v/>
      </c>
      <c r="J418" s="12" t="str">
        <f>IF(OR(D418="",E418=""),"",IF(IFERROR(INDEX(Stats!$D:$D,MATCH($C418,Stats!$A:$A,0)),FALSE),ROUND(D418+(E418-D418)*(1+G418)*((3-1)/(MaxLevel-1))^(2^F418),0),D418+(E418-D418)*(1+G418)*((3-1)/(MaxLevel-1))^(2^F418)))</f>
        <v/>
      </c>
      <c r="K418" s="12" t="str">
        <f>IF(OR(D418="",E418=""),"",IF(IFERROR(INDEX(Stats!$D:$D,MATCH($C418,Stats!$A:$A,0)),FALSE),ROUND(D418+(E418-D418)*(1+G418)*((4-1)/(MaxLevel-1))^(2^F418),0),D418+(E418-D418)*(1+G418)*((4-1)/(MaxLevel-1))^(2^F418)))</f>
        <v/>
      </c>
      <c r="L418" s="12" t="str">
        <f>IF(OR(D418="",E418=""),"",IF(IFERROR(INDEX(Stats!$D:$D,MATCH($C418,Stats!$A:$A,0)),FALSE),ROUND(D418+(E418-D418)*(1+G418)*((5-1)/(MaxLevel-1))^(2^F418),0),D418+(E418-D418)*(1+G418)*((5-1)/(MaxLevel-1))^(2^F418)))</f>
        <v/>
      </c>
      <c r="M418" s="12" t="str">
        <f>IF(OR(D418="",E418=""),"",IF(IFERROR(INDEX(Stats!$D:$D,MATCH($C418,Stats!$A:$A,0)),FALSE),ROUND(D418+(E418-D418)*(1+G418)*((6-1)/(MaxLevel-1))^(2^F418),0),D418+(E418-D418)*(1+G418)*((6-1)/(MaxLevel-1))^(2^F418)))</f>
        <v/>
      </c>
      <c r="N418" s="12" t="str">
        <f>IF(OR(D418="",E418=""),"",IF(IFERROR(INDEX(Stats!$D:$D,MATCH($C418,Stats!$A:$A,0)),FALSE),ROUND(D418+(E418-D418)*(1+G418)*((7-1)/(MaxLevel-1))^(2^F418),0),D418+(E418-D418)*(1+G418)*((7-1)/(MaxLevel-1))^(2^F418)))</f>
        <v/>
      </c>
      <c r="O418" s="12" t="str">
        <f>IF(OR(D418="",E418=""),"",IF(IFERROR(INDEX(Stats!$D:$D,MATCH($C418,Stats!$A:$A,0)),FALSE),ROUND(D418+(E418-D418)*(1+G418)*((8-1)/(MaxLevel-1))^(2^F418),0),D418+(E418-D418)*(1+G418)*((8-1)/(MaxLevel-1))^(2^F418)))</f>
        <v/>
      </c>
      <c r="P418" s="12" t="str">
        <f>IF(OR(D418="",E418=""),"",IF(IFERROR(INDEX(Stats!$D:$D,MATCH($C418,Stats!$A:$A,0)),FALSE),ROUND(D418+(E418-D418)*(1+G418)*((9-1)/(MaxLevel-1))^(2^F418),0),D418+(E418-D418)*(1+G418)*((9-1)/(MaxLevel-1))^(2^F418)))</f>
        <v/>
      </c>
      <c r="Q418" s="12" t="str">
        <f>IF(OR(D418="",E418=""),"",IF(IFERROR(INDEX(Stats!$D:$D,MATCH($C418,Stats!$A:$A,0)),FALSE),ROUND(D418+(E418-D418)*(1+G418)*((10-1)/(MaxLevel-1))^(2^F418),0),D418+(E418-D418)*(1+G418)*((10-1)/(MaxLevel-1))^(2^F418)))</f>
        <v/>
      </c>
    </row>
    <row r="419" spans="1:17" x14ac:dyDescent="0.25">
      <c r="A419" s="4" t="s">
        <v>185</v>
      </c>
      <c r="B419" s="19" t="s">
        <v>236</v>
      </c>
      <c r="C419" s="4" t="s">
        <v>60</v>
      </c>
      <c r="D419" s="5"/>
      <c r="E419" s="5"/>
      <c r="F419" s="5"/>
      <c r="G419" s="5"/>
      <c r="H419" s="12" t="str">
        <f>IF(OR(D419="",E419=""),"",IF(IFERROR(INDEX(Stats!$D:$D,MATCH($C419,Stats!$A:$A,0)),FALSE),ROUND(D419+(E419-D419)*(1+G419)*((1-1)/(MaxLevel-1))^(2^F419),0),D419+(E419-D419)*(1+G419)*((1-1)/(MaxLevel-1))^(2^F419)))</f>
        <v/>
      </c>
      <c r="I419" s="12" t="str">
        <f>IF(OR(D419="",E419=""),"",IF(IFERROR(INDEX(Stats!$D:$D,MATCH($C419,Stats!$A:$A,0)),FALSE),ROUND(D419+(E419-D419)*(1+G419)*((2-1)/(MaxLevel-1))^(2^F419),0),D419+(E419-D419)*(1+G419)*((2-1)/(MaxLevel-1))^(2^F419)))</f>
        <v/>
      </c>
      <c r="J419" s="12" t="str">
        <f>IF(OR(D419="",E419=""),"",IF(IFERROR(INDEX(Stats!$D:$D,MATCH($C419,Stats!$A:$A,0)),FALSE),ROUND(D419+(E419-D419)*(1+G419)*((3-1)/(MaxLevel-1))^(2^F419),0),D419+(E419-D419)*(1+G419)*((3-1)/(MaxLevel-1))^(2^F419)))</f>
        <v/>
      </c>
      <c r="K419" s="12" t="str">
        <f>IF(OR(D419="",E419=""),"",IF(IFERROR(INDEX(Stats!$D:$D,MATCH($C419,Stats!$A:$A,0)),FALSE),ROUND(D419+(E419-D419)*(1+G419)*((4-1)/(MaxLevel-1))^(2^F419),0),D419+(E419-D419)*(1+G419)*((4-1)/(MaxLevel-1))^(2^F419)))</f>
        <v/>
      </c>
      <c r="L419" s="12" t="str">
        <f>IF(OR(D419="",E419=""),"",IF(IFERROR(INDEX(Stats!$D:$D,MATCH($C419,Stats!$A:$A,0)),FALSE),ROUND(D419+(E419-D419)*(1+G419)*((5-1)/(MaxLevel-1))^(2^F419),0),D419+(E419-D419)*(1+G419)*((5-1)/(MaxLevel-1))^(2^F419)))</f>
        <v/>
      </c>
      <c r="M419" s="12" t="str">
        <f>IF(OR(D419="",E419=""),"",IF(IFERROR(INDEX(Stats!$D:$D,MATCH($C419,Stats!$A:$A,0)),FALSE),ROUND(D419+(E419-D419)*(1+G419)*((6-1)/(MaxLevel-1))^(2^F419),0),D419+(E419-D419)*(1+G419)*((6-1)/(MaxLevel-1))^(2^F419)))</f>
        <v/>
      </c>
      <c r="N419" s="12" t="str">
        <f>IF(OR(D419="",E419=""),"",IF(IFERROR(INDEX(Stats!$D:$D,MATCH($C419,Stats!$A:$A,0)),FALSE),ROUND(D419+(E419-D419)*(1+G419)*((7-1)/(MaxLevel-1))^(2^F419),0),D419+(E419-D419)*(1+G419)*((7-1)/(MaxLevel-1))^(2^F419)))</f>
        <v/>
      </c>
      <c r="O419" s="12" t="str">
        <f>IF(OR(D419="",E419=""),"",IF(IFERROR(INDEX(Stats!$D:$D,MATCH($C419,Stats!$A:$A,0)),FALSE),ROUND(D419+(E419-D419)*(1+G419)*((8-1)/(MaxLevel-1))^(2^F419),0),D419+(E419-D419)*(1+G419)*((8-1)/(MaxLevel-1))^(2^F419)))</f>
        <v/>
      </c>
      <c r="P419" s="12" t="str">
        <f>IF(OR(D419="",E419=""),"",IF(IFERROR(INDEX(Stats!$D:$D,MATCH($C419,Stats!$A:$A,0)),FALSE),ROUND(D419+(E419-D419)*(1+G419)*((9-1)/(MaxLevel-1))^(2^F419),0),D419+(E419-D419)*(1+G419)*((9-1)/(MaxLevel-1))^(2^F419)))</f>
        <v/>
      </c>
      <c r="Q419" s="12" t="str">
        <f>IF(OR(D419="",E419=""),"",IF(IFERROR(INDEX(Stats!$D:$D,MATCH($C419,Stats!$A:$A,0)),FALSE),ROUND(D419+(E419-D419)*(1+G419)*((10-1)/(MaxLevel-1))^(2^F419),0),D419+(E419-D419)*(1+G419)*((10-1)/(MaxLevel-1))^(2^F419)))</f>
        <v/>
      </c>
    </row>
    <row r="420" spans="1:17" x14ac:dyDescent="0.25">
      <c r="A420" s="19" t="s">
        <v>287</v>
      </c>
      <c r="B420" s="4" t="s">
        <v>201</v>
      </c>
      <c r="C420" s="4" t="s">
        <v>24</v>
      </c>
      <c r="D420" s="5"/>
      <c r="E420" s="5"/>
      <c r="F420" s="5"/>
      <c r="G420" s="5"/>
      <c r="H420" s="12" t="str">
        <f>IF(OR(D420="",E420=""),"",IF(IFERROR(INDEX(Stats!$D:$D,MATCH($C420,Stats!$A:$A,0)),FALSE),ROUND(D420+(E420-D420)*(1+G420)*((1-1)/(MaxLevel-1))^(2^F420),0),D420+(E420-D420)*(1+G420)*((1-1)/(MaxLevel-1))^(2^F420)))</f>
        <v/>
      </c>
      <c r="I420" s="12" t="str">
        <f>IF(OR(D420="",E420=""),"",IF(IFERROR(INDEX(Stats!$D:$D,MATCH($C420,Stats!$A:$A,0)),FALSE),ROUND(D420+(E420-D420)*(1+G420)*((2-1)/(MaxLevel-1))^(2^F420),0),D420+(E420-D420)*(1+G420)*((2-1)/(MaxLevel-1))^(2^F420)))</f>
        <v/>
      </c>
      <c r="J420" s="12" t="str">
        <f>IF(OR(D420="",E420=""),"",IF(IFERROR(INDEX(Stats!$D:$D,MATCH($C420,Stats!$A:$A,0)),FALSE),ROUND(D420+(E420-D420)*(1+G420)*((3-1)/(MaxLevel-1))^(2^F420),0),D420+(E420-D420)*(1+G420)*((3-1)/(MaxLevel-1))^(2^F420)))</f>
        <v/>
      </c>
      <c r="K420" s="12" t="str">
        <f>IF(OR(D420="",E420=""),"",IF(IFERROR(INDEX(Stats!$D:$D,MATCH($C420,Stats!$A:$A,0)),FALSE),ROUND(D420+(E420-D420)*(1+G420)*((4-1)/(MaxLevel-1))^(2^F420),0),D420+(E420-D420)*(1+G420)*((4-1)/(MaxLevel-1))^(2^F420)))</f>
        <v/>
      </c>
      <c r="L420" s="12" t="str">
        <f>IF(OR(D420="",E420=""),"",IF(IFERROR(INDEX(Stats!$D:$D,MATCH($C420,Stats!$A:$A,0)),FALSE),ROUND(D420+(E420-D420)*(1+G420)*((5-1)/(MaxLevel-1))^(2^F420),0),D420+(E420-D420)*(1+G420)*((5-1)/(MaxLevel-1))^(2^F420)))</f>
        <v/>
      </c>
      <c r="M420" s="12" t="str">
        <f>IF(OR(D420="",E420=""),"",IF(IFERROR(INDEX(Stats!$D:$D,MATCH($C420,Stats!$A:$A,0)),FALSE),ROUND(D420+(E420-D420)*(1+G420)*((6-1)/(MaxLevel-1))^(2^F420),0),D420+(E420-D420)*(1+G420)*((6-1)/(MaxLevel-1))^(2^F420)))</f>
        <v/>
      </c>
      <c r="N420" s="12" t="str">
        <f>IF(OR(D420="",E420=""),"",IF(IFERROR(INDEX(Stats!$D:$D,MATCH($C420,Stats!$A:$A,0)),FALSE),ROUND(D420+(E420-D420)*(1+G420)*((7-1)/(MaxLevel-1))^(2^F420),0),D420+(E420-D420)*(1+G420)*((7-1)/(MaxLevel-1))^(2^F420)))</f>
        <v/>
      </c>
      <c r="O420" s="12" t="str">
        <f>IF(OR(D420="",E420=""),"",IF(IFERROR(INDEX(Stats!$D:$D,MATCH($C420,Stats!$A:$A,0)),FALSE),ROUND(D420+(E420-D420)*(1+G420)*((8-1)/(MaxLevel-1))^(2^F420),0),D420+(E420-D420)*(1+G420)*((8-1)/(MaxLevel-1))^(2^F420)))</f>
        <v/>
      </c>
      <c r="P420" s="12" t="str">
        <f>IF(OR(D420="",E420=""),"",IF(IFERROR(INDEX(Stats!$D:$D,MATCH($C420,Stats!$A:$A,0)),FALSE),ROUND(D420+(E420-D420)*(1+G420)*((9-1)/(MaxLevel-1))^(2^F420),0),D420+(E420-D420)*(1+G420)*((9-1)/(MaxLevel-1))^(2^F420)))</f>
        <v/>
      </c>
      <c r="Q420" s="12" t="str">
        <f>IF(OR(D420="",E420=""),"",IF(IFERROR(INDEX(Stats!$D:$D,MATCH($C420,Stats!$A:$A,0)),FALSE),ROUND(D420+(E420-D420)*(1+G420)*((10-1)/(MaxLevel-1))^(2^F420),0),D420+(E420-D420)*(1+G420)*((10-1)/(MaxLevel-1))^(2^F420)))</f>
        <v/>
      </c>
    </row>
    <row r="421" spans="1:17" x14ac:dyDescent="0.25">
      <c r="A421" s="19" t="s">
        <v>287</v>
      </c>
      <c r="B421" s="4" t="s">
        <v>201</v>
      </c>
      <c r="C421" s="4" t="s">
        <v>26</v>
      </c>
      <c r="D421" s="5"/>
      <c r="E421" s="5"/>
      <c r="F421" s="5"/>
      <c r="G421" s="5"/>
      <c r="H421" s="12" t="str">
        <f>IF(OR(D421="",E421=""),"",IF(IFERROR(INDEX(Stats!$D:$D,MATCH($C421,Stats!$A:$A,0)),FALSE),ROUND(D421+(E421-D421)*(1+G421)*((1-1)/(MaxLevel-1))^(2^F421),0),D421+(E421-D421)*(1+G421)*((1-1)/(MaxLevel-1))^(2^F421)))</f>
        <v/>
      </c>
      <c r="I421" s="12" t="str">
        <f>IF(OR(D421="",E421=""),"",IF(IFERROR(INDEX(Stats!$D:$D,MATCH($C421,Stats!$A:$A,0)),FALSE),ROUND(D421+(E421-D421)*(1+G421)*((2-1)/(MaxLevel-1))^(2^F421),0),D421+(E421-D421)*(1+G421)*((2-1)/(MaxLevel-1))^(2^F421)))</f>
        <v/>
      </c>
      <c r="J421" s="12" t="str">
        <f>IF(OR(D421="",E421=""),"",IF(IFERROR(INDEX(Stats!$D:$D,MATCH($C421,Stats!$A:$A,0)),FALSE),ROUND(D421+(E421-D421)*(1+G421)*((3-1)/(MaxLevel-1))^(2^F421),0),D421+(E421-D421)*(1+G421)*((3-1)/(MaxLevel-1))^(2^F421)))</f>
        <v/>
      </c>
      <c r="K421" s="12" t="str">
        <f>IF(OR(D421="",E421=""),"",IF(IFERROR(INDEX(Stats!$D:$D,MATCH($C421,Stats!$A:$A,0)),FALSE),ROUND(D421+(E421-D421)*(1+G421)*((4-1)/(MaxLevel-1))^(2^F421),0),D421+(E421-D421)*(1+G421)*((4-1)/(MaxLevel-1))^(2^F421)))</f>
        <v/>
      </c>
      <c r="L421" s="12" t="str">
        <f>IF(OR(D421="",E421=""),"",IF(IFERROR(INDEX(Stats!$D:$D,MATCH($C421,Stats!$A:$A,0)),FALSE),ROUND(D421+(E421-D421)*(1+G421)*((5-1)/(MaxLevel-1))^(2^F421),0),D421+(E421-D421)*(1+G421)*((5-1)/(MaxLevel-1))^(2^F421)))</f>
        <v/>
      </c>
      <c r="M421" s="12" t="str">
        <f>IF(OR(D421="",E421=""),"",IF(IFERROR(INDEX(Stats!$D:$D,MATCH($C421,Stats!$A:$A,0)),FALSE),ROUND(D421+(E421-D421)*(1+G421)*((6-1)/(MaxLevel-1))^(2^F421),0),D421+(E421-D421)*(1+G421)*((6-1)/(MaxLevel-1))^(2^F421)))</f>
        <v/>
      </c>
      <c r="N421" s="12" t="str">
        <f>IF(OR(D421="",E421=""),"",IF(IFERROR(INDEX(Stats!$D:$D,MATCH($C421,Stats!$A:$A,0)),FALSE),ROUND(D421+(E421-D421)*(1+G421)*((7-1)/(MaxLevel-1))^(2^F421),0),D421+(E421-D421)*(1+G421)*((7-1)/(MaxLevel-1))^(2^F421)))</f>
        <v/>
      </c>
      <c r="O421" s="12" t="str">
        <f>IF(OR(D421="",E421=""),"",IF(IFERROR(INDEX(Stats!$D:$D,MATCH($C421,Stats!$A:$A,0)),FALSE),ROUND(D421+(E421-D421)*(1+G421)*((8-1)/(MaxLevel-1))^(2^F421),0),D421+(E421-D421)*(1+G421)*((8-1)/(MaxLevel-1))^(2^F421)))</f>
        <v/>
      </c>
      <c r="P421" s="12" t="str">
        <f>IF(OR(D421="",E421=""),"",IF(IFERROR(INDEX(Stats!$D:$D,MATCH($C421,Stats!$A:$A,0)),FALSE),ROUND(D421+(E421-D421)*(1+G421)*((9-1)/(MaxLevel-1))^(2^F421),0),D421+(E421-D421)*(1+G421)*((9-1)/(MaxLevel-1))^(2^F421)))</f>
        <v/>
      </c>
      <c r="Q421" s="12" t="str">
        <f>IF(OR(D421="",E421=""),"",IF(IFERROR(INDEX(Stats!$D:$D,MATCH($C421,Stats!$A:$A,0)),FALSE),ROUND(D421+(E421-D421)*(1+G421)*((10-1)/(MaxLevel-1))^(2^F421),0),D421+(E421-D421)*(1+G421)*((10-1)/(MaxLevel-1))^(2^F421)))</f>
        <v/>
      </c>
    </row>
    <row r="422" spans="1:17" x14ac:dyDescent="0.25">
      <c r="A422" s="19" t="s">
        <v>287</v>
      </c>
      <c r="B422" s="4" t="s">
        <v>201</v>
      </c>
      <c r="C422" s="4" t="s">
        <v>28</v>
      </c>
      <c r="D422" s="5">
        <v>100</v>
      </c>
      <c r="E422" s="5">
        <v>250</v>
      </c>
      <c r="F422" s="5">
        <v>0</v>
      </c>
      <c r="G422" s="5">
        <v>0</v>
      </c>
      <c r="H422" s="12">
        <f>IF(OR(D422="",E422=""),"",IF(IFERROR(INDEX(Stats!$D:$D,MATCH($C422,Stats!$A:$A,0)),FALSE),ROUND(D422+(E422-D422)*(1+G422)*((1-1)/(MaxLevel-1))^(2^F422),0),D422+(E422-D422)*(1+G422)*((1-1)/(MaxLevel-1))^(2^F422)))</f>
        <v>100</v>
      </c>
      <c r="I422" s="12">
        <f>IF(OR(D422="",E422=""),"",IF(IFERROR(INDEX(Stats!$D:$D,MATCH($C422,Stats!$A:$A,0)),FALSE),ROUND(D422+(E422-D422)*(1+G422)*((2-1)/(MaxLevel-1))^(2^F422),0),D422+(E422-D422)*(1+G422)*((2-1)/(MaxLevel-1))^(2^F422)))</f>
        <v>117</v>
      </c>
      <c r="J422" s="12">
        <f>IF(OR(D422="",E422=""),"",IF(IFERROR(INDEX(Stats!$D:$D,MATCH($C422,Stats!$A:$A,0)),FALSE),ROUND(D422+(E422-D422)*(1+G422)*((3-1)/(MaxLevel-1))^(2^F422),0),D422+(E422-D422)*(1+G422)*((3-1)/(MaxLevel-1))^(2^F422)))</f>
        <v>133</v>
      </c>
      <c r="K422" s="12">
        <f>IF(OR(D422="",E422=""),"",IF(IFERROR(INDEX(Stats!$D:$D,MATCH($C422,Stats!$A:$A,0)),FALSE),ROUND(D422+(E422-D422)*(1+G422)*((4-1)/(MaxLevel-1))^(2^F422),0),D422+(E422-D422)*(1+G422)*((4-1)/(MaxLevel-1))^(2^F422)))</f>
        <v>150</v>
      </c>
      <c r="L422" s="12">
        <f>IF(OR(D422="",E422=""),"",IF(IFERROR(INDEX(Stats!$D:$D,MATCH($C422,Stats!$A:$A,0)),FALSE),ROUND(D422+(E422-D422)*(1+G422)*((5-1)/(MaxLevel-1))^(2^F422),0),D422+(E422-D422)*(1+G422)*((5-1)/(MaxLevel-1))^(2^F422)))</f>
        <v>167</v>
      </c>
      <c r="M422" s="12">
        <f>IF(OR(D422="",E422=""),"",IF(IFERROR(INDEX(Stats!$D:$D,MATCH($C422,Stats!$A:$A,0)),FALSE),ROUND(D422+(E422-D422)*(1+G422)*((6-1)/(MaxLevel-1))^(2^F422),0),D422+(E422-D422)*(1+G422)*((6-1)/(MaxLevel-1))^(2^F422)))</f>
        <v>183</v>
      </c>
      <c r="N422" s="12">
        <f>IF(OR(D422="",E422=""),"",IF(IFERROR(INDEX(Stats!$D:$D,MATCH($C422,Stats!$A:$A,0)),FALSE),ROUND(D422+(E422-D422)*(1+G422)*((7-1)/(MaxLevel-1))^(2^F422),0),D422+(E422-D422)*(1+G422)*((7-1)/(MaxLevel-1))^(2^F422)))</f>
        <v>200</v>
      </c>
      <c r="O422" s="12">
        <f>IF(OR(D422="",E422=""),"",IF(IFERROR(INDEX(Stats!$D:$D,MATCH($C422,Stats!$A:$A,0)),FALSE),ROUND(D422+(E422-D422)*(1+G422)*((8-1)/(MaxLevel-1))^(2^F422),0),D422+(E422-D422)*(1+G422)*((8-1)/(MaxLevel-1))^(2^F422)))</f>
        <v>217</v>
      </c>
      <c r="P422" s="12">
        <f>IF(OR(D422="",E422=""),"",IF(IFERROR(INDEX(Stats!$D:$D,MATCH($C422,Stats!$A:$A,0)),FALSE),ROUND(D422+(E422-D422)*(1+G422)*((9-1)/(MaxLevel-1))^(2^F422),0),D422+(E422-D422)*(1+G422)*((9-1)/(MaxLevel-1))^(2^F422)))</f>
        <v>233</v>
      </c>
      <c r="Q422" s="12">
        <f>IF(OR(D422="",E422=""),"",IF(IFERROR(INDEX(Stats!$D:$D,MATCH($C422,Stats!$A:$A,0)),FALSE),ROUND(D422+(E422-D422)*(1+G422)*((10-1)/(MaxLevel-1))^(2^F422),0),D422+(E422-D422)*(1+G422)*((10-1)/(MaxLevel-1))^(2^F422)))</f>
        <v>250</v>
      </c>
    </row>
    <row r="423" spans="1:17" x14ac:dyDescent="0.25">
      <c r="A423" s="19" t="s">
        <v>287</v>
      </c>
      <c r="B423" s="4" t="s">
        <v>201</v>
      </c>
      <c r="C423" s="4" t="s">
        <v>30</v>
      </c>
      <c r="D423" s="5">
        <v>20</v>
      </c>
      <c r="E423" s="5">
        <v>40</v>
      </c>
      <c r="F423" s="5">
        <v>0</v>
      </c>
      <c r="G423" s="5">
        <v>0</v>
      </c>
      <c r="H423" s="12">
        <f>IF(OR(D423="",E423=""),"",IF(IFERROR(INDEX(Stats!$D:$D,MATCH($C423,Stats!$A:$A,0)),FALSE),ROUND(D423+(E423-D423)*(1+G423)*((1-1)/(MaxLevel-1))^(2^F423),0),D423+(E423-D423)*(1+G423)*((1-1)/(MaxLevel-1))^(2^F423)))</f>
        <v>20</v>
      </c>
      <c r="I423" s="12">
        <f>IF(OR(D423="",E423=""),"",IF(IFERROR(INDEX(Stats!$D:$D,MATCH($C423,Stats!$A:$A,0)),FALSE),ROUND(D423+(E423-D423)*(1+G423)*((2-1)/(MaxLevel-1))^(2^F423),0),D423+(E423-D423)*(1+G423)*((2-1)/(MaxLevel-1))^(2^F423)))</f>
        <v>22</v>
      </c>
      <c r="J423" s="12">
        <f>IF(OR(D423="",E423=""),"",IF(IFERROR(INDEX(Stats!$D:$D,MATCH($C423,Stats!$A:$A,0)),FALSE),ROUND(D423+(E423-D423)*(1+G423)*((3-1)/(MaxLevel-1))^(2^F423),0),D423+(E423-D423)*(1+G423)*((3-1)/(MaxLevel-1))^(2^F423)))</f>
        <v>24</v>
      </c>
      <c r="K423" s="12">
        <f>IF(OR(D423="",E423=""),"",IF(IFERROR(INDEX(Stats!$D:$D,MATCH($C423,Stats!$A:$A,0)),FALSE),ROUND(D423+(E423-D423)*(1+G423)*((4-1)/(MaxLevel-1))^(2^F423),0),D423+(E423-D423)*(1+G423)*((4-1)/(MaxLevel-1))^(2^F423)))</f>
        <v>27</v>
      </c>
      <c r="L423" s="12">
        <f>IF(OR(D423="",E423=""),"",IF(IFERROR(INDEX(Stats!$D:$D,MATCH($C423,Stats!$A:$A,0)),FALSE),ROUND(D423+(E423-D423)*(1+G423)*((5-1)/(MaxLevel-1))^(2^F423),0),D423+(E423-D423)*(1+G423)*((5-1)/(MaxLevel-1))^(2^F423)))</f>
        <v>29</v>
      </c>
      <c r="M423" s="12">
        <f>IF(OR(D423="",E423=""),"",IF(IFERROR(INDEX(Stats!$D:$D,MATCH($C423,Stats!$A:$A,0)),FALSE),ROUND(D423+(E423-D423)*(1+G423)*((6-1)/(MaxLevel-1))^(2^F423),0),D423+(E423-D423)*(1+G423)*((6-1)/(MaxLevel-1))^(2^F423)))</f>
        <v>31</v>
      </c>
      <c r="N423" s="12">
        <f>IF(OR(D423="",E423=""),"",IF(IFERROR(INDEX(Stats!$D:$D,MATCH($C423,Stats!$A:$A,0)),FALSE),ROUND(D423+(E423-D423)*(1+G423)*((7-1)/(MaxLevel-1))^(2^F423),0),D423+(E423-D423)*(1+G423)*((7-1)/(MaxLevel-1))^(2^F423)))</f>
        <v>33</v>
      </c>
      <c r="O423" s="12">
        <f>IF(OR(D423="",E423=""),"",IF(IFERROR(INDEX(Stats!$D:$D,MATCH($C423,Stats!$A:$A,0)),FALSE),ROUND(D423+(E423-D423)*(1+G423)*((8-1)/(MaxLevel-1))^(2^F423),0),D423+(E423-D423)*(1+G423)*((8-1)/(MaxLevel-1))^(2^F423)))</f>
        <v>36</v>
      </c>
      <c r="P423" s="12">
        <f>IF(OR(D423="",E423=""),"",IF(IFERROR(INDEX(Stats!$D:$D,MATCH($C423,Stats!$A:$A,0)),FALSE),ROUND(D423+(E423-D423)*(1+G423)*((9-1)/(MaxLevel-1))^(2^F423),0),D423+(E423-D423)*(1+G423)*((9-1)/(MaxLevel-1))^(2^F423)))</f>
        <v>38</v>
      </c>
      <c r="Q423" s="12">
        <f>IF(OR(D423="",E423=""),"",IF(IFERROR(INDEX(Stats!$D:$D,MATCH($C423,Stats!$A:$A,0)),FALSE),ROUND(D423+(E423-D423)*(1+G423)*((10-1)/(MaxLevel-1))^(2^F423),0),D423+(E423-D423)*(1+G423)*((10-1)/(MaxLevel-1))^(2^F423)))</f>
        <v>40</v>
      </c>
    </row>
    <row r="424" spans="1:17" x14ac:dyDescent="0.25">
      <c r="A424" s="19" t="s">
        <v>287</v>
      </c>
      <c r="B424" s="4" t="s">
        <v>201</v>
      </c>
      <c r="C424" s="4" t="s">
        <v>32</v>
      </c>
      <c r="D424" s="5"/>
      <c r="E424" s="5"/>
      <c r="F424" s="5"/>
      <c r="G424" s="5"/>
      <c r="H424" s="12" t="str">
        <f>IF(OR(D424="",E424=""),"",IF(IFERROR(INDEX(Stats!$D:$D,MATCH($C424,Stats!$A:$A,0)),FALSE),ROUND(D424+(E424-D424)*(1+G424)*((1-1)/(MaxLevel-1))^(2^F424),0),D424+(E424-D424)*(1+G424)*((1-1)/(MaxLevel-1))^(2^F424)))</f>
        <v/>
      </c>
      <c r="I424" s="12" t="str">
        <f>IF(OR(D424="",E424=""),"",IF(IFERROR(INDEX(Stats!$D:$D,MATCH($C424,Stats!$A:$A,0)),FALSE),ROUND(D424+(E424-D424)*(1+G424)*((2-1)/(MaxLevel-1))^(2^F424),0),D424+(E424-D424)*(1+G424)*((2-1)/(MaxLevel-1))^(2^F424)))</f>
        <v/>
      </c>
      <c r="J424" s="12" t="str">
        <f>IF(OR(D424="",E424=""),"",IF(IFERROR(INDEX(Stats!$D:$D,MATCH($C424,Stats!$A:$A,0)),FALSE),ROUND(D424+(E424-D424)*(1+G424)*((3-1)/(MaxLevel-1))^(2^F424),0),D424+(E424-D424)*(1+G424)*((3-1)/(MaxLevel-1))^(2^F424)))</f>
        <v/>
      </c>
      <c r="K424" s="12" t="str">
        <f>IF(OR(D424="",E424=""),"",IF(IFERROR(INDEX(Stats!$D:$D,MATCH($C424,Stats!$A:$A,0)),FALSE),ROUND(D424+(E424-D424)*(1+G424)*((4-1)/(MaxLevel-1))^(2^F424),0),D424+(E424-D424)*(1+G424)*((4-1)/(MaxLevel-1))^(2^F424)))</f>
        <v/>
      </c>
      <c r="L424" s="12" t="str">
        <f>IF(OR(D424="",E424=""),"",IF(IFERROR(INDEX(Stats!$D:$D,MATCH($C424,Stats!$A:$A,0)),FALSE),ROUND(D424+(E424-D424)*(1+G424)*((5-1)/(MaxLevel-1))^(2^F424),0),D424+(E424-D424)*(1+G424)*((5-1)/(MaxLevel-1))^(2^F424)))</f>
        <v/>
      </c>
      <c r="M424" s="12" t="str">
        <f>IF(OR(D424="",E424=""),"",IF(IFERROR(INDEX(Stats!$D:$D,MATCH($C424,Stats!$A:$A,0)),FALSE),ROUND(D424+(E424-D424)*(1+G424)*((6-1)/(MaxLevel-1))^(2^F424),0),D424+(E424-D424)*(1+G424)*((6-1)/(MaxLevel-1))^(2^F424)))</f>
        <v/>
      </c>
      <c r="N424" s="12" t="str">
        <f>IF(OR(D424="",E424=""),"",IF(IFERROR(INDEX(Stats!$D:$D,MATCH($C424,Stats!$A:$A,0)),FALSE),ROUND(D424+(E424-D424)*(1+G424)*((7-1)/(MaxLevel-1))^(2^F424),0),D424+(E424-D424)*(1+G424)*((7-1)/(MaxLevel-1))^(2^F424)))</f>
        <v/>
      </c>
      <c r="O424" s="12" t="str">
        <f>IF(OR(D424="",E424=""),"",IF(IFERROR(INDEX(Stats!$D:$D,MATCH($C424,Stats!$A:$A,0)),FALSE),ROUND(D424+(E424-D424)*(1+G424)*((8-1)/(MaxLevel-1))^(2^F424),0),D424+(E424-D424)*(1+G424)*((8-1)/(MaxLevel-1))^(2^F424)))</f>
        <v/>
      </c>
      <c r="P424" s="12" t="str">
        <f>IF(OR(D424="",E424=""),"",IF(IFERROR(INDEX(Stats!$D:$D,MATCH($C424,Stats!$A:$A,0)),FALSE),ROUND(D424+(E424-D424)*(1+G424)*((9-1)/(MaxLevel-1))^(2^F424),0),D424+(E424-D424)*(1+G424)*((9-1)/(MaxLevel-1))^(2^F424)))</f>
        <v/>
      </c>
      <c r="Q424" s="12" t="str">
        <f>IF(OR(D424="",E424=""),"",IF(IFERROR(INDEX(Stats!$D:$D,MATCH($C424,Stats!$A:$A,0)),FALSE),ROUND(D424+(E424-D424)*(1+G424)*((10-1)/(MaxLevel-1))^(2^F424),0),D424+(E424-D424)*(1+G424)*((10-1)/(MaxLevel-1))^(2^F424)))</f>
        <v/>
      </c>
    </row>
    <row r="425" spans="1:17" x14ac:dyDescent="0.25">
      <c r="A425" s="19" t="s">
        <v>287</v>
      </c>
      <c r="B425" s="4" t="s">
        <v>201</v>
      </c>
      <c r="C425" s="4" t="s">
        <v>34</v>
      </c>
      <c r="D425" s="5"/>
      <c r="E425" s="5"/>
      <c r="F425" s="5"/>
      <c r="G425" s="5"/>
      <c r="H425" s="12" t="str">
        <f>IF(OR(D425="",E425=""),"",IF(IFERROR(INDEX(Stats!$D:$D,MATCH($C425,Stats!$A:$A,0)),FALSE),ROUND(D425+(E425-D425)*(1+G425)*((1-1)/(MaxLevel-1))^(2^F425),0),D425+(E425-D425)*(1+G425)*((1-1)/(MaxLevel-1))^(2^F425)))</f>
        <v/>
      </c>
      <c r="I425" s="12" t="str">
        <f>IF(OR(D425="",E425=""),"",IF(IFERROR(INDEX(Stats!$D:$D,MATCH($C425,Stats!$A:$A,0)),FALSE),ROUND(D425+(E425-D425)*(1+G425)*((2-1)/(MaxLevel-1))^(2^F425),0),D425+(E425-D425)*(1+G425)*((2-1)/(MaxLevel-1))^(2^F425)))</f>
        <v/>
      </c>
      <c r="J425" s="12" t="str">
        <f>IF(OR(D425="",E425=""),"",IF(IFERROR(INDEX(Stats!$D:$D,MATCH($C425,Stats!$A:$A,0)),FALSE),ROUND(D425+(E425-D425)*(1+G425)*((3-1)/(MaxLevel-1))^(2^F425),0),D425+(E425-D425)*(1+G425)*((3-1)/(MaxLevel-1))^(2^F425)))</f>
        <v/>
      </c>
      <c r="K425" s="12" t="str">
        <f>IF(OR(D425="",E425=""),"",IF(IFERROR(INDEX(Stats!$D:$D,MATCH($C425,Stats!$A:$A,0)),FALSE),ROUND(D425+(E425-D425)*(1+G425)*((4-1)/(MaxLevel-1))^(2^F425),0),D425+(E425-D425)*(1+G425)*((4-1)/(MaxLevel-1))^(2^F425)))</f>
        <v/>
      </c>
      <c r="L425" s="12" t="str">
        <f>IF(OR(D425="",E425=""),"",IF(IFERROR(INDEX(Stats!$D:$D,MATCH($C425,Stats!$A:$A,0)),FALSE),ROUND(D425+(E425-D425)*(1+G425)*((5-1)/(MaxLevel-1))^(2^F425),0),D425+(E425-D425)*(1+G425)*((5-1)/(MaxLevel-1))^(2^F425)))</f>
        <v/>
      </c>
      <c r="M425" s="12" t="str">
        <f>IF(OR(D425="",E425=""),"",IF(IFERROR(INDEX(Stats!$D:$D,MATCH($C425,Stats!$A:$A,0)),FALSE),ROUND(D425+(E425-D425)*(1+G425)*((6-1)/(MaxLevel-1))^(2^F425),0),D425+(E425-D425)*(1+G425)*((6-1)/(MaxLevel-1))^(2^F425)))</f>
        <v/>
      </c>
      <c r="N425" s="12" t="str">
        <f>IF(OR(D425="",E425=""),"",IF(IFERROR(INDEX(Stats!$D:$D,MATCH($C425,Stats!$A:$A,0)),FALSE),ROUND(D425+(E425-D425)*(1+G425)*((7-1)/(MaxLevel-1))^(2^F425),0),D425+(E425-D425)*(1+G425)*((7-1)/(MaxLevel-1))^(2^F425)))</f>
        <v/>
      </c>
      <c r="O425" s="12" t="str">
        <f>IF(OR(D425="",E425=""),"",IF(IFERROR(INDEX(Stats!$D:$D,MATCH($C425,Stats!$A:$A,0)),FALSE),ROUND(D425+(E425-D425)*(1+G425)*((8-1)/(MaxLevel-1))^(2^F425),0),D425+(E425-D425)*(1+G425)*((8-1)/(MaxLevel-1))^(2^F425)))</f>
        <v/>
      </c>
      <c r="P425" s="12" t="str">
        <f>IF(OR(D425="",E425=""),"",IF(IFERROR(INDEX(Stats!$D:$D,MATCH($C425,Stats!$A:$A,0)),FALSE),ROUND(D425+(E425-D425)*(1+G425)*((9-1)/(MaxLevel-1))^(2^F425),0),D425+(E425-D425)*(1+G425)*((9-1)/(MaxLevel-1))^(2^F425)))</f>
        <v/>
      </c>
      <c r="Q425" s="12" t="str">
        <f>IF(OR(D425="",E425=""),"",IF(IFERROR(INDEX(Stats!$D:$D,MATCH($C425,Stats!$A:$A,0)),FALSE),ROUND(D425+(E425-D425)*(1+G425)*((10-1)/(MaxLevel-1))^(2^F425),0),D425+(E425-D425)*(1+G425)*((10-1)/(MaxLevel-1))^(2^F425)))</f>
        <v/>
      </c>
    </row>
    <row r="426" spans="1:17" x14ac:dyDescent="0.25">
      <c r="A426" s="19" t="s">
        <v>287</v>
      </c>
      <c r="B426" s="4" t="s">
        <v>201</v>
      </c>
      <c r="C426" s="4" t="s">
        <v>36</v>
      </c>
      <c r="D426" s="5"/>
      <c r="E426" s="5"/>
      <c r="F426" s="5"/>
      <c r="G426" s="5"/>
      <c r="H426" s="12" t="str">
        <f>IF(OR(D426="",E426=""),"",IF(IFERROR(INDEX(Stats!$D:$D,MATCH($C426,Stats!$A:$A,0)),FALSE),ROUND(D426+(E426-D426)*(1+G426)*((1-1)/(MaxLevel-1))^(2^F426),0),D426+(E426-D426)*(1+G426)*((1-1)/(MaxLevel-1))^(2^F426)))</f>
        <v/>
      </c>
      <c r="I426" s="12" t="str">
        <f>IF(OR(D426="",E426=""),"",IF(IFERROR(INDEX(Stats!$D:$D,MATCH($C426,Stats!$A:$A,0)),FALSE),ROUND(D426+(E426-D426)*(1+G426)*((2-1)/(MaxLevel-1))^(2^F426),0),D426+(E426-D426)*(1+G426)*((2-1)/(MaxLevel-1))^(2^F426)))</f>
        <v/>
      </c>
      <c r="J426" s="12" t="str">
        <f>IF(OR(D426="",E426=""),"",IF(IFERROR(INDEX(Stats!$D:$D,MATCH($C426,Stats!$A:$A,0)),FALSE),ROUND(D426+(E426-D426)*(1+G426)*((3-1)/(MaxLevel-1))^(2^F426),0),D426+(E426-D426)*(1+G426)*((3-1)/(MaxLevel-1))^(2^F426)))</f>
        <v/>
      </c>
      <c r="K426" s="12" t="str">
        <f>IF(OR(D426="",E426=""),"",IF(IFERROR(INDEX(Stats!$D:$D,MATCH($C426,Stats!$A:$A,0)),FALSE),ROUND(D426+(E426-D426)*(1+G426)*((4-1)/(MaxLevel-1))^(2^F426),0),D426+(E426-D426)*(1+G426)*((4-1)/(MaxLevel-1))^(2^F426)))</f>
        <v/>
      </c>
      <c r="L426" s="12" t="str">
        <f>IF(OR(D426="",E426=""),"",IF(IFERROR(INDEX(Stats!$D:$D,MATCH($C426,Stats!$A:$A,0)),FALSE),ROUND(D426+(E426-D426)*(1+G426)*((5-1)/(MaxLevel-1))^(2^F426),0),D426+(E426-D426)*(1+G426)*((5-1)/(MaxLevel-1))^(2^F426)))</f>
        <v/>
      </c>
      <c r="M426" s="12" t="str">
        <f>IF(OR(D426="",E426=""),"",IF(IFERROR(INDEX(Stats!$D:$D,MATCH($C426,Stats!$A:$A,0)),FALSE),ROUND(D426+(E426-D426)*(1+G426)*((6-1)/(MaxLevel-1))^(2^F426),0),D426+(E426-D426)*(1+G426)*((6-1)/(MaxLevel-1))^(2^F426)))</f>
        <v/>
      </c>
      <c r="N426" s="12" t="str">
        <f>IF(OR(D426="",E426=""),"",IF(IFERROR(INDEX(Stats!$D:$D,MATCH($C426,Stats!$A:$A,0)),FALSE),ROUND(D426+(E426-D426)*(1+G426)*((7-1)/(MaxLevel-1))^(2^F426),0),D426+(E426-D426)*(1+G426)*((7-1)/(MaxLevel-1))^(2^F426)))</f>
        <v/>
      </c>
      <c r="O426" s="12" t="str">
        <f>IF(OR(D426="",E426=""),"",IF(IFERROR(INDEX(Stats!$D:$D,MATCH($C426,Stats!$A:$A,0)),FALSE),ROUND(D426+(E426-D426)*(1+G426)*((8-1)/(MaxLevel-1))^(2^F426),0),D426+(E426-D426)*(1+G426)*((8-1)/(MaxLevel-1))^(2^F426)))</f>
        <v/>
      </c>
      <c r="P426" s="12" t="str">
        <f>IF(OR(D426="",E426=""),"",IF(IFERROR(INDEX(Stats!$D:$D,MATCH($C426,Stats!$A:$A,0)),FALSE),ROUND(D426+(E426-D426)*(1+G426)*((9-1)/(MaxLevel-1))^(2^F426),0),D426+(E426-D426)*(1+G426)*((9-1)/(MaxLevel-1))^(2^F426)))</f>
        <v/>
      </c>
      <c r="Q426" s="12" t="str">
        <f>IF(OR(D426="",E426=""),"",IF(IFERROR(INDEX(Stats!$D:$D,MATCH($C426,Stats!$A:$A,0)),FALSE),ROUND(D426+(E426-D426)*(1+G426)*((10-1)/(MaxLevel-1))^(2^F426),0),D426+(E426-D426)*(1+G426)*((10-1)/(MaxLevel-1))^(2^F426)))</f>
        <v/>
      </c>
    </row>
    <row r="427" spans="1:17" x14ac:dyDescent="0.25">
      <c r="A427" s="19" t="s">
        <v>287</v>
      </c>
      <c r="B427" s="4" t="s">
        <v>201</v>
      </c>
      <c r="C427" s="4" t="s">
        <v>38</v>
      </c>
      <c r="D427" s="5"/>
      <c r="E427" s="5"/>
      <c r="F427" s="5"/>
      <c r="G427" s="5"/>
      <c r="H427" s="12" t="str">
        <f>IF(OR(D427="",E427=""),"",IF(IFERROR(INDEX(Stats!$D:$D,MATCH($C427,Stats!$A:$A,0)),FALSE),ROUND(D427+(E427-D427)*(1+G427)*((1-1)/(MaxLevel-1))^(2^F427),0),D427+(E427-D427)*(1+G427)*((1-1)/(MaxLevel-1))^(2^F427)))</f>
        <v/>
      </c>
      <c r="I427" s="12" t="str">
        <f>IF(OR(D427="",E427=""),"",IF(IFERROR(INDEX(Stats!$D:$D,MATCH($C427,Stats!$A:$A,0)),FALSE),ROUND(D427+(E427-D427)*(1+G427)*((2-1)/(MaxLevel-1))^(2^F427),0),D427+(E427-D427)*(1+G427)*((2-1)/(MaxLevel-1))^(2^F427)))</f>
        <v/>
      </c>
      <c r="J427" s="12" t="str">
        <f>IF(OR(D427="",E427=""),"",IF(IFERROR(INDEX(Stats!$D:$D,MATCH($C427,Stats!$A:$A,0)),FALSE),ROUND(D427+(E427-D427)*(1+G427)*((3-1)/(MaxLevel-1))^(2^F427),0),D427+(E427-D427)*(1+G427)*((3-1)/(MaxLevel-1))^(2^F427)))</f>
        <v/>
      </c>
      <c r="K427" s="12" t="str">
        <f>IF(OR(D427="",E427=""),"",IF(IFERROR(INDEX(Stats!$D:$D,MATCH($C427,Stats!$A:$A,0)),FALSE),ROUND(D427+(E427-D427)*(1+G427)*((4-1)/(MaxLevel-1))^(2^F427),0),D427+(E427-D427)*(1+G427)*((4-1)/(MaxLevel-1))^(2^F427)))</f>
        <v/>
      </c>
      <c r="L427" s="12" t="str">
        <f>IF(OR(D427="",E427=""),"",IF(IFERROR(INDEX(Stats!$D:$D,MATCH($C427,Stats!$A:$A,0)),FALSE),ROUND(D427+(E427-D427)*(1+G427)*((5-1)/(MaxLevel-1))^(2^F427),0),D427+(E427-D427)*(1+G427)*((5-1)/(MaxLevel-1))^(2^F427)))</f>
        <v/>
      </c>
      <c r="M427" s="12" t="str">
        <f>IF(OR(D427="",E427=""),"",IF(IFERROR(INDEX(Stats!$D:$D,MATCH($C427,Stats!$A:$A,0)),FALSE),ROUND(D427+(E427-D427)*(1+G427)*((6-1)/(MaxLevel-1))^(2^F427),0),D427+(E427-D427)*(1+G427)*((6-1)/(MaxLevel-1))^(2^F427)))</f>
        <v/>
      </c>
      <c r="N427" s="12" t="str">
        <f>IF(OR(D427="",E427=""),"",IF(IFERROR(INDEX(Stats!$D:$D,MATCH($C427,Stats!$A:$A,0)),FALSE),ROUND(D427+(E427-D427)*(1+G427)*((7-1)/(MaxLevel-1))^(2^F427),0),D427+(E427-D427)*(1+G427)*((7-1)/(MaxLevel-1))^(2^F427)))</f>
        <v/>
      </c>
      <c r="O427" s="12" t="str">
        <f>IF(OR(D427="",E427=""),"",IF(IFERROR(INDEX(Stats!$D:$D,MATCH($C427,Stats!$A:$A,0)),FALSE),ROUND(D427+(E427-D427)*(1+G427)*((8-1)/(MaxLevel-1))^(2^F427),0),D427+(E427-D427)*(1+G427)*((8-1)/(MaxLevel-1))^(2^F427)))</f>
        <v/>
      </c>
      <c r="P427" s="12" t="str">
        <f>IF(OR(D427="",E427=""),"",IF(IFERROR(INDEX(Stats!$D:$D,MATCH($C427,Stats!$A:$A,0)),FALSE),ROUND(D427+(E427-D427)*(1+G427)*((9-1)/(MaxLevel-1))^(2^F427),0),D427+(E427-D427)*(1+G427)*((9-1)/(MaxLevel-1))^(2^F427)))</f>
        <v/>
      </c>
      <c r="Q427" s="12" t="str">
        <f>IF(OR(D427="",E427=""),"",IF(IFERROR(INDEX(Stats!$D:$D,MATCH($C427,Stats!$A:$A,0)),FALSE),ROUND(D427+(E427-D427)*(1+G427)*((10-1)/(MaxLevel-1))^(2^F427),0),D427+(E427-D427)*(1+G427)*((10-1)/(MaxLevel-1))^(2^F427)))</f>
        <v/>
      </c>
    </row>
    <row r="428" spans="1:17" x14ac:dyDescent="0.25">
      <c r="A428" s="19" t="s">
        <v>287</v>
      </c>
      <c r="B428" s="4" t="s">
        <v>201</v>
      </c>
      <c r="C428" s="4" t="s">
        <v>40</v>
      </c>
      <c r="D428" s="5"/>
      <c r="E428" s="5"/>
      <c r="F428" s="5"/>
      <c r="G428" s="5"/>
      <c r="H428" s="12" t="str">
        <f>IF(OR(D428="",E428=""),"",IF(IFERROR(INDEX(Stats!$D:$D,MATCH($C428,Stats!$A:$A,0)),FALSE),ROUND(D428+(E428-D428)*(1+G428)*((1-1)/(MaxLevel-1))^(2^F428),0),D428+(E428-D428)*(1+G428)*((1-1)/(MaxLevel-1))^(2^F428)))</f>
        <v/>
      </c>
      <c r="I428" s="12" t="str">
        <f>IF(OR(D428="",E428=""),"",IF(IFERROR(INDEX(Stats!$D:$D,MATCH($C428,Stats!$A:$A,0)),FALSE),ROUND(D428+(E428-D428)*(1+G428)*((2-1)/(MaxLevel-1))^(2^F428),0),D428+(E428-D428)*(1+G428)*((2-1)/(MaxLevel-1))^(2^F428)))</f>
        <v/>
      </c>
      <c r="J428" s="12" t="str">
        <f>IF(OR(D428="",E428=""),"",IF(IFERROR(INDEX(Stats!$D:$D,MATCH($C428,Stats!$A:$A,0)),FALSE),ROUND(D428+(E428-D428)*(1+G428)*((3-1)/(MaxLevel-1))^(2^F428),0),D428+(E428-D428)*(1+G428)*((3-1)/(MaxLevel-1))^(2^F428)))</f>
        <v/>
      </c>
      <c r="K428" s="12" t="str">
        <f>IF(OR(D428="",E428=""),"",IF(IFERROR(INDEX(Stats!$D:$D,MATCH($C428,Stats!$A:$A,0)),FALSE),ROUND(D428+(E428-D428)*(1+G428)*((4-1)/(MaxLevel-1))^(2^F428),0),D428+(E428-D428)*(1+G428)*((4-1)/(MaxLevel-1))^(2^F428)))</f>
        <v/>
      </c>
      <c r="L428" s="12" t="str">
        <f>IF(OR(D428="",E428=""),"",IF(IFERROR(INDEX(Stats!$D:$D,MATCH($C428,Stats!$A:$A,0)),FALSE),ROUND(D428+(E428-D428)*(1+G428)*((5-1)/(MaxLevel-1))^(2^F428),0),D428+(E428-D428)*(1+G428)*((5-1)/(MaxLevel-1))^(2^F428)))</f>
        <v/>
      </c>
      <c r="M428" s="12" t="str">
        <f>IF(OR(D428="",E428=""),"",IF(IFERROR(INDEX(Stats!$D:$D,MATCH($C428,Stats!$A:$A,0)),FALSE),ROUND(D428+(E428-D428)*(1+G428)*((6-1)/(MaxLevel-1))^(2^F428),0),D428+(E428-D428)*(1+G428)*((6-1)/(MaxLevel-1))^(2^F428)))</f>
        <v/>
      </c>
      <c r="N428" s="12" t="str">
        <f>IF(OR(D428="",E428=""),"",IF(IFERROR(INDEX(Stats!$D:$D,MATCH($C428,Stats!$A:$A,0)),FALSE),ROUND(D428+(E428-D428)*(1+G428)*((7-1)/(MaxLevel-1))^(2^F428),0),D428+(E428-D428)*(1+G428)*((7-1)/(MaxLevel-1))^(2^F428)))</f>
        <v/>
      </c>
      <c r="O428" s="12" t="str">
        <f>IF(OR(D428="",E428=""),"",IF(IFERROR(INDEX(Stats!$D:$D,MATCH($C428,Stats!$A:$A,0)),FALSE),ROUND(D428+(E428-D428)*(1+G428)*((8-1)/(MaxLevel-1))^(2^F428),0),D428+(E428-D428)*(1+G428)*((8-1)/(MaxLevel-1))^(2^F428)))</f>
        <v/>
      </c>
      <c r="P428" s="12" t="str">
        <f>IF(OR(D428="",E428=""),"",IF(IFERROR(INDEX(Stats!$D:$D,MATCH($C428,Stats!$A:$A,0)),FALSE),ROUND(D428+(E428-D428)*(1+G428)*((9-1)/(MaxLevel-1))^(2^F428),0),D428+(E428-D428)*(1+G428)*((9-1)/(MaxLevel-1))^(2^F428)))</f>
        <v/>
      </c>
      <c r="Q428" s="12" t="str">
        <f>IF(OR(D428="",E428=""),"",IF(IFERROR(INDEX(Stats!$D:$D,MATCH($C428,Stats!$A:$A,0)),FALSE),ROUND(D428+(E428-D428)*(1+G428)*((10-1)/(MaxLevel-1))^(2^F428),0),D428+(E428-D428)*(1+G428)*((10-1)/(MaxLevel-1))^(2^F428)))</f>
        <v/>
      </c>
    </row>
    <row r="429" spans="1:17" x14ac:dyDescent="0.25">
      <c r="A429" s="19" t="s">
        <v>287</v>
      </c>
      <c r="B429" s="4" t="s">
        <v>201</v>
      </c>
      <c r="C429" s="4" t="s">
        <v>42</v>
      </c>
      <c r="D429" s="5"/>
      <c r="E429" s="5"/>
      <c r="F429" s="5"/>
      <c r="G429" s="5"/>
      <c r="H429" s="12" t="str">
        <f>IF(OR(D429="",E429=""),"",IF(IFERROR(INDEX(Stats!$D:$D,MATCH($C429,Stats!$A:$A,0)),FALSE),ROUND(D429+(E429-D429)*(1+G429)*((1-1)/(MaxLevel-1))^(2^F429),0),D429+(E429-D429)*(1+G429)*((1-1)/(MaxLevel-1))^(2^F429)))</f>
        <v/>
      </c>
      <c r="I429" s="12" t="str">
        <f>IF(OR(D429="",E429=""),"",IF(IFERROR(INDEX(Stats!$D:$D,MATCH($C429,Stats!$A:$A,0)),FALSE),ROUND(D429+(E429-D429)*(1+G429)*((2-1)/(MaxLevel-1))^(2^F429),0),D429+(E429-D429)*(1+G429)*((2-1)/(MaxLevel-1))^(2^F429)))</f>
        <v/>
      </c>
      <c r="J429" s="12" t="str">
        <f>IF(OR(D429="",E429=""),"",IF(IFERROR(INDEX(Stats!$D:$D,MATCH($C429,Stats!$A:$A,0)),FALSE),ROUND(D429+(E429-D429)*(1+G429)*((3-1)/(MaxLevel-1))^(2^F429),0),D429+(E429-D429)*(1+G429)*((3-1)/(MaxLevel-1))^(2^F429)))</f>
        <v/>
      </c>
      <c r="K429" s="12" t="str">
        <f>IF(OR(D429="",E429=""),"",IF(IFERROR(INDEX(Stats!$D:$D,MATCH($C429,Stats!$A:$A,0)),FALSE),ROUND(D429+(E429-D429)*(1+G429)*((4-1)/(MaxLevel-1))^(2^F429),0),D429+(E429-D429)*(1+G429)*((4-1)/(MaxLevel-1))^(2^F429)))</f>
        <v/>
      </c>
      <c r="L429" s="12" t="str">
        <f>IF(OR(D429="",E429=""),"",IF(IFERROR(INDEX(Stats!$D:$D,MATCH($C429,Stats!$A:$A,0)),FALSE),ROUND(D429+(E429-D429)*(1+G429)*((5-1)/(MaxLevel-1))^(2^F429),0),D429+(E429-D429)*(1+G429)*((5-1)/(MaxLevel-1))^(2^F429)))</f>
        <v/>
      </c>
      <c r="M429" s="12" t="str">
        <f>IF(OR(D429="",E429=""),"",IF(IFERROR(INDEX(Stats!$D:$D,MATCH($C429,Stats!$A:$A,0)),FALSE),ROUND(D429+(E429-D429)*(1+G429)*((6-1)/(MaxLevel-1))^(2^F429),0),D429+(E429-D429)*(1+G429)*((6-1)/(MaxLevel-1))^(2^F429)))</f>
        <v/>
      </c>
      <c r="N429" s="12" t="str">
        <f>IF(OR(D429="",E429=""),"",IF(IFERROR(INDEX(Stats!$D:$D,MATCH($C429,Stats!$A:$A,0)),FALSE),ROUND(D429+(E429-D429)*(1+G429)*((7-1)/(MaxLevel-1))^(2^F429),0),D429+(E429-D429)*(1+G429)*((7-1)/(MaxLevel-1))^(2^F429)))</f>
        <v/>
      </c>
      <c r="O429" s="12" t="str">
        <f>IF(OR(D429="",E429=""),"",IF(IFERROR(INDEX(Stats!$D:$D,MATCH($C429,Stats!$A:$A,0)),FALSE),ROUND(D429+(E429-D429)*(1+G429)*((8-1)/(MaxLevel-1))^(2^F429),0),D429+(E429-D429)*(1+G429)*((8-1)/(MaxLevel-1))^(2^F429)))</f>
        <v/>
      </c>
      <c r="P429" s="12" t="str">
        <f>IF(OR(D429="",E429=""),"",IF(IFERROR(INDEX(Stats!$D:$D,MATCH($C429,Stats!$A:$A,0)),FALSE),ROUND(D429+(E429-D429)*(1+G429)*((9-1)/(MaxLevel-1))^(2^F429),0),D429+(E429-D429)*(1+G429)*((9-1)/(MaxLevel-1))^(2^F429)))</f>
        <v/>
      </c>
      <c r="Q429" s="12" t="str">
        <f>IF(OR(D429="",E429=""),"",IF(IFERROR(INDEX(Stats!$D:$D,MATCH($C429,Stats!$A:$A,0)),FALSE),ROUND(D429+(E429-D429)*(1+G429)*((10-1)/(MaxLevel-1))^(2^F429),0),D429+(E429-D429)*(1+G429)*((10-1)/(MaxLevel-1))^(2^F429)))</f>
        <v/>
      </c>
    </row>
    <row r="430" spans="1:17" x14ac:dyDescent="0.25">
      <c r="A430" s="19" t="s">
        <v>287</v>
      </c>
      <c r="B430" s="4" t="s">
        <v>201</v>
      </c>
      <c r="C430" s="4" t="s">
        <v>44</v>
      </c>
      <c r="D430" s="5"/>
      <c r="E430" s="5"/>
      <c r="F430" s="5"/>
      <c r="G430" s="5"/>
      <c r="H430" s="12" t="str">
        <f>IF(OR(D430="",E430=""),"",IF(IFERROR(INDEX(Stats!$D:$D,MATCH($C430,Stats!$A:$A,0)),FALSE),ROUND(D430+(E430-D430)*(1+G430)*((1-1)/(MaxLevel-1))^(2^F430),0),D430+(E430-D430)*(1+G430)*((1-1)/(MaxLevel-1))^(2^F430)))</f>
        <v/>
      </c>
      <c r="I430" s="12" t="str">
        <f>IF(OR(D430="",E430=""),"",IF(IFERROR(INDEX(Stats!$D:$D,MATCH($C430,Stats!$A:$A,0)),FALSE),ROUND(D430+(E430-D430)*(1+G430)*((2-1)/(MaxLevel-1))^(2^F430),0),D430+(E430-D430)*(1+G430)*((2-1)/(MaxLevel-1))^(2^F430)))</f>
        <v/>
      </c>
      <c r="J430" s="12" t="str">
        <f>IF(OR(D430="",E430=""),"",IF(IFERROR(INDEX(Stats!$D:$D,MATCH($C430,Stats!$A:$A,0)),FALSE),ROUND(D430+(E430-D430)*(1+G430)*((3-1)/(MaxLevel-1))^(2^F430),0),D430+(E430-D430)*(1+G430)*((3-1)/(MaxLevel-1))^(2^F430)))</f>
        <v/>
      </c>
      <c r="K430" s="12" t="str">
        <f>IF(OR(D430="",E430=""),"",IF(IFERROR(INDEX(Stats!$D:$D,MATCH($C430,Stats!$A:$A,0)),FALSE),ROUND(D430+(E430-D430)*(1+G430)*((4-1)/(MaxLevel-1))^(2^F430),0),D430+(E430-D430)*(1+G430)*((4-1)/(MaxLevel-1))^(2^F430)))</f>
        <v/>
      </c>
      <c r="L430" s="12" t="str">
        <f>IF(OR(D430="",E430=""),"",IF(IFERROR(INDEX(Stats!$D:$D,MATCH($C430,Stats!$A:$A,0)),FALSE),ROUND(D430+(E430-D430)*(1+G430)*((5-1)/(MaxLevel-1))^(2^F430),0),D430+(E430-D430)*(1+G430)*((5-1)/(MaxLevel-1))^(2^F430)))</f>
        <v/>
      </c>
      <c r="M430" s="12" t="str">
        <f>IF(OR(D430="",E430=""),"",IF(IFERROR(INDEX(Stats!$D:$D,MATCH($C430,Stats!$A:$A,0)),FALSE),ROUND(D430+(E430-D430)*(1+G430)*((6-1)/(MaxLevel-1))^(2^F430),0),D430+(E430-D430)*(1+G430)*((6-1)/(MaxLevel-1))^(2^F430)))</f>
        <v/>
      </c>
      <c r="N430" s="12" t="str">
        <f>IF(OR(D430="",E430=""),"",IF(IFERROR(INDEX(Stats!$D:$D,MATCH($C430,Stats!$A:$A,0)),FALSE),ROUND(D430+(E430-D430)*(1+G430)*((7-1)/(MaxLevel-1))^(2^F430),0),D430+(E430-D430)*(1+G430)*((7-1)/(MaxLevel-1))^(2^F430)))</f>
        <v/>
      </c>
      <c r="O430" s="12" t="str">
        <f>IF(OR(D430="",E430=""),"",IF(IFERROR(INDEX(Stats!$D:$D,MATCH($C430,Stats!$A:$A,0)),FALSE),ROUND(D430+(E430-D430)*(1+G430)*((8-1)/(MaxLevel-1))^(2^F430),0),D430+(E430-D430)*(1+G430)*((8-1)/(MaxLevel-1))^(2^F430)))</f>
        <v/>
      </c>
      <c r="P430" s="12" t="str">
        <f>IF(OR(D430="",E430=""),"",IF(IFERROR(INDEX(Stats!$D:$D,MATCH($C430,Stats!$A:$A,0)),FALSE),ROUND(D430+(E430-D430)*(1+G430)*((9-1)/(MaxLevel-1))^(2^F430),0),D430+(E430-D430)*(1+G430)*((9-1)/(MaxLevel-1))^(2^F430)))</f>
        <v/>
      </c>
      <c r="Q430" s="12" t="str">
        <f>IF(OR(D430="",E430=""),"",IF(IFERROR(INDEX(Stats!$D:$D,MATCH($C430,Stats!$A:$A,0)),FALSE),ROUND(D430+(E430-D430)*(1+G430)*((10-1)/(MaxLevel-1))^(2^F430),0),D430+(E430-D430)*(1+G430)*((10-1)/(MaxLevel-1))^(2^F430)))</f>
        <v/>
      </c>
    </row>
    <row r="431" spans="1:17" x14ac:dyDescent="0.25">
      <c r="A431" s="19" t="s">
        <v>287</v>
      </c>
      <c r="B431" s="4" t="s">
        <v>201</v>
      </c>
      <c r="C431" s="4" t="s">
        <v>46</v>
      </c>
      <c r="D431" s="5"/>
      <c r="E431" s="5"/>
      <c r="F431" s="5"/>
      <c r="G431" s="5"/>
      <c r="H431" s="12" t="str">
        <f>IF(OR(D431="",E431=""),"",IF(IFERROR(INDEX(Stats!$D:$D,MATCH($C431,Stats!$A:$A,0)),FALSE),ROUND(D431+(E431-D431)*(1+G431)*((1-1)/(MaxLevel-1))^(2^F431),0),D431+(E431-D431)*(1+G431)*((1-1)/(MaxLevel-1))^(2^F431)))</f>
        <v/>
      </c>
      <c r="I431" s="12" t="str">
        <f>IF(OR(D431="",E431=""),"",IF(IFERROR(INDEX(Stats!$D:$D,MATCH($C431,Stats!$A:$A,0)),FALSE),ROUND(D431+(E431-D431)*(1+G431)*((2-1)/(MaxLevel-1))^(2^F431),0),D431+(E431-D431)*(1+G431)*((2-1)/(MaxLevel-1))^(2^F431)))</f>
        <v/>
      </c>
      <c r="J431" s="12" t="str">
        <f>IF(OR(D431="",E431=""),"",IF(IFERROR(INDEX(Stats!$D:$D,MATCH($C431,Stats!$A:$A,0)),FALSE),ROUND(D431+(E431-D431)*(1+G431)*((3-1)/(MaxLevel-1))^(2^F431),0),D431+(E431-D431)*(1+G431)*((3-1)/(MaxLevel-1))^(2^F431)))</f>
        <v/>
      </c>
      <c r="K431" s="12" t="str">
        <f>IF(OR(D431="",E431=""),"",IF(IFERROR(INDEX(Stats!$D:$D,MATCH($C431,Stats!$A:$A,0)),FALSE),ROUND(D431+(E431-D431)*(1+G431)*((4-1)/(MaxLevel-1))^(2^F431),0),D431+(E431-D431)*(1+G431)*((4-1)/(MaxLevel-1))^(2^F431)))</f>
        <v/>
      </c>
      <c r="L431" s="12" t="str">
        <f>IF(OR(D431="",E431=""),"",IF(IFERROR(INDEX(Stats!$D:$D,MATCH($C431,Stats!$A:$A,0)),FALSE),ROUND(D431+(E431-D431)*(1+G431)*((5-1)/(MaxLevel-1))^(2^F431),0),D431+(E431-D431)*(1+G431)*((5-1)/(MaxLevel-1))^(2^F431)))</f>
        <v/>
      </c>
      <c r="M431" s="12" t="str">
        <f>IF(OR(D431="",E431=""),"",IF(IFERROR(INDEX(Stats!$D:$D,MATCH($C431,Stats!$A:$A,0)),FALSE),ROUND(D431+(E431-D431)*(1+G431)*((6-1)/(MaxLevel-1))^(2^F431),0),D431+(E431-D431)*(1+G431)*((6-1)/(MaxLevel-1))^(2^F431)))</f>
        <v/>
      </c>
      <c r="N431" s="12" t="str">
        <f>IF(OR(D431="",E431=""),"",IF(IFERROR(INDEX(Stats!$D:$D,MATCH($C431,Stats!$A:$A,0)),FALSE),ROUND(D431+(E431-D431)*(1+G431)*((7-1)/(MaxLevel-1))^(2^F431),0),D431+(E431-D431)*(1+G431)*((7-1)/(MaxLevel-1))^(2^F431)))</f>
        <v/>
      </c>
      <c r="O431" s="12" t="str">
        <f>IF(OR(D431="",E431=""),"",IF(IFERROR(INDEX(Stats!$D:$D,MATCH($C431,Stats!$A:$A,0)),FALSE),ROUND(D431+(E431-D431)*(1+G431)*((8-1)/(MaxLevel-1))^(2^F431),0),D431+(E431-D431)*(1+G431)*((8-1)/(MaxLevel-1))^(2^F431)))</f>
        <v/>
      </c>
      <c r="P431" s="12" t="str">
        <f>IF(OR(D431="",E431=""),"",IF(IFERROR(INDEX(Stats!$D:$D,MATCH($C431,Stats!$A:$A,0)),FALSE),ROUND(D431+(E431-D431)*(1+G431)*((9-1)/(MaxLevel-1))^(2^F431),0),D431+(E431-D431)*(1+G431)*((9-1)/(MaxLevel-1))^(2^F431)))</f>
        <v/>
      </c>
      <c r="Q431" s="12" t="str">
        <f>IF(OR(D431="",E431=""),"",IF(IFERROR(INDEX(Stats!$D:$D,MATCH($C431,Stats!$A:$A,0)),FALSE),ROUND(D431+(E431-D431)*(1+G431)*((10-1)/(MaxLevel-1))^(2^F431),0),D431+(E431-D431)*(1+G431)*((10-1)/(MaxLevel-1))^(2^F431)))</f>
        <v/>
      </c>
    </row>
    <row r="432" spans="1:17" x14ac:dyDescent="0.25">
      <c r="A432" s="19" t="s">
        <v>287</v>
      </c>
      <c r="B432" s="4" t="s">
        <v>201</v>
      </c>
      <c r="C432" s="4" t="s">
        <v>48</v>
      </c>
      <c r="D432" s="5"/>
      <c r="E432" s="5"/>
      <c r="F432" s="5"/>
      <c r="G432" s="5"/>
      <c r="H432" s="12" t="str">
        <f>IF(OR(D432="",E432=""),"",IF(IFERROR(INDEX(Stats!$D:$D,MATCH($C432,Stats!$A:$A,0)),FALSE),ROUND(D432+(E432-D432)*(1+G432)*((1-1)/(MaxLevel-1))^(2^F432),0),D432+(E432-D432)*(1+G432)*((1-1)/(MaxLevel-1))^(2^F432)))</f>
        <v/>
      </c>
      <c r="I432" s="12" t="str">
        <f>IF(OR(D432="",E432=""),"",IF(IFERROR(INDEX(Stats!$D:$D,MATCH($C432,Stats!$A:$A,0)),FALSE),ROUND(D432+(E432-D432)*(1+G432)*((2-1)/(MaxLevel-1))^(2^F432),0),D432+(E432-D432)*(1+G432)*((2-1)/(MaxLevel-1))^(2^F432)))</f>
        <v/>
      </c>
      <c r="J432" s="12" t="str">
        <f>IF(OR(D432="",E432=""),"",IF(IFERROR(INDEX(Stats!$D:$D,MATCH($C432,Stats!$A:$A,0)),FALSE),ROUND(D432+(E432-D432)*(1+G432)*((3-1)/(MaxLevel-1))^(2^F432),0),D432+(E432-D432)*(1+G432)*((3-1)/(MaxLevel-1))^(2^F432)))</f>
        <v/>
      </c>
      <c r="K432" s="12" t="str">
        <f>IF(OR(D432="",E432=""),"",IF(IFERROR(INDEX(Stats!$D:$D,MATCH($C432,Stats!$A:$A,0)),FALSE),ROUND(D432+(E432-D432)*(1+G432)*((4-1)/(MaxLevel-1))^(2^F432),0),D432+(E432-D432)*(1+G432)*((4-1)/(MaxLevel-1))^(2^F432)))</f>
        <v/>
      </c>
      <c r="L432" s="12" t="str">
        <f>IF(OR(D432="",E432=""),"",IF(IFERROR(INDEX(Stats!$D:$D,MATCH($C432,Stats!$A:$A,0)),FALSE),ROUND(D432+(E432-D432)*(1+G432)*((5-1)/(MaxLevel-1))^(2^F432),0),D432+(E432-D432)*(1+G432)*((5-1)/(MaxLevel-1))^(2^F432)))</f>
        <v/>
      </c>
      <c r="M432" s="12" t="str">
        <f>IF(OR(D432="",E432=""),"",IF(IFERROR(INDEX(Stats!$D:$D,MATCH($C432,Stats!$A:$A,0)),FALSE),ROUND(D432+(E432-D432)*(1+G432)*((6-1)/(MaxLevel-1))^(2^F432),0),D432+(E432-D432)*(1+G432)*((6-1)/(MaxLevel-1))^(2^F432)))</f>
        <v/>
      </c>
      <c r="N432" s="12" t="str">
        <f>IF(OR(D432="",E432=""),"",IF(IFERROR(INDEX(Stats!$D:$D,MATCH($C432,Stats!$A:$A,0)),FALSE),ROUND(D432+(E432-D432)*(1+G432)*((7-1)/(MaxLevel-1))^(2^F432),0),D432+(E432-D432)*(1+G432)*((7-1)/(MaxLevel-1))^(2^F432)))</f>
        <v/>
      </c>
      <c r="O432" s="12" t="str">
        <f>IF(OR(D432="",E432=""),"",IF(IFERROR(INDEX(Stats!$D:$D,MATCH($C432,Stats!$A:$A,0)),FALSE),ROUND(D432+(E432-D432)*(1+G432)*((8-1)/(MaxLevel-1))^(2^F432),0),D432+(E432-D432)*(1+G432)*((8-1)/(MaxLevel-1))^(2^F432)))</f>
        <v/>
      </c>
      <c r="P432" s="12" t="str">
        <f>IF(OR(D432="",E432=""),"",IF(IFERROR(INDEX(Stats!$D:$D,MATCH($C432,Stats!$A:$A,0)),FALSE),ROUND(D432+(E432-D432)*(1+G432)*((9-1)/(MaxLevel-1))^(2^F432),0),D432+(E432-D432)*(1+G432)*((9-1)/(MaxLevel-1))^(2^F432)))</f>
        <v/>
      </c>
      <c r="Q432" s="12" t="str">
        <f>IF(OR(D432="",E432=""),"",IF(IFERROR(INDEX(Stats!$D:$D,MATCH($C432,Stats!$A:$A,0)),FALSE),ROUND(D432+(E432-D432)*(1+G432)*((10-1)/(MaxLevel-1))^(2^F432),0),D432+(E432-D432)*(1+G432)*((10-1)/(MaxLevel-1))^(2^F432)))</f>
        <v/>
      </c>
    </row>
    <row r="433" spans="1:17" x14ac:dyDescent="0.25">
      <c r="A433" s="19" t="s">
        <v>287</v>
      </c>
      <c r="B433" s="4" t="s">
        <v>201</v>
      </c>
      <c r="C433" s="4" t="s">
        <v>50</v>
      </c>
      <c r="D433" s="5"/>
      <c r="E433" s="5"/>
      <c r="F433" s="5"/>
      <c r="G433" s="5"/>
      <c r="H433" s="12" t="str">
        <f>IF(OR(D433="",E433=""),"",IF(IFERROR(INDEX(Stats!$D:$D,MATCH($C433,Stats!$A:$A,0)),FALSE),ROUND(D433+(E433-D433)*(1+G433)*((1-1)/(MaxLevel-1))^(2^F433),0),D433+(E433-D433)*(1+G433)*((1-1)/(MaxLevel-1))^(2^F433)))</f>
        <v/>
      </c>
      <c r="I433" s="12" t="str">
        <f>IF(OR(D433="",E433=""),"",IF(IFERROR(INDEX(Stats!$D:$D,MATCH($C433,Stats!$A:$A,0)),FALSE),ROUND(D433+(E433-D433)*(1+G433)*((2-1)/(MaxLevel-1))^(2^F433),0),D433+(E433-D433)*(1+G433)*((2-1)/(MaxLevel-1))^(2^F433)))</f>
        <v/>
      </c>
      <c r="J433" s="12" t="str">
        <f>IF(OR(D433="",E433=""),"",IF(IFERROR(INDEX(Stats!$D:$D,MATCH($C433,Stats!$A:$A,0)),FALSE),ROUND(D433+(E433-D433)*(1+G433)*((3-1)/(MaxLevel-1))^(2^F433),0),D433+(E433-D433)*(1+G433)*((3-1)/(MaxLevel-1))^(2^F433)))</f>
        <v/>
      </c>
      <c r="K433" s="12" t="str">
        <f>IF(OR(D433="",E433=""),"",IF(IFERROR(INDEX(Stats!$D:$D,MATCH($C433,Stats!$A:$A,0)),FALSE),ROUND(D433+(E433-D433)*(1+G433)*((4-1)/(MaxLevel-1))^(2^F433),0),D433+(E433-D433)*(1+G433)*((4-1)/(MaxLevel-1))^(2^F433)))</f>
        <v/>
      </c>
      <c r="L433" s="12" t="str">
        <f>IF(OR(D433="",E433=""),"",IF(IFERROR(INDEX(Stats!$D:$D,MATCH($C433,Stats!$A:$A,0)),FALSE),ROUND(D433+(E433-D433)*(1+G433)*((5-1)/(MaxLevel-1))^(2^F433),0),D433+(E433-D433)*(1+G433)*((5-1)/(MaxLevel-1))^(2^F433)))</f>
        <v/>
      </c>
      <c r="M433" s="12" t="str">
        <f>IF(OR(D433="",E433=""),"",IF(IFERROR(INDEX(Stats!$D:$D,MATCH($C433,Stats!$A:$A,0)),FALSE),ROUND(D433+(E433-D433)*(1+G433)*((6-1)/(MaxLevel-1))^(2^F433),0),D433+(E433-D433)*(1+G433)*((6-1)/(MaxLevel-1))^(2^F433)))</f>
        <v/>
      </c>
      <c r="N433" s="12" t="str">
        <f>IF(OR(D433="",E433=""),"",IF(IFERROR(INDEX(Stats!$D:$D,MATCH($C433,Stats!$A:$A,0)),FALSE),ROUND(D433+(E433-D433)*(1+G433)*((7-1)/(MaxLevel-1))^(2^F433),0),D433+(E433-D433)*(1+G433)*((7-1)/(MaxLevel-1))^(2^F433)))</f>
        <v/>
      </c>
      <c r="O433" s="12" t="str">
        <f>IF(OR(D433="",E433=""),"",IF(IFERROR(INDEX(Stats!$D:$D,MATCH($C433,Stats!$A:$A,0)),FALSE),ROUND(D433+(E433-D433)*(1+G433)*((8-1)/(MaxLevel-1))^(2^F433),0),D433+(E433-D433)*(1+G433)*((8-1)/(MaxLevel-1))^(2^F433)))</f>
        <v/>
      </c>
      <c r="P433" s="12" t="str">
        <f>IF(OR(D433="",E433=""),"",IF(IFERROR(INDEX(Stats!$D:$D,MATCH($C433,Stats!$A:$A,0)),FALSE),ROUND(D433+(E433-D433)*(1+G433)*((9-1)/(MaxLevel-1))^(2^F433),0),D433+(E433-D433)*(1+G433)*((9-1)/(MaxLevel-1))^(2^F433)))</f>
        <v/>
      </c>
      <c r="Q433" s="12" t="str">
        <f>IF(OR(D433="",E433=""),"",IF(IFERROR(INDEX(Stats!$D:$D,MATCH($C433,Stats!$A:$A,0)),FALSE),ROUND(D433+(E433-D433)*(1+G433)*((10-1)/(MaxLevel-1))^(2^F433),0),D433+(E433-D433)*(1+G433)*((10-1)/(MaxLevel-1))^(2^F433)))</f>
        <v/>
      </c>
    </row>
    <row r="434" spans="1:17" x14ac:dyDescent="0.25">
      <c r="A434" s="19" t="s">
        <v>287</v>
      </c>
      <c r="B434" s="4" t="s">
        <v>201</v>
      </c>
      <c r="C434" s="4" t="s">
        <v>52</v>
      </c>
      <c r="D434" s="5"/>
      <c r="E434" s="5"/>
      <c r="F434" s="5"/>
      <c r="G434" s="5"/>
      <c r="H434" s="12" t="str">
        <f>IF(OR(D434="",E434=""),"",IF(IFERROR(INDEX(Stats!$D:$D,MATCH($C434,Stats!$A:$A,0)),FALSE),ROUND(D434+(E434-D434)*(1+G434)*((1-1)/(MaxLevel-1))^(2^F434),0),D434+(E434-D434)*(1+G434)*((1-1)/(MaxLevel-1))^(2^F434)))</f>
        <v/>
      </c>
      <c r="I434" s="12" t="str">
        <f>IF(OR(D434="",E434=""),"",IF(IFERROR(INDEX(Stats!$D:$D,MATCH($C434,Stats!$A:$A,0)),FALSE),ROUND(D434+(E434-D434)*(1+G434)*((2-1)/(MaxLevel-1))^(2^F434),0),D434+(E434-D434)*(1+G434)*((2-1)/(MaxLevel-1))^(2^F434)))</f>
        <v/>
      </c>
      <c r="J434" s="12" t="str">
        <f>IF(OR(D434="",E434=""),"",IF(IFERROR(INDEX(Stats!$D:$D,MATCH($C434,Stats!$A:$A,0)),FALSE),ROUND(D434+(E434-D434)*(1+G434)*((3-1)/(MaxLevel-1))^(2^F434),0),D434+(E434-D434)*(1+G434)*((3-1)/(MaxLevel-1))^(2^F434)))</f>
        <v/>
      </c>
      <c r="K434" s="12" t="str">
        <f>IF(OR(D434="",E434=""),"",IF(IFERROR(INDEX(Stats!$D:$D,MATCH($C434,Stats!$A:$A,0)),FALSE),ROUND(D434+(E434-D434)*(1+G434)*((4-1)/(MaxLevel-1))^(2^F434),0),D434+(E434-D434)*(1+G434)*((4-1)/(MaxLevel-1))^(2^F434)))</f>
        <v/>
      </c>
      <c r="L434" s="12" t="str">
        <f>IF(OR(D434="",E434=""),"",IF(IFERROR(INDEX(Stats!$D:$D,MATCH($C434,Stats!$A:$A,0)),FALSE),ROUND(D434+(E434-D434)*(1+G434)*((5-1)/(MaxLevel-1))^(2^F434),0),D434+(E434-D434)*(1+G434)*((5-1)/(MaxLevel-1))^(2^F434)))</f>
        <v/>
      </c>
      <c r="M434" s="12" t="str">
        <f>IF(OR(D434="",E434=""),"",IF(IFERROR(INDEX(Stats!$D:$D,MATCH($C434,Stats!$A:$A,0)),FALSE),ROUND(D434+(E434-D434)*(1+G434)*((6-1)/(MaxLevel-1))^(2^F434),0),D434+(E434-D434)*(1+G434)*((6-1)/(MaxLevel-1))^(2^F434)))</f>
        <v/>
      </c>
      <c r="N434" s="12" t="str">
        <f>IF(OR(D434="",E434=""),"",IF(IFERROR(INDEX(Stats!$D:$D,MATCH($C434,Stats!$A:$A,0)),FALSE),ROUND(D434+(E434-D434)*(1+G434)*((7-1)/(MaxLevel-1))^(2^F434),0),D434+(E434-D434)*(1+G434)*((7-1)/(MaxLevel-1))^(2^F434)))</f>
        <v/>
      </c>
      <c r="O434" s="12" t="str">
        <f>IF(OR(D434="",E434=""),"",IF(IFERROR(INDEX(Stats!$D:$D,MATCH($C434,Stats!$A:$A,0)),FALSE),ROUND(D434+(E434-D434)*(1+G434)*((8-1)/(MaxLevel-1))^(2^F434),0),D434+(E434-D434)*(1+G434)*((8-1)/(MaxLevel-1))^(2^F434)))</f>
        <v/>
      </c>
      <c r="P434" s="12" t="str">
        <f>IF(OR(D434="",E434=""),"",IF(IFERROR(INDEX(Stats!$D:$D,MATCH($C434,Stats!$A:$A,0)),FALSE),ROUND(D434+(E434-D434)*(1+G434)*((9-1)/(MaxLevel-1))^(2^F434),0),D434+(E434-D434)*(1+G434)*((9-1)/(MaxLevel-1))^(2^F434)))</f>
        <v/>
      </c>
      <c r="Q434" s="12" t="str">
        <f>IF(OR(D434="",E434=""),"",IF(IFERROR(INDEX(Stats!$D:$D,MATCH($C434,Stats!$A:$A,0)),FALSE),ROUND(D434+(E434-D434)*(1+G434)*((10-1)/(MaxLevel-1))^(2^F434),0),D434+(E434-D434)*(1+G434)*((10-1)/(MaxLevel-1))^(2^F434)))</f>
        <v/>
      </c>
    </row>
    <row r="435" spans="1:17" x14ac:dyDescent="0.25">
      <c r="A435" s="19" t="s">
        <v>287</v>
      </c>
      <c r="B435" s="4" t="s">
        <v>201</v>
      </c>
      <c r="C435" s="4" t="s">
        <v>54</v>
      </c>
      <c r="D435" s="5">
        <v>1</v>
      </c>
      <c r="E435" s="5">
        <v>1.5</v>
      </c>
      <c r="F435" s="5">
        <v>-1</v>
      </c>
      <c r="G435" s="5">
        <v>0</v>
      </c>
      <c r="H435" s="12">
        <f>IF(OR(D435="",E435=""),"",IF(IFERROR(INDEX(Stats!$D:$D,MATCH($C435,Stats!$A:$A,0)),FALSE),ROUND(D435+(E435-D435)*(1+G435)*((1-1)/(MaxLevel-1))^(2^F435),0),D435+(E435-D435)*(1+G435)*((1-1)/(MaxLevel-1))^(2^F435)))</f>
        <v>1</v>
      </c>
      <c r="I435" s="12">
        <f>IF(OR(D435="",E435=""),"",IF(IFERROR(INDEX(Stats!$D:$D,MATCH($C435,Stats!$A:$A,0)),FALSE),ROUND(D435+(E435-D435)*(1+G435)*((2-1)/(MaxLevel-1))^(2^F435),0),D435+(E435-D435)*(1+G435)*((2-1)/(MaxLevel-1))^(2^F435)))</f>
        <v>1.1666666666666667</v>
      </c>
      <c r="J435" s="12">
        <f>IF(OR(D435="",E435=""),"",IF(IFERROR(INDEX(Stats!$D:$D,MATCH($C435,Stats!$A:$A,0)),FALSE),ROUND(D435+(E435-D435)*(1+G435)*((3-1)/(MaxLevel-1))^(2^F435),0),D435+(E435-D435)*(1+G435)*((3-1)/(MaxLevel-1))^(2^F435)))</f>
        <v>1.2357022603955159</v>
      </c>
      <c r="K435" s="12">
        <f>IF(OR(D435="",E435=""),"",IF(IFERROR(INDEX(Stats!$D:$D,MATCH($C435,Stats!$A:$A,0)),FALSE),ROUND(D435+(E435-D435)*(1+G435)*((4-1)/(MaxLevel-1))^(2^F435),0),D435+(E435-D435)*(1+G435)*((4-1)/(MaxLevel-1))^(2^F435)))</f>
        <v>1.2886751345948129</v>
      </c>
      <c r="L435" s="12">
        <f>IF(OR(D435="",E435=""),"",IF(IFERROR(INDEX(Stats!$D:$D,MATCH($C435,Stats!$A:$A,0)),FALSE),ROUND(D435+(E435-D435)*(1+G435)*((5-1)/(MaxLevel-1))^(2^F435),0),D435+(E435-D435)*(1+G435)*((5-1)/(MaxLevel-1))^(2^F435)))</f>
        <v>1.3333333333333333</v>
      </c>
      <c r="M435" s="12">
        <f>IF(OR(D435="",E435=""),"",IF(IFERROR(INDEX(Stats!$D:$D,MATCH($C435,Stats!$A:$A,0)),FALSE),ROUND(D435+(E435-D435)*(1+G435)*((6-1)/(MaxLevel-1))^(2^F435),0),D435+(E435-D435)*(1+G435)*((6-1)/(MaxLevel-1))^(2^F435)))</f>
        <v>1.3726779962499649</v>
      </c>
      <c r="N435" s="12">
        <f>IF(OR(D435="",E435=""),"",IF(IFERROR(INDEX(Stats!$D:$D,MATCH($C435,Stats!$A:$A,0)),FALSE),ROUND(D435+(E435-D435)*(1+G435)*((7-1)/(MaxLevel-1))^(2^F435),0),D435+(E435-D435)*(1+G435)*((7-1)/(MaxLevel-1))^(2^F435)))</f>
        <v>1.4082482904638631</v>
      </c>
      <c r="O435" s="12">
        <f>IF(OR(D435="",E435=""),"",IF(IFERROR(INDEX(Stats!$D:$D,MATCH($C435,Stats!$A:$A,0)),FALSE),ROUND(D435+(E435-D435)*(1+G435)*((8-1)/(MaxLevel-1))^(2^F435),0),D435+(E435-D435)*(1+G435)*((8-1)/(MaxLevel-1))^(2^F435)))</f>
        <v>1.4409585518440984</v>
      </c>
      <c r="P435" s="12">
        <f>IF(OR(D435="",E435=""),"",IF(IFERROR(INDEX(Stats!$D:$D,MATCH($C435,Stats!$A:$A,0)),FALSE),ROUND(D435+(E435-D435)*(1+G435)*((9-1)/(MaxLevel-1))^(2^F435),0),D435+(E435-D435)*(1+G435)*((9-1)/(MaxLevel-1))^(2^F435)))</f>
        <v>1.4714045207910318</v>
      </c>
      <c r="Q435" s="12">
        <f>IF(OR(D435="",E435=""),"",IF(IFERROR(INDEX(Stats!$D:$D,MATCH($C435,Stats!$A:$A,0)),FALSE),ROUND(D435+(E435-D435)*(1+G435)*((10-1)/(MaxLevel-1))^(2^F435),0),D435+(E435-D435)*(1+G435)*((10-1)/(MaxLevel-1))^(2^F435)))</f>
        <v>1.5</v>
      </c>
    </row>
    <row r="436" spans="1:17" x14ac:dyDescent="0.25">
      <c r="A436" s="19" t="s">
        <v>287</v>
      </c>
      <c r="B436" s="4" t="s">
        <v>201</v>
      </c>
      <c r="C436" s="4" t="s">
        <v>56</v>
      </c>
      <c r="D436" s="5"/>
      <c r="E436" s="5"/>
      <c r="F436" s="5"/>
      <c r="G436" s="5"/>
      <c r="H436" s="12" t="str">
        <f>IF(OR(D436="",E436=""),"",IF(IFERROR(INDEX(Stats!$D:$D,MATCH($C436,Stats!$A:$A,0)),FALSE),ROUND(D436+(E436-D436)*(1+G436)*((1-1)/(MaxLevel-1))^(2^F436),0),D436+(E436-D436)*(1+G436)*((1-1)/(MaxLevel-1))^(2^F436)))</f>
        <v/>
      </c>
      <c r="I436" s="12" t="str">
        <f>IF(OR(D436="",E436=""),"",IF(IFERROR(INDEX(Stats!$D:$D,MATCH($C436,Stats!$A:$A,0)),FALSE),ROUND(D436+(E436-D436)*(1+G436)*((2-1)/(MaxLevel-1))^(2^F436),0),D436+(E436-D436)*(1+G436)*((2-1)/(MaxLevel-1))^(2^F436)))</f>
        <v/>
      </c>
      <c r="J436" s="12" t="str">
        <f>IF(OR(D436="",E436=""),"",IF(IFERROR(INDEX(Stats!$D:$D,MATCH($C436,Stats!$A:$A,0)),FALSE),ROUND(D436+(E436-D436)*(1+G436)*((3-1)/(MaxLevel-1))^(2^F436),0),D436+(E436-D436)*(1+G436)*((3-1)/(MaxLevel-1))^(2^F436)))</f>
        <v/>
      </c>
      <c r="K436" s="12" t="str">
        <f>IF(OR(D436="",E436=""),"",IF(IFERROR(INDEX(Stats!$D:$D,MATCH($C436,Stats!$A:$A,0)),FALSE),ROUND(D436+(E436-D436)*(1+G436)*((4-1)/(MaxLevel-1))^(2^F436),0),D436+(E436-D436)*(1+G436)*((4-1)/(MaxLevel-1))^(2^F436)))</f>
        <v/>
      </c>
      <c r="L436" s="12" t="str">
        <f>IF(OR(D436="",E436=""),"",IF(IFERROR(INDEX(Stats!$D:$D,MATCH($C436,Stats!$A:$A,0)),FALSE),ROUND(D436+(E436-D436)*(1+G436)*((5-1)/(MaxLevel-1))^(2^F436),0),D436+(E436-D436)*(1+G436)*((5-1)/(MaxLevel-1))^(2^F436)))</f>
        <v/>
      </c>
      <c r="M436" s="12" t="str">
        <f>IF(OR(D436="",E436=""),"",IF(IFERROR(INDEX(Stats!$D:$D,MATCH($C436,Stats!$A:$A,0)),FALSE),ROUND(D436+(E436-D436)*(1+G436)*((6-1)/(MaxLevel-1))^(2^F436),0),D436+(E436-D436)*(1+G436)*((6-1)/(MaxLevel-1))^(2^F436)))</f>
        <v/>
      </c>
      <c r="N436" s="12" t="str">
        <f>IF(OR(D436="",E436=""),"",IF(IFERROR(INDEX(Stats!$D:$D,MATCH($C436,Stats!$A:$A,0)),FALSE),ROUND(D436+(E436-D436)*(1+G436)*((7-1)/(MaxLevel-1))^(2^F436),0),D436+(E436-D436)*(1+G436)*((7-1)/(MaxLevel-1))^(2^F436)))</f>
        <v/>
      </c>
      <c r="O436" s="12" t="str">
        <f>IF(OR(D436="",E436=""),"",IF(IFERROR(INDEX(Stats!$D:$D,MATCH($C436,Stats!$A:$A,0)),FALSE),ROUND(D436+(E436-D436)*(1+G436)*((8-1)/(MaxLevel-1))^(2^F436),0),D436+(E436-D436)*(1+G436)*((8-1)/(MaxLevel-1))^(2^F436)))</f>
        <v/>
      </c>
      <c r="P436" s="12" t="str">
        <f>IF(OR(D436="",E436=""),"",IF(IFERROR(INDEX(Stats!$D:$D,MATCH($C436,Stats!$A:$A,0)),FALSE),ROUND(D436+(E436-D436)*(1+G436)*((9-1)/(MaxLevel-1))^(2^F436),0),D436+(E436-D436)*(1+G436)*((9-1)/(MaxLevel-1))^(2^F436)))</f>
        <v/>
      </c>
      <c r="Q436" s="12" t="str">
        <f>IF(OR(D436="",E436=""),"",IF(IFERROR(INDEX(Stats!$D:$D,MATCH($C436,Stats!$A:$A,0)),FALSE),ROUND(D436+(E436-D436)*(1+G436)*((10-1)/(MaxLevel-1))^(2^F436),0),D436+(E436-D436)*(1+G436)*((10-1)/(MaxLevel-1))^(2^F436)))</f>
        <v/>
      </c>
    </row>
    <row r="437" spans="1:17" x14ac:dyDescent="0.25">
      <c r="A437" s="19" t="s">
        <v>287</v>
      </c>
      <c r="B437" s="4" t="s">
        <v>201</v>
      </c>
      <c r="C437" s="4" t="s">
        <v>58</v>
      </c>
      <c r="D437" s="5"/>
      <c r="E437" s="5"/>
      <c r="F437" s="5"/>
      <c r="G437" s="5"/>
      <c r="H437" s="12" t="str">
        <f>IF(OR(D437="",E437=""),"",IF(IFERROR(INDEX(Stats!$D:$D,MATCH($C437,Stats!$A:$A,0)),FALSE),ROUND(D437+(E437-D437)*(1+G437)*((1-1)/(MaxLevel-1))^(2^F437),0),D437+(E437-D437)*(1+G437)*((1-1)/(MaxLevel-1))^(2^F437)))</f>
        <v/>
      </c>
      <c r="I437" s="12" t="str">
        <f>IF(OR(D437="",E437=""),"",IF(IFERROR(INDEX(Stats!$D:$D,MATCH($C437,Stats!$A:$A,0)),FALSE),ROUND(D437+(E437-D437)*(1+G437)*((2-1)/(MaxLevel-1))^(2^F437),0),D437+(E437-D437)*(1+G437)*((2-1)/(MaxLevel-1))^(2^F437)))</f>
        <v/>
      </c>
      <c r="J437" s="12" t="str">
        <f>IF(OR(D437="",E437=""),"",IF(IFERROR(INDEX(Stats!$D:$D,MATCH($C437,Stats!$A:$A,0)),FALSE),ROUND(D437+(E437-D437)*(1+G437)*((3-1)/(MaxLevel-1))^(2^F437),0),D437+(E437-D437)*(1+G437)*((3-1)/(MaxLevel-1))^(2^F437)))</f>
        <v/>
      </c>
      <c r="K437" s="12" t="str">
        <f>IF(OR(D437="",E437=""),"",IF(IFERROR(INDEX(Stats!$D:$D,MATCH($C437,Stats!$A:$A,0)),FALSE),ROUND(D437+(E437-D437)*(1+G437)*((4-1)/(MaxLevel-1))^(2^F437),0),D437+(E437-D437)*(1+G437)*((4-1)/(MaxLevel-1))^(2^F437)))</f>
        <v/>
      </c>
      <c r="L437" s="12" t="str">
        <f>IF(OR(D437="",E437=""),"",IF(IFERROR(INDEX(Stats!$D:$D,MATCH($C437,Stats!$A:$A,0)),FALSE),ROUND(D437+(E437-D437)*(1+G437)*((5-1)/(MaxLevel-1))^(2^F437),0),D437+(E437-D437)*(1+G437)*((5-1)/(MaxLevel-1))^(2^F437)))</f>
        <v/>
      </c>
      <c r="M437" s="12" t="str">
        <f>IF(OR(D437="",E437=""),"",IF(IFERROR(INDEX(Stats!$D:$D,MATCH($C437,Stats!$A:$A,0)),FALSE),ROUND(D437+(E437-D437)*(1+G437)*((6-1)/(MaxLevel-1))^(2^F437),0),D437+(E437-D437)*(1+G437)*((6-1)/(MaxLevel-1))^(2^F437)))</f>
        <v/>
      </c>
      <c r="N437" s="12" t="str">
        <f>IF(OR(D437="",E437=""),"",IF(IFERROR(INDEX(Stats!$D:$D,MATCH($C437,Stats!$A:$A,0)),FALSE),ROUND(D437+(E437-D437)*(1+G437)*((7-1)/(MaxLevel-1))^(2^F437),0),D437+(E437-D437)*(1+G437)*((7-1)/(MaxLevel-1))^(2^F437)))</f>
        <v/>
      </c>
      <c r="O437" s="12" t="str">
        <f>IF(OR(D437="",E437=""),"",IF(IFERROR(INDEX(Stats!$D:$D,MATCH($C437,Stats!$A:$A,0)),FALSE),ROUND(D437+(E437-D437)*(1+G437)*((8-1)/(MaxLevel-1))^(2^F437),0),D437+(E437-D437)*(1+G437)*((8-1)/(MaxLevel-1))^(2^F437)))</f>
        <v/>
      </c>
      <c r="P437" s="12" t="str">
        <f>IF(OR(D437="",E437=""),"",IF(IFERROR(INDEX(Stats!$D:$D,MATCH($C437,Stats!$A:$A,0)),FALSE),ROUND(D437+(E437-D437)*(1+G437)*((9-1)/(MaxLevel-1))^(2^F437),0),D437+(E437-D437)*(1+G437)*((9-1)/(MaxLevel-1))^(2^F437)))</f>
        <v/>
      </c>
      <c r="Q437" s="12" t="str">
        <f>IF(OR(D437="",E437=""),"",IF(IFERROR(INDEX(Stats!$D:$D,MATCH($C437,Stats!$A:$A,0)),FALSE),ROUND(D437+(E437-D437)*(1+G437)*((10-1)/(MaxLevel-1))^(2^F437),0),D437+(E437-D437)*(1+G437)*((10-1)/(MaxLevel-1))^(2^F437)))</f>
        <v/>
      </c>
    </row>
    <row r="438" spans="1:17" x14ac:dyDescent="0.25">
      <c r="A438" s="19" t="s">
        <v>287</v>
      </c>
      <c r="B438" s="4" t="s">
        <v>201</v>
      </c>
      <c r="C438" s="4" t="s">
        <v>60</v>
      </c>
      <c r="D438" s="5"/>
      <c r="E438" s="5"/>
      <c r="F438" s="5"/>
      <c r="G438" s="5"/>
      <c r="H438" s="12" t="str">
        <f>IF(OR(D438="",E438=""),"",IF(IFERROR(INDEX(Stats!$D:$D,MATCH($C438,Stats!$A:$A,0)),FALSE),ROUND(D438+(E438-D438)*(1+G438)*((1-1)/(MaxLevel-1))^(2^F438),0),D438+(E438-D438)*(1+G438)*((1-1)/(MaxLevel-1))^(2^F438)))</f>
        <v/>
      </c>
      <c r="I438" s="12" t="str">
        <f>IF(OR(D438="",E438=""),"",IF(IFERROR(INDEX(Stats!$D:$D,MATCH($C438,Stats!$A:$A,0)),FALSE),ROUND(D438+(E438-D438)*(1+G438)*((2-1)/(MaxLevel-1))^(2^F438),0),D438+(E438-D438)*(1+G438)*((2-1)/(MaxLevel-1))^(2^F438)))</f>
        <v/>
      </c>
      <c r="J438" s="12" t="str">
        <f>IF(OR(D438="",E438=""),"",IF(IFERROR(INDEX(Stats!$D:$D,MATCH($C438,Stats!$A:$A,0)),FALSE),ROUND(D438+(E438-D438)*(1+G438)*((3-1)/(MaxLevel-1))^(2^F438),0),D438+(E438-D438)*(1+G438)*((3-1)/(MaxLevel-1))^(2^F438)))</f>
        <v/>
      </c>
      <c r="K438" s="12" t="str">
        <f>IF(OR(D438="",E438=""),"",IF(IFERROR(INDEX(Stats!$D:$D,MATCH($C438,Stats!$A:$A,0)),FALSE),ROUND(D438+(E438-D438)*(1+G438)*((4-1)/(MaxLevel-1))^(2^F438),0),D438+(E438-D438)*(1+G438)*((4-1)/(MaxLevel-1))^(2^F438)))</f>
        <v/>
      </c>
      <c r="L438" s="12" t="str">
        <f>IF(OR(D438="",E438=""),"",IF(IFERROR(INDEX(Stats!$D:$D,MATCH($C438,Stats!$A:$A,0)),FALSE),ROUND(D438+(E438-D438)*(1+G438)*((5-1)/(MaxLevel-1))^(2^F438),0),D438+(E438-D438)*(1+G438)*((5-1)/(MaxLevel-1))^(2^F438)))</f>
        <v/>
      </c>
      <c r="M438" s="12" t="str">
        <f>IF(OR(D438="",E438=""),"",IF(IFERROR(INDEX(Stats!$D:$D,MATCH($C438,Stats!$A:$A,0)),FALSE),ROUND(D438+(E438-D438)*(1+G438)*((6-1)/(MaxLevel-1))^(2^F438),0),D438+(E438-D438)*(1+G438)*((6-1)/(MaxLevel-1))^(2^F438)))</f>
        <v/>
      </c>
      <c r="N438" s="12" t="str">
        <f>IF(OR(D438="",E438=""),"",IF(IFERROR(INDEX(Stats!$D:$D,MATCH($C438,Stats!$A:$A,0)),FALSE),ROUND(D438+(E438-D438)*(1+G438)*((7-1)/(MaxLevel-1))^(2^F438),0),D438+(E438-D438)*(1+G438)*((7-1)/(MaxLevel-1))^(2^F438)))</f>
        <v/>
      </c>
      <c r="O438" s="12" t="str">
        <f>IF(OR(D438="",E438=""),"",IF(IFERROR(INDEX(Stats!$D:$D,MATCH($C438,Stats!$A:$A,0)),FALSE),ROUND(D438+(E438-D438)*(1+G438)*((8-1)/(MaxLevel-1))^(2^F438),0),D438+(E438-D438)*(1+G438)*((8-1)/(MaxLevel-1))^(2^F438)))</f>
        <v/>
      </c>
      <c r="P438" s="12" t="str">
        <f>IF(OR(D438="",E438=""),"",IF(IFERROR(INDEX(Stats!$D:$D,MATCH($C438,Stats!$A:$A,0)),FALSE),ROUND(D438+(E438-D438)*(1+G438)*((9-1)/(MaxLevel-1))^(2^F438),0),D438+(E438-D438)*(1+G438)*((9-1)/(MaxLevel-1))^(2^F438)))</f>
        <v/>
      </c>
      <c r="Q438" s="12" t="str">
        <f>IF(OR(D438="",E438=""),"",IF(IFERROR(INDEX(Stats!$D:$D,MATCH($C438,Stats!$A:$A,0)),FALSE),ROUND(D438+(E438-D438)*(1+G438)*((10-1)/(MaxLevel-1))^(2^F438),0),D438+(E438-D438)*(1+G438)*((10-1)/(MaxLevel-1))^(2^F438)))</f>
        <v/>
      </c>
    </row>
    <row r="439" spans="1:17" x14ac:dyDescent="0.25">
      <c r="A439" s="19" t="s">
        <v>287</v>
      </c>
      <c r="B439" s="19" t="s">
        <v>237</v>
      </c>
      <c r="C439" s="4" t="s">
        <v>24</v>
      </c>
      <c r="D439" s="5">
        <v>0</v>
      </c>
      <c r="E439" s="5">
        <v>20000</v>
      </c>
      <c r="F439" s="5">
        <v>1</v>
      </c>
      <c r="G439" s="5">
        <v>0</v>
      </c>
      <c r="H439" s="12">
        <f>IF(OR(D439="",E439=""),"",IF(IFERROR(INDEX(Stats!$D:$D,MATCH($C439,Stats!$A:$A,0)),FALSE),ROUND(D439+(E439-D439)*(1+G439)*((1-1)/(MaxLevel-1))^(2^F439),0),D439+(E439-D439)*(1+G439)*((1-1)/(MaxLevel-1))^(2^F439)))</f>
        <v>0</v>
      </c>
      <c r="I439" s="12">
        <f>IF(OR(D439="",E439=""),"",IF(IFERROR(INDEX(Stats!$D:$D,MATCH($C439,Stats!$A:$A,0)),FALSE),ROUND(D439+(E439-D439)*(1+G439)*((2-1)/(MaxLevel-1))^(2^F439),0),D439+(E439-D439)*(1+G439)*((2-1)/(MaxLevel-1))^(2^F439)))</f>
        <v>247</v>
      </c>
      <c r="J439" s="12">
        <f>IF(OR(D439="",E439=""),"",IF(IFERROR(INDEX(Stats!$D:$D,MATCH($C439,Stats!$A:$A,0)),FALSE),ROUND(D439+(E439-D439)*(1+G439)*((3-1)/(MaxLevel-1))^(2^F439),0),D439+(E439-D439)*(1+G439)*((3-1)/(MaxLevel-1))^(2^F439)))</f>
        <v>988</v>
      </c>
      <c r="K439" s="12">
        <f>IF(OR(D439="",E439=""),"",IF(IFERROR(INDEX(Stats!$D:$D,MATCH($C439,Stats!$A:$A,0)),FALSE),ROUND(D439+(E439-D439)*(1+G439)*((4-1)/(MaxLevel-1))^(2^F439),0),D439+(E439-D439)*(1+G439)*((4-1)/(MaxLevel-1))^(2^F439)))</f>
        <v>2222</v>
      </c>
      <c r="L439" s="12">
        <f>IF(OR(D439="",E439=""),"",IF(IFERROR(INDEX(Stats!$D:$D,MATCH($C439,Stats!$A:$A,0)),FALSE),ROUND(D439+(E439-D439)*(1+G439)*((5-1)/(MaxLevel-1))^(2^F439),0),D439+(E439-D439)*(1+G439)*((5-1)/(MaxLevel-1))^(2^F439)))</f>
        <v>3951</v>
      </c>
      <c r="M439" s="12">
        <f>IF(OR(D439="",E439=""),"",IF(IFERROR(INDEX(Stats!$D:$D,MATCH($C439,Stats!$A:$A,0)),FALSE),ROUND(D439+(E439-D439)*(1+G439)*((6-1)/(MaxLevel-1))^(2^F439),0),D439+(E439-D439)*(1+G439)*((6-1)/(MaxLevel-1))^(2^F439)))</f>
        <v>6173</v>
      </c>
      <c r="N439" s="12">
        <f>IF(OR(D439="",E439=""),"",IF(IFERROR(INDEX(Stats!$D:$D,MATCH($C439,Stats!$A:$A,0)),FALSE),ROUND(D439+(E439-D439)*(1+G439)*((7-1)/(MaxLevel-1))^(2^F439),0),D439+(E439-D439)*(1+G439)*((7-1)/(MaxLevel-1))^(2^F439)))</f>
        <v>8889</v>
      </c>
      <c r="O439" s="12">
        <f>IF(OR(D439="",E439=""),"",IF(IFERROR(INDEX(Stats!$D:$D,MATCH($C439,Stats!$A:$A,0)),FALSE),ROUND(D439+(E439-D439)*(1+G439)*((8-1)/(MaxLevel-1))^(2^F439),0),D439+(E439-D439)*(1+G439)*((8-1)/(MaxLevel-1))^(2^F439)))</f>
        <v>12099</v>
      </c>
      <c r="P439" s="12">
        <f>IF(OR(D439="",E439=""),"",IF(IFERROR(INDEX(Stats!$D:$D,MATCH($C439,Stats!$A:$A,0)),FALSE),ROUND(D439+(E439-D439)*(1+G439)*((9-1)/(MaxLevel-1))^(2^F439),0),D439+(E439-D439)*(1+G439)*((9-1)/(MaxLevel-1))^(2^F439)))</f>
        <v>15802</v>
      </c>
      <c r="Q439" s="12">
        <f>IF(OR(D439="",E439=""),"",IF(IFERROR(INDEX(Stats!$D:$D,MATCH($C439,Stats!$A:$A,0)),FALSE),ROUND(D439+(E439-D439)*(1+G439)*((10-1)/(MaxLevel-1))^(2^F439),0),D439+(E439-D439)*(1+G439)*((10-1)/(MaxLevel-1))^(2^F439)))</f>
        <v>20000</v>
      </c>
    </row>
    <row r="440" spans="1:17" x14ac:dyDescent="0.25">
      <c r="A440" s="19" t="s">
        <v>287</v>
      </c>
      <c r="B440" s="19" t="s">
        <v>237</v>
      </c>
      <c r="C440" s="4" t="s">
        <v>26</v>
      </c>
      <c r="D440" s="5">
        <v>50</v>
      </c>
      <c r="E440" s="5">
        <v>300</v>
      </c>
      <c r="F440" s="5">
        <v>0</v>
      </c>
      <c r="G440" s="5">
        <v>0</v>
      </c>
      <c r="H440" s="12">
        <f>IF(OR(D440="",E440=""),"",IF(IFERROR(INDEX(Stats!$D:$D,MATCH($C440,Stats!$A:$A,0)),FALSE),ROUND(D440+(E440-D440)*(1+G440)*((1-1)/(MaxLevel-1))^(2^F440),0),D440+(E440-D440)*(1+G440)*((1-1)/(MaxLevel-1))^(2^F440)))</f>
        <v>50</v>
      </c>
      <c r="I440" s="12">
        <f>IF(OR(D440="",E440=""),"",IF(IFERROR(INDEX(Stats!$D:$D,MATCH($C440,Stats!$A:$A,0)),FALSE),ROUND(D440+(E440-D440)*(1+G440)*((2-1)/(MaxLevel-1))^(2^F440),0),D440+(E440-D440)*(1+G440)*((2-1)/(MaxLevel-1))^(2^F440)))</f>
        <v>78</v>
      </c>
      <c r="J440" s="12">
        <f>IF(OR(D440="",E440=""),"",IF(IFERROR(INDEX(Stats!$D:$D,MATCH($C440,Stats!$A:$A,0)),FALSE),ROUND(D440+(E440-D440)*(1+G440)*((3-1)/(MaxLevel-1))^(2^F440),0),D440+(E440-D440)*(1+G440)*((3-1)/(MaxLevel-1))^(2^F440)))</f>
        <v>106</v>
      </c>
      <c r="K440" s="12">
        <f>IF(OR(D440="",E440=""),"",IF(IFERROR(INDEX(Stats!$D:$D,MATCH($C440,Stats!$A:$A,0)),FALSE),ROUND(D440+(E440-D440)*(1+G440)*((4-1)/(MaxLevel-1))^(2^F440),0),D440+(E440-D440)*(1+G440)*((4-1)/(MaxLevel-1))^(2^F440)))</f>
        <v>133</v>
      </c>
      <c r="L440" s="12">
        <f>IF(OR(D440="",E440=""),"",IF(IFERROR(INDEX(Stats!$D:$D,MATCH($C440,Stats!$A:$A,0)),FALSE),ROUND(D440+(E440-D440)*(1+G440)*((5-1)/(MaxLevel-1))^(2^F440),0),D440+(E440-D440)*(1+G440)*((5-1)/(MaxLevel-1))^(2^F440)))</f>
        <v>161</v>
      </c>
      <c r="M440" s="12">
        <f>IF(OR(D440="",E440=""),"",IF(IFERROR(INDEX(Stats!$D:$D,MATCH($C440,Stats!$A:$A,0)),FALSE),ROUND(D440+(E440-D440)*(1+G440)*((6-1)/(MaxLevel-1))^(2^F440),0),D440+(E440-D440)*(1+G440)*((6-1)/(MaxLevel-1))^(2^F440)))</f>
        <v>189</v>
      </c>
      <c r="N440" s="12">
        <f>IF(OR(D440="",E440=""),"",IF(IFERROR(INDEX(Stats!$D:$D,MATCH($C440,Stats!$A:$A,0)),FALSE),ROUND(D440+(E440-D440)*(1+G440)*((7-1)/(MaxLevel-1))^(2^F440),0),D440+(E440-D440)*(1+G440)*((7-1)/(MaxLevel-1))^(2^F440)))</f>
        <v>217</v>
      </c>
      <c r="O440" s="12">
        <f>IF(OR(D440="",E440=""),"",IF(IFERROR(INDEX(Stats!$D:$D,MATCH($C440,Stats!$A:$A,0)),FALSE),ROUND(D440+(E440-D440)*(1+G440)*((8-1)/(MaxLevel-1))^(2^F440),0),D440+(E440-D440)*(1+G440)*((8-1)/(MaxLevel-1))^(2^F440)))</f>
        <v>244</v>
      </c>
      <c r="P440" s="12">
        <f>IF(OR(D440="",E440=""),"",IF(IFERROR(INDEX(Stats!$D:$D,MATCH($C440,Stats!$A:$A,0)),FALSE),ROUND(D440+(E440-D440)*(1+G440)*((9-1)/(MaxLevel-1))^(2^F440),0),D440+(E440-D440)*(1+G440)*((9-1)/(MaxLevel-1))^(2^F440)))</f>
        <v>272</v>
      </c>
      <c r="Q440" s="12">
        <f>IF(OR(D440="",E440=""),"",IF(IFERROR(INDEX(Stats!$D:$D,MATCH($C440,Stats!$A:$A,0)),FALSE),ROUND(D440+(E440-D440)*(1+G440)*((10-1)/(MaxLevel-1))^(2^F440),0),D440+(E440-D440)*(1+G440)*((10-1)/(MaxLevel-1))^(2^F440)))</f>
        <v>300</v>
      </c>
    </row>
    <row r="441" spans="1:17" x14ac:dyDescent="0.25">
      <c r="A441" s="19" t="s">
        <v>287</v>
      </c>
      <c r="B441" s="19" t="s">
        <v>237</v>
      </c>
      <c r="C441" s="4" t="s">
        <v>28</v>
      </c>
      <c r="D441" s="5">
        <v>400</v>
      </c>
      <c r="E441" s="5">
        <v>1600</v>
      </c>
      <c r="F441" s="5">
        <v>0</v>
      </c>
      <c r="G441" s="5">
        <v>0</v>
      </c>
      <c r="H441" s="12">
        <f>IF(OR(D441="",E441=""),"",IF(IFERROR(INDEX(Stats!$D:$D,MATCH($C441,Stats!$A:$A,0)),FALSE),ROUND(D441+(E441-D441)*(1+G441)*((1-1)/(MaxLevel-1))^(2^F441),0),D441+(E441-D441)*(1+G441)*((1-1)/(MaxLevel-1))^(2^F441)))</f>
        <v>400</v>
      </c>
      <c r="I441" s="12">
        <f>IF(OR(D441="",E441=""),"",IF(IFERROR(INDEX(Stats!$D:$D,MATCH($C441,Stats!$A:$A,0)),FALSE),ROUND(D441+(E441-D441)*(1+G441)*((2-1)/(MaxLevel-1))^(2^F441),0),D441+(E441-D441)*(1+G441)*((2-1)/(MaxLevel-1))^(2^F441)))</f>
        <v>533</v>
      </c>
      <c r="J441" s="12">
        <f>IF(OR(D441="",E441=""),"",IF(IFERROR(INDEX(Stats!$D:$D,MATCH($C441,Stats!$A:$A,0)),FALSE),ROUND(D441+(E441-D441)*(1+G441)*((3-1)/(MaxLevel-1))^(2^F441),0),D441+(E441-D441)*(1+G441)*((3-1)/(MaxLevel-1))^(2^F441)))</f>
        <v>667</v>
      </c>
      <c r="K441" s="12">
        <f>IF(OR(D441="",E441=""),"",IF(IFERROR(INDEX(Stats!$D:$D,MATCH($C441,Stats!$A:$A,0)),FALSE),ROUND(D441+(E441-D441)*(1+G441)*((4-1)/(MaxLevel-1))^(2^F441),0),D441+(E441-D441)*(1+G441)*((4-1)/(MaxLevel-1))^(2^F441)))</f>
        <v>800</v>
      </c>
      <c r="L441" s="12">
        <f>IF(OR(D441="",E441=""),"",IF(IFERROR(INDEX(Stats!$D:$D,MATCH($C441,Stats!$A:$A,0)),FALSE),ROUND(D441+(E441-D441)*(1+G441)*((5-1)/(MaxLevel-1))^(2^F441),0),D441+(E441-D441)*(1+G441)*((5-1)/(MaxLevel-1))^(2^F441)))</f>
        <v>933</v>
      </c>
      <c r="M441" s="12">
        <f>IF(OR(D441="",E441=""),"",IF(IFERROR(INDEX(Stats!$D:$D,MATCH($C441,Stats!$A:$A,0)),FALSE),ROUND(D441+(E441-D441)*(1+G441)*((6-1)/(MaxLevel-1))^(2^F441),0),D441+(E441-D441)*(1+G441)*((6-1)/(MaxLevel-1))^(2^F441)))</f>
        <v>1067</v>
      </c>
      <c r="N441" s="12">
        <f>IF(OR(D441="",E441=""),"",IF(IFERROR(INDEX(Stats!$D:$D,MATCH($C441,Stats!$A:$A,0)),FALSE),ROUND(D441+(E441-D441)*(1+G441)*((7-1)/(MaxLevel-1))^(2^F441),0),D441+(E441-D441)*(1+G441)*((7-1)/(MaxLevel-1))^(2^F441)))</f>
        <v>1200</v>
      </c>
      <c r="O441" s="12">
        <f>IF(OR(D441="",E441=""),"",IF(IFERROR(INDEX(Stats!$D:$D,MATCH($C441,Stats!$A:$A,0)),FALSE),ROUND(D441+(E441-D441)*(1+G441)*((8-1)/(MaxLevel-1))^(2^F441),0),D441+(E441-D441)*(1+G441)*((8-1)/(MaxLevel-1))^(2^F441)))</f>
        <v>1333</v>
      </c>
      <c r="P441" s="12">
        <f>IF(OR(D441="",E441=""),"",IF(IFERROR(INDEX(Stats!$D:$D,MATCH($C441,Stats!$A:$A,0)),FALSE),ROUND(D441+(E441-D441)*(1+G441)*((9-1)/(MaxLevel-1))^(2^F441),0),D441+(E441-D441)*(1+G441)*((9-1)/(MaxLevel-1))^(2^F441)))</f>
        <v>1467</v>
      </c>
      <c r="Q441" s="12">
        <f>IF(OR(D441="",E441=""),"",IF(IFERROR(INDEX(Stats!$D:$D,MATCH($C441,Stats!$A:$A,0)),FALSE),ROUND(D441+(E441-D441)*(1+G441)*((10-1)/(MaxLevel-1))^(2^F441),0),D441+(E441-D441)*(1+G441)*((10-1)/(MaxLevel-1))^(2^F441)))</f>
        <v>1600</v>
      </c>
    </row>
    <row r="442" spans="1:17" x14ac:dyDescent="0.25">
      <c r="A442" s="19" t="s">
        <v>287</v>
      </c>
      <c r="B442" s="19" t="s">
        <v>237</v>
      </c>
      <c r="C442" s="4" t="s">
        <v>30</v>
      </c>
      <c r="D442" s="5">
        <v>30</v>
      </c>
      <c r="E442" s="5">
        <v>120</v>
      </c>
      <c r="F442" s="5">
        <v>0</v>
      </c>
      <c r="G442" s="5">
        <v>0</v>
      </c>
      <c r="H442" s="12">
        <f>IF(OR(D442="",E442=""),"",IF(IFERROR(INDEX(Stats!$D:$D,MATCH($C442,Stats!$A:$A,0)),FALSE),ROUND(D442+(E442-D442)*(1+G442)*((1-1)/(MaxLevel-1))^(2^F442),0),D442+(E442-D442)*(1+G442)*((1-1)/(MaxLevel-1))^(2^F442)))</f>
        <v>30</v>
      </c>
      <c r="I442" s="12">
        <f>IF(OR(D442="",E442=""),"",IF(IFERROR(INDEX(Stats!$D:$D,MATCH($C442,Stats!$A:$A,0)),FALSE),ROUND(D442+(E442-D442)*(1+G442)*((2-1)/(MaxLevel-1))^(2^F442),0),D442+(E442-D442)*(1+G442)*((2-1)/(MaxLevel-1))^(2^F442)))</f>
        <v>40</v>
      </c>
      <c r="J442" s="12">
        <f>IF(OR(D442="",E442=""),"",IF(IFERROR(INDEX(Stats!$D:$D,MATCH($C442,Stats!$A:$A,0)),FALSE),ROUND(D442+(E442-D442)*(1+G442)*((3-1)/(MaxLevel-1))^(2^F442),0),D442+(E442-D442)*(1+G442)*((3-1)/(MaxLevel-1))^(2^F442)))</f>
        <v>50</v>
      </c>
      <c r="K442" s="12">
        <f>IF(OR(D442="",E442=""),"",IF(IFERROR(INDEX(Stats!$D:$D,MATCH($C442,Stats!$A:$A,0)),FALSE),ROUND(D442+(E442-D442)*(1+G442)*((4-1)/(MaxLevel-1))^(2^F442),0),D442+(E442-D442)*(1+G442)*((4-1)/(MaxLevel-1))^(2^F442)))</f>
        <v>60</v>
      </c>
      <c r="L442" s="12">
        <f>IF(OR(D442="",E442=""),"",IF(IFERROR(INDEX(Stats!$D:$D,MATCH($C442,Stats!$A:$A,0)),FALSE),ROUND(D442+(E442-D442)*(1+G442)*((5-1)/(MaxLevel-1))^(2^F442),0),D442+(E442-D442)*(1+G442)*((5-1)/(MaxLevel-1))^(2^F442)))</f>
        <v>70</v>
      </c>
      <c r="M442" s="12">
        <f>IF(OR(D442="",E442=""),"",IF(IFERROR(INDEX(Stats!$D:$D,MATCH($C442,Stats!$A:$A,0)),FALSE),ROUND(D442+(E442-D442)*(1+G442)*((6-1)/(MaxLevel-1))^(2^F442),0),D442+(E442-D442)*(1+G442)*((6-1)/(MaxLevel-1))^(2^F442)))</f>
        <v>80</v>
      </c>
      <c r="N442" s="12">
        <f>IF(OR(D442="",E442=""),"",IF(IFERROR(INDEX(Stats!$D:$D,MATCH($C442,Stats!$A:$A,0)),FALSE),ROUND(D442+(E442-D442)*(1+G442)*((7-1)/(MaxLevel-1))^(2^F442),0),D442+(E442-D442)*(1+G442)*((7-1)/(MaxLevel-1))^(2^F442)))</f>
        <v>90</v>
      </c>
      <c r="O442" s="12">
        <f>IF(OR(D442="",E442=""),"",IF(IFERROR(INDEX(Stats!$D:$D,MATCH($C442,Stats!$A:$A,0)),FALSE),ROUND(D442+(E442-D442)*(1+G442)*((8-1)/(MaxLevel-1))^(2^F442),0),D442+(E442-D442)*(1+G442)*((8-1)/(MaxLevel-1))^(2^F442)))</f>
        <v>100</v>
      </c>
      <c r="P442" s="12">
        <f>IF(OR(D442="",E442=""),"",IF(IFERROR(INDEX(Stats!$D:$D,MATCH($C442,Stats!$A:$A,0)),FALSE),ROUND(D442+(E442-D442)*(1+G442)*((9-1)/(MaxLevel-1))^(2^F442),0),D442+(E442-D442)*(1+G442)*((9-1)/(MaxLevel-1))^(2^F442)))</f>
        <v>110</v>
      </c>
      <c r="Q442" s="12">
        <f>IF(OR(D442="",E442=""),"",IF(IFERROR(INDEX(Stats!$D:$D,MATCH($C442,Stats!$A:$A,0)),FALSE),ROUND(D442+(E442-D442)*(1+G442)*((10-1)/(MaxLevel-1))^(2^F442),0),D442+(E442-D442)*(1+G442)*((10-1)/(MaxLevel-1))^(2^F442)))</f>
        <v>120</v>
      </c>
    </row>
    <row r="443" spans="1:17" x14ac:dyDescent="0.25">
      <c r="A443" s="19" t="s">
        <v>287</v>
      </c>
      <c r="B443" s="19" t="s">
        <v>237</v>
      </c>
      <c r="C443" s="4" t="s">
        <v>32</v>
      </c>
      <c r="D443" s="5">
        <v>0.7</v>
      </c>
      <c r="E443" s="5">
        <v>0.95</v>
      </c>
      <c r="F443" s="5">
        <v>-1</v>
      </c>
      <c r="G443" s="5">
        <v>0</v>
      </c>
      <c r="H443" s="12">
        <f>IF(OR(D443="",E443=""),"",IF(IFERROR(INDEX(Stats!$D:$D,MATCH($C443,Stats!$A:$A,0)),FALSE),ROUND(D443+(E443-D443)*(1+G443)*((1-1)/(MaxLevel-1))^(2^F443),0),D443+(E443-D443)*(1+G443)*((1-1)/(MaxLevel-1))^(2^F443)))</f>
        <v>0.7</v>
      </c>
      <c r="I443" s="12">
        <f>IF(OR(D443="",E443=""),"",IF(IFERROR(INDEX(Stats!$D:$D,MATCH($C443,Stats!$A:$A,0)),FALSE),ROUND(D443+(E443-D443)*(1+G443)*((2-1)/(MaxLevel-1))^(2^F443),0),D443+(E443-D443)*(1+G443)*((2-1)/(MaxLevel-1))^(2^F443)))</f>
        <v>0.78333333333333333</v>
      </c>
      <c r="J443" s="12">
        <f>IF(OR(D443="",E443=""),"",IF(IFERROR(INDEX(Stats!$D:$D,MATCH($C443,Stats!$A:$A,0)),FALSE),ROUND(D443+(E443-D443)*(1+G443)*((3-1)/(MaxLevel-1))^(2^F443),0),D443+(E443-D443)*(1+G443)*((3-1)/(MaxLevel-1))^(2^F443)))</f>
        <v>0.8178511301977579</v>
      </c>
      <c r="K443" s="12">
        <f>IF(OR(D443="",E443=""),"",IF(IFERROR(INDEX(Stats!$D:$D,MATCH($C443,Stats!$A:$A,0)),FALSE),ROUND(D443+(E443-D443)*(1+G443)*((4-1)/(MaxLevel-1))^(2^F443),0),D443+(E443-D443)*(1+G443)*((4-1)/(MaxLevel-1))^(2^F443)))</f>
        <v>0.84433756729740639</v>
      </c>
      <c r="L443" s="12">
        <f>IF(OR(D443="",E443=""),"",IF(IFERROR(INDEX(Stats!$D:$D,MATCH($C443,Stats!$A:$A,0)),FALSE),ROUND(D443+(E443-D443)*(1+G443)*((5-1)/(MaxLevel-1))^(2^F443),0),D443+(E443-D443)*(1+G443)*((5-1)/(MaxLevel-1))^(2^F443)))</f>
        <v>0.86666666666666659</v>
      </c>
      <c r="M443" s="12">
        <f>IF(OR(D443="",E443=""),"",IF(IFERROR(INDEX(Stats!$D:$D,MATCH($C443,Stats!$A:$A,0)),FALSE),ROUND(D443+(E443-D443)*(1+G443)*((6-1)/(MaxLevel-1))^(2^F443),0),D443+(E443-D443)*(1+G443)*((6-1)/(MaxLevel-1))^(2^F443)))</f>
        <v>0.8863389981249824</v>
      </c>
      <c r="N443" s="12">
        <f>IF(OR(D443="",E443=""),"",IF(IFERROR(INDEX(Stats!$D:$D,MATCH($C443,Stats!$A:$A,0)),FALSE),ROUND(D443+(E443-D443)*(1+G443)*((7-1)/(MaxLevel-1))^(2^F443),0),D443+(E443-D443)*(1+G443)*((7-1)/(MaxLevel-1))^(2^F443)))</f>
        <v>0.90412414523193152</v>
      </c>
      <c r="O443" s="12">
        <f>IF(OR(D443="",E443=""),"",IF(IFERROR(INDEX(Stats!$D:$D,MATCH($C443,Stats!$A:$A,0)),FALSE),ROUND(D443+(E443-D443)*(1+G443)*((8-1)/(MaxLevel-1))^(2^F443),0),D443+(E443-D443)*(1+G443)*((8-1)/(MaxLevel-1))^(2^F443)))</f>
        <v>0.92047927592204914</v>
      </c>
      <c r="P443" s="12">
        <f>IF(OR(D443="",E443=""),"",IF(IFERROR(INDEX(Stats!$D:$D,MATCH($C443,Stats!$A:$A,0)),FALSE),ROUND(D443+(E443-D443)*(1+G443)*((9-1)/(MaxLevel-1))^(2^F443),0),D443+(E443-D443)*(1+G443)*((9-1)/(MaxLevel-1))^(2^F443)))</f>
        <v>0.93570226039551585</v>
      </c>
      <c r="Q443" s="12">
        <f>IF(OR(D443="",E443=""),"",IF(IFERROR(INDEX(Stats!$D:$D,MATCH($C443,Stats!$A:$A,0)),FALSE),ROUND(D443+(E443-D443)*(1+G443)*((10-1)/(MaxLevel-1))^(2^F443),0),D443+(E443-D443)*(1+G443)*((10-1)/(MaxLevel-1))^(2^F443)))</f>
        <v>0.95</v>
      </c>
    </row>
    <row r="444" spans="1:17" x14ac:dyDescent="0.25">
      <c r="A444" s="19" t="s">
        <v>287</v>
      </c>
      <c r="B444" s="19" t="s">
        <v>237</v>
      </c>
      <c r="C444" s="4" t="s">
        <v>34</v>
      </c>
      <c r="D444" s="5">
        <v>0.1</v>
      </c>
      <c r="E444" s="5">
        <v>0.3</v>
      </c>
      <c r="F444" s="5">
        <v>0</v>
      </c>
      <c r="G444" s="5">
        <v>0</v>
      </c>
      <c r="H444" s="12">
        <f>IF(OR(D444="",E444=""),"",IF(IFERROR(INDEX(Stats!$D:$D,MATCH($C444,Stats!$A:$A,0)),FALSE),ROUND(D444+(E444-D444)*(1+G444)*((1-1)/(MaxLevel-1))^(2^F444),0),D444+(E444-D444)*(1+G444)*((1-1)/(MaxLevel-1))^(2^F444)))</f>
        <v>0.1</v>
      </c>
      <c r="I444" s="12">
        <f>IF(OR(D444="",E444=""),"",IF(IFERROR(INDEX(Stats!$D:$D,MATCH($C444,Stats!$A:$A,0)),FALSE),ROUND(D444+(E444-D444)*(1+G444)*((2-1)/(MaxLevel-1))^(2^F444),0),D444+(E444-D444)*(1+G444)*((2-1)/(MaxLevel-1))^(2^F444)))</f>
        <v>0.12222222222222223</v>
      </c>
      <c r="J444" s="12">
        <f>IF(OR(D444="",E444=""),"",IF(IFERROR(INDEX(Stats!$D:$D,MATCH($C444,Stats!$A:$A,0)),FALSE),ROUND(D444+(E444-D444)*(1+G444)*((3-1)/(MaxLevel-1))^(2^F444),0),D444+(E444-D444)*(1+G444)*((3-1)/(MaxLevel-1))^(2^F444)))</f>
        <v>0.14444444444444443</v>
      </c>
      <c r="K444" s="12">
        <f>IF(OR(D444="",E444=""),"",IF(IFERROR(INDEX(Stats!$D:$D,MATCH($C444,Stats!$A:$A,0)),FALSE),ROUND(D444+(E444-D444)*(1+G444)*((4-1)/(MaxLevel-1))^(2^F444),0),D444+(E444-D444)*(1+G444)*((4-1)/(MaxLevel-1))^(2^F444)))</f>
        <v>0.16666666666666666</v>
      </c>
      <c r="L444" s="12">
        <f>IF(OR(D444="",E444=""),"",IF(IFERROR(INDEX(Stats!$D:$D,MATCH($C444,Stats!$A:$A,0)),FALSE),ROUND(D444+(E444-D444)*(1+G444)*((5-1)/(MaxLevel-1))^(2^F444),0),D444+(E444-D444)*(1+G444)*((5-1)/(MaxLevel-1))^(2^F444)))</f>
        <v>0.18888888888888888</v>
      </c>
      <c r="M444" s="12">
        <f>IF(OR(D444="",E444=""),"",IF(IFERROR(INDEX(Stats!$D:$D,MATCH($C444,Stats!$A:$A,0)),FALSE),ROUND(D444+(E444-D444)*(1+G444)*((6-1)/(MaxLevel-1))^(2^F444),0),D444+(E444-D444)*(1+G444)*((6-1)/(MaxLevel-1))^(2^F444)))</f>
        <v>0.21111111111111111</v>
      </c>
      <c r="N444" s="12">
        <f>IF(OR(D444="",E444=""),"",IF(IFERROR(INDEX(Stats!$D:$D,MATCH($C444,Stats!$A:$A,0)),FALSE),ROUND(D444+(E444-D444)*(1+G444)*((7-1)/(MaxLevel-1))^(2^F444),0),D444+(E444-D444)*(1+G444)*((7-1)/(MaxLevel-1))^(2^F444)))</f>
        <v>0.23333333333333331</v>
      </c>
      <c r="O444" s="12">
        <f>IF(OR(D444="",E444=""),"",IF(IFERROR(INDEX(Stats!$D:$D,MATCH($C444,Stats!$A:$A,0)),FALSE),ROUND(D444+(E444-D444)*(1+G444)*((8-1)/(MaxLevel-1))^(2^F444),0),D444+(E444-D444)*(1+G444)*((8-1)/(MaxLevel-1))^(2^F444)))</f>
        <v>0.25555555555555554</v>
      </c>
      <c r="P444" s="12">
        <f>IF(OR(D444="",E444=""),"",IF(IFERROR(INDEX(Stats!$D:$D,MATCH($C444,Stats!$A:$A,0)),FALSE),ROUND(D444+(E444-D444)*(1+G444)*((9-1)/(MaxLevel-1))^(2^F444),0),D444+(E444-D444)*(1+G444)*((9-1)/(MaxLevel-1))^(2^F444)))</f>
        <v>0.27777777777777779</v>
      </c>
      <c r="Q444" s="12">
        <f>IF(OR(D444="",E444=""),"",IF(IFERROR(INDEX(Stats!$D:$D,MATCH($C444,Stats!$A:$A,0)),FALSE),ROUND(D444+(E444-D444)*(1+G444)*((10-1)/(MaxLevel-1))^(2^F444),0),D444+(E444-D444)*(1+G444)*((10-1)/(MaxLevel-1))^(2^F444)))</f>
        <v>0.3</v>
      </c>
    </row>
    <row r="445" spans="1:17" x14ac:dyDescent="0.25">
      <c r="A445" s="19" t="s">
        <v>287</v>
      </c>
      <c r="B445" s="19" t="s">
        <v>237</v>
      </c>
      <c r="C445" s="4" t="s">
        <v>36</v>
      </c>
      <c r="D445" s="5"/>
      <c r="E445" s="5"/>
      <c r="F445" s="5"/>
      <c r="G445" s="5"/>
      <c r="H445" s="12" t="str">
        <f>IF(OR(D445="",E445=""),"",IF(IFERROR(INDEX(Stats!$D:$D,MATCH($C445,Stats!$A:$A,0)),FALSE),ROUND(D445+(E445-D445)*(1+G445)*((1-1)/(MaxLevel-1))^(2^F445),0),D445+(E445-D445)*(1+G445)*((1-1)/(MaxLevel-1))^(2^F445)))</f>
        <v/>
      </c>
      <c r="I445" s="12" t="str">
        <f>IF(OR(D445="",E445=""),"",IF(IFERROR(INDEX(Stats!$D:$D,MATCH($C445,Stats!$A:$A,0)),FALSE),ROUND(D445+(E445-D445)*(1+G445)*((2-1)/(MaxLevel-1))^(2^F445),0),D445+(E445-D445)*(1+G445)*((2-1)/(MaxLevel-1))^(2^F445)))</f>
        <v/>
      </c>
      <c r="J445" s="12" t="str">
        <f>IF(OR(D445="",E445=""),"",IF(IFERROR(INDEX(Stats!$D:$D,MATCH($C445,Stats!$A:$A,0)),FALSE),ROUND(D445+(E445-D445)*(1+G445)*((3-1)/(MaxLevel-1))^(2^F445),0),D445+(E445-D445)*(1+G445)*((3-1)/(MaxLevel-1))^(2^F445)))</f>
        <v/>
      </c>
      <c r="K445" s="12" t="str">
        <f>IF(OR(D445="",E445=""),"",IF(IFERROR(INDEX(Stats!$D:$D,MATCH($C445,Stats!$A:$A,0)),FALSE),ROUND(D445+(E445-D445)*(1+G445)*((4-1)/(MaxLevel-1))^(2^F445),0),D445+(E445-D445)*(1+G445)*((4-1)/(MaxLevel-1))^(2^F445)))</f>
        <v/>
      </c>
      <c r="L445" s="12" t="str">
        <f>IF(OR(D445="",E445=""),"",IF(IFERROR(INDEX(Stats!$D:$D,MATCH($C445,Stats!$A:$A,0)),FALSE),ROUND(D445+(E445-D445)*(1+G445)*((5-1)/(MaxLevel-1))^(2^F445),0),D445+(E445-D445)*(1+G445)*((5-1)/(MaxLevel-1))^(2^F445)))</f>
        <v/>
      </c>
      <c r="M445" s="12" t="str">
        <f>IF(OR(D445="",E445=""),"",IF(IFERROR(INDEX(Stats!$D:$D,MATCH($C445,Stats!$A:$A,0)),FALSE),ROUND(D445+(E445-D445)*(1+G445)*((6-1)/(MaxLevel-1))^(2^F445),0),D445+(E445-D445)*(1+G445)*((6-1)/(MaxLevel-1))^(2^F445)))</f>
        <v/>
      </c>
      <c r="N445" s="12" t="str">
        <f>IF(OR(D445="",E445=""),"",IF(IFERROR(INDEX(Stats!$D:$D,MATCH($C445,Stats!$A:$A,0)),FALSE),ROUND(D445+(E445-D445)*(1+G445)*((7-1)/(MaxLevel-1))^(2^F445),0),D445+(E445-D445)*(1+G445)*((7-1)/(MaxLevel-1))^(2^F445)))</f>
        <v/>
      </c>
      <c r="O445" s="12" t="str">
        <f>IF(OR(D445="",E445=""),"",IF(IFERROR(INDEX(Stats!$D:$D,MATCH($C445,Stats!$A:$A,0)),FALSE),ROUND(D445+(E445-D445)*(1+G445)*((8-1)/(MaxLevel-1))^(2^F445),0),D445+(E445-D445)*(1+G445)*((8-1)/(MaxLevel-1))^(2^F445)))</f>
        <v/>
      </c>
      <c r="P445" s="12" t="str">
        <f>IF(OR(D445="",E445=""),"",IF(IFERROR(INDEX(Stats!$D:$D,MATCH($C445,Stats!$A:$A,0)),FALSE),ROUND(D445+(E445-D445)*(1+G445)*((9-1)/(MaxLevel-1))^(2^F445),0),D445+(E445-D445)*(1+G445)*((9-1)/(MaxLevel-1))^(2^F445)))</f>
        <v/>
      </c>
      <c r="Q445" s="12" t="str">
        <f>IF(OR(D445="",E445=""),"",IF(IFERROR(INDEX(Stats!$D:$D,MATCH($C445,Stats!$A:$A,0)),FALSE),ROUND(D445+(E445-D445)*(1+G445)*((10-1)/(MaxLevel-1))^(2^F445),0),D445+(E445-D445)*(1+G445)*((10-1)/(MaxLevel-1))^(2^F445)))</f>
        <v/>
      </c>
    </row>
    <row r="446" spans="1:17" x14ac:dyDescent="0.25">
      <c r="A446" s="19" t="s">
        <v>287</v>
      </c>
      <c r="B446" s="19" t="s">
        <v>237</v>
      </c>
      <c r="C446" s="4" t="s">
        <v>38</v>
      </c>
      <c r="D446" s="5"/>
      <c r="E446" s="5"/>
      <c r="F446" s="5"/>
      <c r="G446" s="5"/>
      <c r="H446" s="12" t="str">
        <f>IF(OR(D446="",E446=""),"",IF(IFERROR(INDEX(Stats!$D:$D,MATCH($C446,Stats!$A:$A,0)),FALSE),ROUND(D446+(E446-D446)*(1+G446)*((1-1)/(MaxLevel-1))^(2^F446),0),D446+(E446-D446)*(1+G446)*((1-1)/(MaxLevel-1))^(2^F446)))</f>
        <v/>
      </c>
      <c r="I446" s="12" t="str">
        <f>IF(OR(D446="",E446=""),"",IF(IFERROR(INDEX(Stats!$D:$D,MATCH($C446,Stats!$A:$A,0)),FALSE),ROUND(D446+(E446-D446)*(1+G446)*((2-1)/(MaxLevel-1))^(2^F446),0),D446+(E446-D446)*(1+G446)*((2-1)/(MaxLevel-1))^(2^F446)))</f>
        <v/>
      </c>
      <c r="J446" s="12" t="str">
        <f>IF(OR(D446="",E446=""),"",IF(IFERROR(INDEX(Stats!$D:$D,MATCH($C446,Stats!$A:$A,0)),FALSE),ROUND(D446+(E446-D446)*(1+G446)*((3-1)/(MaxLevel-1))^(2^F446),0),D446+(E446-D446)*(1+G446)*((3-1)/(MaxLevel-1))^(2^F446)))</f>
        <v/>
      </c>
      <c r="K446" s="12" t="str">
        <f>IF(OR(D446="",E446=""),"",IF(IFERROR(INDEX(Stats!$D:$D,MATCH($C446,Stats!$A:$A,0)),FALSE),ROUND(D446+(E446-D446)*(1+G446)*((4-1)/(MaxLevel-1))^(2^F446),0),D446+(E446-D446)*(1+G446)*((4-1)/(MaxLevel-1))^(2^F446)))</f>
        <v/>
      </c>
      <c r="L446" s="12" t="str">
        <f>IF(OR(D446="",E446=""),"",IF(IFERROR(INDEX(Stats!$D:$D,MATCH($C446,Stats!$A:$A,0)),FALSE),ROUND(D446+(E446-D446)*(1+G446)*((5-1)/(MaxLevel-1))^(2^F446),0),D446+(E446-D446)*(1+G446)*((5-1)/(MaxLevel-1))^(2^F446)))</f>
        <v/>
      </c>
      <c r="M446" s="12" t="str">
        <f>IF(OR(D446="",E446=""),"",IF(IFERROR(INDEX(Stats!$D:$D,MATCH($C446,Stats!$A:$A,0)),FALSE),ROUND(D446+(E446-D446)*(1+G446)*((6-1)/(MaxLevel-1))^(2^F446),0),D446+(E446-D446)*(1+G446)*((6-1)/(MaxLevel-1))^(2^F446)))</f>
        <v/>
      </c>
      <c r="N446" s="12" t="str">
        <f>IF(OR(D446="",E446=""),"",IF(IFERROR(INDEX(Stats!$D:$D,MATCH($C446,Stats!$A:$A,0)),FALSE),ROUND(D446+(E446-D446)*(1+G446)*((7-1)/(MaxLevel-1))^(2^F446),0),D446+(E446-D446)*(1+G446)*((7-1)/(MaxLevel-1))^(2^F446)))</f>
        <v/>
      </c>
      <c r="O446" s="12" t="str">
        <f>IF(OR(D446="",E446=""),"",IF(IFERROR(INDEX(Stats!$D:$D,MATCH($C446,Stats!$A:$A,0)),FALSE),ROUND(D446+(E446-D446)*(1+G446)*((8-1)/(MaxLevel-1))^(2^F446),0),D446+(E446-D446)*(1+G446)*((8-1)/(MaxLevel-1))^(2^F446)))</f>
        <v/>
      </c>
      <c r="P446" s="12" t="str">
        <f>IF(OR(D446="",E446=""),"",IF(IFERROR(INDEX(Stats!$D:$D,MATCH($C446,Stats!$A:$A,0)),FALSE),ROUND(D446+(E446-D446)*(1+G446)*((9-1)/(MaxLevel-1))^(2^F446),0),D446+(E446-D446)*(1+G446)*((9-1)/(MaxLevel-1))^(2^F446)))</f>
        <v/>
      </c>
      <c r="Q446" s="12" t="str">
        <f>IF(OR(D446="",E446=""),"",IF(IFERROR(INDEX(Stats!$D:$D,MATCH($C446,Stats!$A:$A,0)),FALSE),ROUND(D446+(E446-D446)*(1+G446)*((10-1)/(MaxLevel-1))^(2^F446),0),D446+(E446-D446)*(1+G446)*((10-1)/(MaxLevel-1))^(2^F446)))</f>
        <v/>
      </c>
    </row>
    <row r="447" spans="1:17" x14ac:dyDescent="0.25">
      <c r="A447" s="19" t="s">
        <v>287</v>
      </c>
      <c r="B447" s="19" t="s">
        <v>237</v>
      </c>
      <c r="C447" s="4" t="s">
        <v>40</v>
      </c>
      <c r="D447" s="5"/>
      <c r="E447" s="5"/>
      <c r="F447" s="5"/>
      <c r="G447" s="5"/>
      <c r="H447" s="12" t="str">
        <f>IF(OR(D447="",E447=""),"",IF(IFERROR(INDEX(Stats!$D:$D,MATCH($C447,Stats!$A:$A,0)),FALSE),ROUND(D447+(E447-D447)*(1+G447)*((1-1)/(MaxLevel-1))^(2^F447),0),D447+(E447-D447)*(1+G447)*((1-1)/(MaxLevel-1))^(2^F447)))</f>
        <v/>
      </c>
      <c r="I447" s="12" t="str">
        <f>IF(OR(D447="",E447=""),"",IF(IFERROR(INDEX(Stats!$D:$D,MATCH($C447,Stats!$A:$A,0)),FALSE),ROUND(D447+(E447-D447)*(1+G447)*((2-1)/(MaxLevel-1))^(2^F447),0),D447+(E447-D447)*(1+G447)*((2-1)/(MaxLevel-1))^(2^F447)))</f>
        <v/>
      </c>
      <c r="J447" s="12" t="str">
        <f>IF(OR(D447="",E447=""),"",IF(IFERROR(INDEX(Stats!$D:$D,MATCH($C447,Stats!$A:$A,0)),FALSE),ROUND(D447+(E447-D447)*(1+G447)*((3-1)/(MaxLevel-1))^(2^F447),0),D447+(E447-D447)*(1+G447)*((3-1)/(MaxLevel-1))^(2^F447)))</f>
        <v/>
      </c>
      <c r="K447" s="12" t="str">
        <f>IF(OR(D447="",E447=""),"",IF(IFERROR(INDEX(Stats!$D:$D,MATCH($C447,Stats!$A:$A,0)),FALSE),ROUND(D447+(E447-D447)*(1+G447)*((4-1)/(MaxLevel-1))^(2^F447),0),D447+(E447-D447)*(1+G447)*((4-1)/(MaxLevel-1))^(2^F447)))</f>
        <v/>
      </c>
      <c r="L447" s="12" t="str">
        <f>IF(OR(D447="",E447=""),"",IF(IFERROR(INDEX(Stats!$D:$D,MATCH($C447,Stats!$A:$A,0)),FALSE),ROUND(D447+(E447-D447)*(1+G447)*((5-1)/(MaxLevel-1))^(2^F447),0),D447+(E447-D447)*(1+G447)*((5-1)/(MaxLevel-1))^(2^F447)))</f>
        <v/>
      </c>
      <c r="M447" s="12" t="str">
        <f>IF(OR(D447="",E447=""),"",IF(IFERROR(INDEX(Stats!$D:$D,MATCH($C447,Stats!$A:$A,0)),FALSE),ROUND(D447+(E447-D447)*(1+G447)*((6-1)/(MaxLevel-1))^(2^F447),0),D447+(E447-D447)*(1+G447)*((6-1)/(MaxLevel-1))^(2^F447)))</f>
        <v/>
      </c>
      <c r="N447" s="12" t="str">
        <f>IF(OR(D447="",E447=""),"",IF(IFERROR(INDEX(Stats!$D:$D,MATCH($C447,Stats!$A:$A,0)),FALSE),ROUND(D447+(E447-D447)*(1+G447)*((7-1)/(MaxLevel-1))^(2^F447),0),D447+(E447-D447)*(1+G447)*((7-1)/(MaxLevel-1))^(2^F447)))</f>
        <v/>
      </c>
      <c r="O447" s="12" t="str">
        <f>IF(OR(D447="",E447=""),"",IF(IFERROR(INDEX(Stats!$D:$D,MATCH($C447,Stats!$A:$A,0)),FALSE),ROUND(D447+(E447-D447)*(1+G447)*((8-1)/(MaxLevel-1))^(2^F447),0),D447+(E447-D447)*(1+G447)*((8-1)/(MaxLevel-1))^(2^F447)))</f>
        <v/>
      </c>
      <c r="P447" s="12" t="str">
        <f>IF(OR(D447="",E447=""),"",IF(IFERROR(INDEX(Stats!$D:$D,MATCH($C447,Stats!$A:$A,0)),FALSE),ROUND(D447+(E447-D447)*(1+G447)*((9-1)/(MaxLevel-1))^(2^F447),0),D447+(E447-D447)*(1+G447)*((9-1)/(MaxLevel-1))^(2^F447)))</f>
        <v/>
      </c>
      <c r="Q447" s="12" t="str">
        <f>IF(OR(D447="",E447=""),"",IF(IFERROR(INDEX(Stats!$D:$D,MATCH($C447,Stats!$A:$A,0)),FALSE),ROUND(D447+(E447-D447)*(1+G447)*((10-1)/(MaxLevel-1))^(2^F447),0),D447+(E447-D447)*(1+G447)*((10-1)/(MaxLevel-1))^(2^F447)))</f>
        <v/>
      </c>
    </row>
    <row r="448" spans="1:17" x14ac:dyDescent="0.25">
      <c r="A448" s="19" t="s">
        <v>287</v>
      </c>
      <c r="B448" s="19" t="s">
        <v>237</v>
      </c>
      <c r="C448" s="4" t="s">
        <v>42</v>
      </c>
      <c r="D448" s="5"/>
      <c r="E448" s="5"/>
      <c r="F448" s="5"/>
      <c r="G448" s="5"/>
      <c r="H448" s="12" t="str">
        <f>IF(OR(D448="",E448=""),"",IF(IFERROR(INDEX(Stats!$D:$D,MATCH($C448,Stats!$A:$A,0)),FALSE),ROUND(D448+(E448-D448)*(1+G448)*((1-1)/(MaxLevel-1))^(2^F448),0),D448+(E448-D448)*(1+G448)*((1-1)/(MaxLevel-1))^(2^F448)))</f>
        <v/>
      </c>
      <c r="I448" s="12" t="str">
        <f>IF(OR(D448="",E448=""),"",IF(IFERROR(INDEX(Stats!$D:$D,MATCH($C448,Stats!$A:$A,0)),FALSE),ROUND(D448+(E448-D448)*(1+G448)*((2-1)/(MaxLevel-1))^(2^F448),0),D448+(E448-D448)*(1+G448)*((2-1)/(MaxLevel-1))^(2^F448)))</f>
        <v/>
      </c>
      <c r="J448" s="12" t="str">
        <f>IF(OR(D448="",E448=""),"",IF(IFERROR(INDEX(Stats!$D:$D,MATCH($C448,Stats!$A:$A,0)),FALSE),ROUND(D448+(E448-D448)*(1+G448)*((3-1)/(MaxLevel-1))^(2^F448),0),D448+(E448-D448)*(1+G448)*((3-1)/(MaxLevel-1))^(2^F448)))</f>
        <v/>
      </c>
      <c r="K448" s="12" t="str">
        <f>IF(OR(D448="",E448=""),"",IF(IFERROR(INDEX(Stats!$D:$D,MATCH($C448,Stats!$A:$A,0)),FALSE),ROUND(D448+(E448-D448)*(1+G448)*((4-1)/(MaxLevel-1))^(2^F448),0),D448+(E448-D448)*(1+G448)*((4-1)/(MaxLevel-1))^(2^F448)))</f>
        <v/>
      </c>
      <c r="L448" s="12" t="str">
        <f>IF(OR(D448="",E448=""),"",IF(IFERROR(INDEX(Stats!$D:$D,MATCH($C448,Stats!$A:$A,0)),FALSE),ROUND(D448+(E448-D448)*(1+G448)*((5-1)/(MaxLevel-1))^(2^F448),0),D448+(E448-D448)*(1+G448)*((5-1)/(MaxLevel-1))^(2^F448)))</f>
        <v/>
      </c>
      <c r="M448" s="12" t="str">
        <f>IF(OR(D448="",E448=""),"",IF(IFERROR(INDEX(Stats!$D:$D,MATCH($C448,Stats!$A:$A,0)),FALSE),ROUND(D448+(E448-D448)*(1+G448)*((6-1)/(MaxLevel-1))^(2^F448),0),D448+(E448-D448)*(1+G448)*((6-1)/(MaxLevel-1))^(2^F448)))</f>
        <v/>
      </c>
      <c r="N448" s="12" t="str">
        <f>IF(OR(D448="",E448=""),"",IF(IFERROR(INDEX(Stats!$D:$D,MATCH($C448,Stats!$A:$A,0)),FALSE),ROUND(D448+(E448-D448)*(1+G448)*((7-1)/(MaxLevel-1))^(2^F448),0),D448+(E448-D448)*(1+G448)*((7-1)/(MaxLevel-1))^(2^F448)))</f>
        <v/>
      </c>
      <c r="O448" s="12" t="str">
        <f>IF(OR(D448="",E448=""),"",IF(IFERROR(INDEX(Stats!$D:$D,MATCH($C448,Stats!$A:$A,0)),FALSE),ROUND(D448+(E448-D448)*(1+G448)*((8-1)/(MaxLevel-1))^(2^F448),0),D448+(E448-D448)*(1+G448)*((8-1)/(MaxLevel-1))^(2^F448)))</f>
        <v/>
      </c>
      <c r="P448" s="12" t="str">
        <f>IF(OR(D448="",E448=""),"",IF(IFERROR(INDEX(Stats!$D:$D,MATCH($C448,Stats!$A:$A,0)),FALSE),ROUND(D448+(E448-D448)*(1+G448)*((9-1)/(MaxLevel-1))^(2^F448),0),D448+(E448-D448)*(1+G448)*((9-1)/(MaxLevel-1))^(2^F448)))</f>
        <v/>
      </c>
      <c r="Q448" s="12" t="str">
        <f>IF(OR(D448="",E448=""),"",IF(IFERROR(INDEX(Stats!$D:$D,MATCH($C448,Stats!$A:$A,0)),FALSE),ROUND(D448+(E448-D448)*(1+G448)*((10-1)/(MaxLevel-1))^(2^F448),0),D448+(E448-D448)*(1+G448)*((10-1)/(MaxLevel-1))^(2^F448)))</f>
        <v/>
      </c>
    </row>
    <row r="449" spans="1:17" x14ac:dyDescent="0.25">
      <c r="A449" s="19" t="s">
        <v>287</v>
      </c>
      <c r="B449" s="19" t="s">
        <v>237</v>
      </c>
      <c r="C449" s="4" t="s">
        <v>44</v>
      </c>
      <c r="D449" s="5"/>
      <c r="E449" s="5"/>
      <c r="F449" s="5"/>
      <c r="G449" s="5"/>
      <c r="H449" s="12" t="str">
        <f>IF(OR(D449="",E449=""),"",IF(IFERROR(INDEX(Stats!$D:$D,MATCH($C449,Stats!$A:$A,0)),FALSE),ROUND(D449+(E449-D449)*(1+G449)*((1-1)/(MaxLevel-1))^(2^F449),0),D449+(E449-D449)*(1+G449)*((1-1)/(MaxLevel-1))^(2^F449)))</f>
        <v/>
      </c>
      <c r="I449" s="12" t="str">
        <f>IF(OR(D449="",E449=""),"",IF(IFERROR(INDEX(Stats!$D:$D,MATCH($C449,Stats!$A:$A,0)),FALSE),ROUND(D449+(E449-D449)*(1+G449)*((2-1)/(MaxLevel-1))^(2^F449),0),D449+(E449-D449)*(1+G449)*((2-1)/(MaxLevel-1))^(2^F449)))</f>
        <v/>
      </c>
      <c r="J449" s="12" t="str">
        <f>IF(OR(D449="",E449=""),"",IF(IFERROR(INDEX(Stats!$D:$D,MATCH($C449,Stats!$A:$A,0)),FALSE),ROUND(D449+(E449-D449)*(1+G449)*((3-1)/(MaxLevel-1))^(2^F449),0),D449+(E449-D449)*(1+G449)*((3-1)/(MaxLevel-1))^(2^F449)))</f>
        <v/>
      </c>
      <c r="K449" s="12" t="str">
        <f>IF(OR(D449="",E449=""),"",IF(IFERROR(INDEX(Stats!$D:$D,MATCH($C449,Stats!$A:$A,0)),FALSE),ROUND(D449+(E449-D449)*(1+G449)*((4-1)/(MaxLevel-1))^(2^F449),0),D449+(E449-D449)*(1+G449)*((4-1)/(MaxLevel-1))^(2^F449)))</f>
        <v/>
      </c>
      <c r="L449" s="12" t="str">
        <f>IF(OR(D449="",E449=""),"",IF(IFERROR(INDEX(Stats!$D:$D,MATCH($C449,Stats!$A:$A,0)),FALSE),ROUND(D449+(E449-D449)*(1+G449)*((5-1)/(MaxLevel-1))^(2^F449),0),D449+(E449-D449)*(1+G449)*((5-1)/(MaxLevel-1))^(2^F449)))</f>
        <v/>
      </c>
      <c r="M449" s="12" t="str">
        <f>IF(OR(D449="",E449=""),"",IF(IFERROR(INDEX(Stats!$D:$D,MATCH($C449,Stats!$A:$A,0)),FALSE),ROUND(D449+(E449-D449)*(1+G449)*((6-1)/(MaxLevel-1))^(2^F449),0),D449+(E449-D449)*(1+G449)*((6-1)/(MaxLevel-1))^(2^F449)))</f>
        <v/>
      </c>
      <c r="N449" s="12" t="str">
        <f>IF(OR(D449="",E449=""),"",IF(IFERROR(INDEX(Stats!$D:$D,MATCH($C449,Stats!$A:$A,0)),FALSE),ROUND(D449+(E449-D449)*(1+G449)*((7-1)/(MaxLevel-1))^(2^F449),0),D449+(E449-D449)*(1+G449)*((7-1)/(MaxLevel-1))^(2^F449)))</f>
        <v/>
      </c>
      <c r="O449" s="12" t="str">
        <f>IF(OR(D449="",E449=""),"",IF(IFERROR(INDEX(Stats!$D:$D,MATCH($C449,Stats!$A:$A,0)),FALSE),ROUND(D449+(E449-D449)*(1+G449)*((8-1)/(MaxLevel-1))^(2^F449),0),D449+(E449-D449)*(1+G449)*((8-1)/(MaxLevel-1))^(2^F449)))</f>
        <v/>
      </c>
      <c r="P449" s="12" t="str">
        <f>IF(OR(D449="",E449=""),"",IF(IFERROR(INDEX(Stats!$D:$D,MATCH($C449,Stats!$A:$A,0)),FALSE),ROUND(D449+(E449-D449)*(1+G449)*((9-1)/(MaxLevel-1))^(2^F449),0),D449+(E449-D449)*(1+G449)*((9-1)/(MaxLevel-1))^(2^F449)))</f>
        <v/>
      </c>
      <c r="Q449" s="12" t="str">
        <f>IF(OR(D449="",E449=""),"",IF(IFERROR(INDEX(Stats!$D:$D,MATCH($C449,Stats!$A:$A,0)),FALSE),ROUND(D449+(E449-D449)*(1+G449)*((10-1)/(MaxLevel-1))^(2^F449),0),D449+(E449-D449)*(1+G449)*((10-1)/(MaxLevel-1))^(2^F449)))</f>
        <v/>
      </c>
    </row>
    <row r="450" spans="1:17" x14ac:dyDescent="0.25">
      <c r="A450" s="19" t="s">
        <v>287</v>
      </c>
      <c r="B450" s="19" t="s">
        <v>237</v>
      </c>
      <c r="C450" s="4" t="s">
        <v>46</v>
      </c>
      <c r="D450" s="5"/>
      <c r="E450" s="5"/>
      <c r="F450" s="5"/>
      <c r="G450" s="5"/>
      <c r="H450" s="12" t="str">
        <f>IF(OR(D450="",E450=""),"",IF(IFERROR(INDEX(Stats!$D:$D,MATCH($C450,Stats!$A:$A,0)),FALSE),ROUND(D450+(E450-D450)*(1+G450)*((1-1)/(MaxLevel-1))^(2^F450),0),D450+(E450-D450)*(1+G450)*((1-1)/(MaxLevel-1))^(2^F450)))</f>
        <v/>
      </c>
      <c r="I450" s="12" t="str">
        <f>IF(OR(D450="",E450=""),"",IF(IFERROR(INDEX(Stats!$D:$D,MATCH($C450,Stats!$A:$A,0)),FALSE),ROUND(D450+(E450-D450)*(1+G450)*((2-1)/(MaxLevel-1))^(2^F450),0),D450+(E450-D450)*(1+G450)*((2-1)/(MaxLevel-1))^(2^F450)))</f>
        <v/>
      </c>
      <c r="J450" s="12" t="str">
        <f>IF(OR(D450="",E450=""),"",IF(IFERROR(INDEX(Stats!$D:$D,MATCH($C450,Stats!$A:$A,0)),FALSE),ROUND(D450+(E450-D450)*(1+G450)*((3-1)/(MaxLevel-1))^(2^F450),0),D450+(E450-D450)*(1+G450)*((3-1)/(MaxLevel-1))^(2^F450)))</f>
        <v/>
      </c>
      <c r="K450" s="12" t="str">
        <f>IF(OR(D450="",E450=""),"",IF(IFERROR(INDEX(Stats!$D:$D,MATCH($C450,Stats!$A:$A,0)),FALSE),ROUND(D450+(E450-D450)*(1+G450)*((4-1)/(MaxLevel-1))^(2^F450),0),D450+(E450-D450)*(1+G450)*((4-1)/(MaxLevel-1))^(2^F450)))</f>
        <v/>
      </c>
      <c r="L450" s="12" t="str">
        <f>IF(OR(D450="",E450=""),"",IF(IFERROR(INDEX(Stats!$D:$D,MATCH($C450,Stats!$A:$A,0)),FALSE),ROUND(D450+(E450-D450)*(1+G450)*((5-1)/(MaxLevel-1))^(2^F450),0),D450+(E450-D450)*(1+G450)*((5-1)/(MaxLevel-1))^(2^F450)))</f>
        <v/>
      </c>
      <c r="M450" s="12" t="str">
        <f>IF(OR(D450="",E450=""),"",IF(IFERROR(INDEX(Stats!$D:$D,MATCH($C450,Stats!$A:$A,0)),FALSE),ROUND(D450+(E450-D450)*(1+G450)*((6-1)/(MaxLevel-1))^(2^F450),0),D450+(E450-D450)*(1+G450)*((6-1)/(MaxLevel-1))^(2^F450)))</f>
        <v/>
      </c>
      <c r="N450" s="12" t="str">
        <f>IF(OR(D450="",E450=""),"",IF(IFERROR(INDEX(Stats!$D:$D,MATCH($C450,Stats!$A:$A,0)),FALSE),ROUND(D450+(E450-D450)*(1+G450)*((7-1)/(MaxLevel-1))^(2^F450),0),D450+(E450-D450)*(1+G450)*((7-1)/(MaxLevel-1))^(2^F450)))</f>
        <v/>
      </c>
      <c r="O450" s="12" t="str">
        <f>IF(OR(D450="",E450=""),"",IF(IFERROR(INDEX(Stats!$D:$D,MATCH($C450,Stats!$A:$A,0)),FALSE),ROUND(D450+(E450-D450)*(1+G450)*((8-1)/(MaxLevel-1))^(2^F450),0),D450+(E450-D450)*(1+G450)*((8-1)/(MaxLevel-1))^(2^F450)))</f>
        <v/>
      </c>
      <c r="P450" s="12" t="str">
        <f>IF(OR(D450="",E450=""),"",IF(IFERROR(INDEX(Stats!$D:$D,MATCH($C450,Stats!$A:$A,0)),FALSE),ROUND(D450+(E450-D450)*(1+G450)*((9-1)/(MaxLevel-1))^(2^F450),0),D450+(E450-D450)*(1+G450)*((9-1)/(MaxLevel-1))^(2^F450)))</f>
        <v/>
      </c>
      <c r="Q450" s="12" t="str">
        <f>IF(OR(D450="",E450=""),"",IF(IFERROR(INDEX(Stats!$D:$D,MATCH($C450,Stats!$A:$A,0)),FALSE),ROUND(D450+(E450-D450)*(1+G450)*((10-1)/(MaxLevel-1))^(2^F450),0),D450+(E450-D450)*(1+G450)*((10-1)/(MaxLevel-1))^(2^F450)))</f>
        <v/>
      </c>
    </row>
    <row r="451" spans="1:17" x14ac:dyDescent="0.25">
      <c r="A451" s="19" t="s">
        <v>287</v>
      </c>
      <c r="B451" s="19" t="s">
        <v>237</v>
      </c>
      <c r="C451" s="4" t="s">
        <v>48</v>
      </c>
      <c r="D451" s="5"/>
      <c r="E451" s="5"/>
      <c r="F451" s="5"/>
      <c r="G451" s="5"/>
      <c r="H451" s="12" t="str">
        <f>IF(OR(D451="",E451=""),"",IF(IFERROR(INDEX(Stats!$D:$D,MATCH($C451,Stats!$A:$A,0)),FALSE),ROUND(D451+(E451-D451)*(1+G451)*((1-1)/(MaxLevel-1))^(2^F451),0),D451+(E451-D451)*(1+G451)*((1-1)/(MaxLevel-1))^(2^F451)))</f>
        <v/>
      </c>
      <c r="I451" s="12" t="str">
        <f>IF(OR(D451="",E451=""),"",IF(IFERROR(INDEX(Stats!$D:$D,MATCH($C451,Stats!$A:$A,0)),FALSE),ROUND(D451+(E451-D451)*(1+G451)*((2-1)/(MaxLevel-1))^(2^F451),0),D451+(E451-D451)*(1+G451)*((2-1)/(MaxLevel-1))^(2^F451)))</f>
        <v/>
      </c>
      <c r="J451" s="12" t="str">
        <f>IF(OR(D451="",E451=""),"",IF(IFERROR(INDEX(Stats!$D:$D,MATCH($C451,Stats!$A:$A,0)),FALSE),ROUND(D451+(E451-D451)*(1+G451)*((3-1)/(MaxLevel-1))^(2^F451),0),D451+(E451-D451)*(1+G451)*((3-1)/(MaxLevel-1))^(2^F451)))</f>
        <v/>
      </c>
      <c r="K451" s="12" t="str">
        <f>IF(OR(D451="",E451=""),"",IF(IFERROR(INDEX(Stats!$D:$D,MATCH($C451,Stats!$A:$A,0)),FALSE),ROUND(D451+(E451-D451)*(1+G451)*((4-1)/(MaxLevel-1))^(2^F451),0),D451+(E451-D451)*(1+G451)*((4-1)/(MaxLevel-1))^(2^F451)))</f>
        <v/>
      </c>
      <c r="L451" s="12" t="str">
        <f>IF(OR(D451="",E451=""),"",IF(IFERROR(INDEX(Stats!$D:$D,MATCH($C451,Stats!$A:$A,0)),FALSE),ROUND(D451+(E451-D451)*(1+G451)*((5-1)/(MaxLevel-1))^(2^F451),0),D451+(E451-D451)*(1+G451)*((5-1)/(MaxLevel-1))^(2^F451)))</f>
        <v/>
      </c>
      <c r="M451" s="12" t="str">
        <f>IF(OR(D451="",E451=""),"",IF(IFERROR(INDEX(Stats!$D:$D,MATCH($C451,Stats!$A:$A,0)),FALSE),ROUND(D451+(E451-D451)*(1+G451)*((6-1)/(MaxLevel-1))^(2^F451),0),D451+(E451-D451)*(1+G451)*((6-1)/(MaxLevel-1))^(2^F451)))</f>
        <v/>
      </c>
      <c r="N451" s="12" t="str">
        <f>IF(OR(D451="",E451=""),"",IF(IFERROR(INDEX(Stats!$D:$D,MATCH($C451,Stats!$A:$A,0)),FALSE),ROUND(D451+(E451-D451)*(1+G451)*((7-1)/(MaxLevel-1))^(2^F451),0),D451+(E451-D451)*(1+G451)*((7-1)/(MaxLevel-1))^(2^F451)))</f>
        <v/>
      </c>
      <c r="O451" s="12" t="str">
        <f>IF(OR(D451="",E451=""),"",IF(IFERROR(INDEX(Stats!$D:$D,MATCH($C451,Stats!$A:$A,0)),FALSE),ROUND(D451+(E451-D451)*(1+G451)*((8-1)/(MaxLevel-1))^(2^F451),0),D451+(E451-D451)*(1+G451)*((8-1)/(MaxLevel-1))^(2^F451)))</f>
        <v/>
      </c>
      <c r="P451" s="12" t="str">
        <f>IF(OR(D451="",E451=""),"",IF(IFERROR(INDEX(Stats!$D:$D,MATCH($C451,Stats!$A:$A,0)),FALSE),ROUND(D451+(E451-D451)*(1+G451)*((9-1)/(MaxLevel-1))^(2^F451),0),D451+(E451-D451)*(1+G451)*((9-1)/(MaxLevel-1))^(2^F451)))</f>
        <v/>
      </c>
      <c r="Q451" s="12" t="str">
        <f>IF(OR(D451="",E451=""),"",IF(IFERROR(INDEX(Stats!$D:$D,MATCH($C451,Stats!$A:$A,0)),FALSE),ROUND(D451+(E451-D451)*(1+G451)*((10-1)/(MaxLevel-1))^(2^F451),0),D451+(E451-D451)*(1+G451)*((10-1)/(MaxLevel-1))^(2^F451)))</f>
        <v/>
      </c>
    </row>
    <row r="452" spans="1:17" x14ac:dyDescent="0.25">
      <c r="A452" s="19" t="s">
        <v>287</v>
      </c>
      <c r="B452" s="19" t="s">
        <v>237</v>
      </c>
      <c r="C452" s="4" t="s">
        <v>50</v>
      </c>
      <c r="D452" s="5"/>
      <c r="E452" s="5"/>
      <c r="F452" s="5"/>
      <c r="G452" s="5"/>
      <c r="H452" s="12" t="str">
        <f>IF(OR(D452="",E452=""),"",IF(IFERROR(INDEX(Stats!$D:$D,MATCH($C452,Stats!$A:$A,0)),FALSE),ROUND(D452+(E452-D452)*(1+G452)*((1-1)/(MaxLevel-1))^(2^F452),0),D452+(E452-D452)*(1+G452)*((1-1)/(MaxLevel-1))^(2^F452)))</f>
        <v/>
      </c>
      <c r="I452" s="12" t="str">
        <f>IF(OR(D452="",E452=""),"",IF(IFERROR(INDEX(Stats!$D:$D,MATCH($C452,Stats!$A:$A,0)),FALSE),ROUND(D452+(E452-D452)*(1+G452)*((2-1)/(MaxLevel-1))^(2^F452),0),D452+(E452-D452)*(1+G452)*((2-1)/(MaxLevel-1))^(2^F452)))</f>
        <v/>
      </c>
      <c r="J452" s="12" t="str">
        <f>IF(OR(D452="",E452=""),"",IF(IFERROR(INDEX(Stats!$D:$D,MATCH($C452,Stats!$A:$A,0)),FALSE),ROUND(D452+(E452-D452)*(1+G452)*((3-1)/(MaxLevel-1))^(2^F452),0),D452+(E452-D452)*(1+G452)*((3-1)/(MaxLevel-1))^(2^F452)))</f>
        <v/>
      </c>
      <c r="K452" s="12" t="str">
        <f>IF(OR(D452="",E452=""),"",IF(IFERROR(INDEX(Stats!$D:$D,MATCH($C452,Stats!$A:$A,0)),FALSE),ROUND(D452+(E452-D452)*(1+G452)*((4-1)/(MaxLevel-1))^(2^F452),0),D452+(E452-D452)*(1+G452)*((4-1)/(MaxLevel-1))^(2^F452)))</f>
        <v/>
      </c>
      <c r="L452" s="12" t="str">
        <f>IF(OR(D452="",E452=""),"",IF(IFERROR(INDEX(Stats!$D:$D,MATCH($C452,Stats!$A:$A,0)),FALSE),ROUND(D452+(E452-D452)*(1+G452)*((5-1)/(MaxLevel-1))^(2^F452),0),D452+(E452-D452)*(1+G452)*((5-1)/(MaxLevel-1))^(2^F452)))</f>
        <v/>
      </c>
      <c r="M452" s="12" t="str">
        <f>IF(OR(D452="",E452=""),"",IF(IFERROR(INDEX(Stats!$D:$D,MATCH($C452,Stats!$A:$A,0)),FALSE),ROUND(D452+(E452-D452)*(1+G452)*((6-1)/(MaxLevel-1))^(2^F452),0),D452+(E452-D452)*(1+G452)*((6-1)/(MaxLevel-1))^(2^F452)))</f>
        <v/>
      </c>
      <c r="N452" s="12" t="str">
        <f>IF(OR(D452="",E452=""),"",IF(IFERROR(INDEX(Stats!$D:$D,MATCH($C452,Stats!$A:$A,0)),FALSE),ROUND(D452+(E452-D452)*(1+G452)*((7-1)/(MaxLevel-1))^(2^F452),0),D452+(E452-D452)*(1+G452)*((7-1)/(MaxLevel-1))^(2^F452)))</f>
        <v/>
      </c>
      <c r="O452" s="12" t="str">
        <f>IF(OR(D452="",E452=""),"",IF(IFERROR(INDEX(Stats!$D:$D,MATCH($C452,Stats!$A:$A,0)),FALSE),ROUND(D452+(E452-D452)*(1+G452)*((8-1)/(MaxLevel-1))^(2^F452),0),D452+(E452-D452)*(1+G452)*((8-1)/(MaxLevel-1))^(2^F452)))</f>
        <v/>
      </c>
      <c r="P452" s="12" t="str">
        <f>IF(OR(D452="",E452=""),"",IF(IFERROR(INDEX(Stats!$D:$D,MATCH($C452,Stats!$A:$A,0)),FALSE),ROUND(D452+(E452-D452)*(1+G452)*((9-1)/(MaxLevel-1))^(2^F452),0),D452+(E452-D452)*(1+G452)*((9-1)/(MaxLevel-1))^(2^F452)))</f>
        <v/>
      </c>
      <c r="Q452" s="12" t="str">
        <f>IF(OR(D452="",E452=""),"",IF(IFERROR(INDEX(Stats!$D:$D,MATCH($C452,Stats!$A:$A,0)),FALSE),ROUND(D452+(E452-D452)*(1+G452)*((10-1)/(MaxLevel-1))^(2^F452),0),D452+(E452-D452)*(1+G452)*((10-1)/(MaxLevel-1))^(2^F452)))</f>
        <v/>
      </c>
    </row>
    <row r="453" spans="1:17" x14ac:dyDescent="0.25">
      <c r="A453" s="19" t="s">
        <v>287</v>
      </c>
      <c r="B453" s="19" t="s">
        <v>237</v>
      </c>
      <c r="C453" s="4" t="s">
        <v>52</v>
      </c>
      <c r="D453" s="5"/>
      <c r="E453" s="5"/>
      <c r="F453" s="5"/>
      <c r="G453" s="5"/>
      <c r="H453" s="12" t="str">
        <f>IF(OR(D453="",E453=""),"",IF(IFERROR(INDEX(Stats!$D:$D,MATCH($C453,Stats!$A:$A,0)),FALSE),ROUND(D453+(E453-D453)*(1+G453)*((1-1)/(MaxLevel-1))^(2^F453),0),D453+(E453-D453)*(1+G453)*((1-1)/(MaxLevel-1))^(2^F453)))</f>
        <v/>
      </c>
      <c r="I453" s="12" t="str">
        <f>IF(OR(D453="",E453=""),"",IF(IFERROR(INDEX(Stats!$D:$D,MATCH($C453,Stats!$A:$A,0)),FALSE),ROUND(D453+(E453-D453)*(1+G453)*((2-1)/(MaxLevel-1))^(2^F453),0),D453+(E453-D453)*(1+G453)*((2-1)/(MaxLevel-1))^(2^F453)))</f>
        <v/>
      </c>
      <c r="J453" s="12" t="str">
        <f>IF(OR(D453="",E453=""),"",IF(IFERROR(INDEX(Stats!$D:$D,MATCH($C453,Stats!$A:$A,0)),FALSE),ROUND(D453+(E453-D453)*(1+G453)*((3-1)/(MaxLevel-1))^(2^F453),0),D453+(E453-D453)*(1+G453)*((3-1)/(MaxLevel-1))^(2^F453)))</f>
        <v/>
      </c>
      <c r="K453" s="12" t="str">
        <f>IF(OR(D453="",E453=""),"",IF(IFERROR(INDEX(Stats!$D:$D,MATCH($C453,Stats!$A:$A,0)),FALSE),ROUND(D453+(E453-D453)*(1+G453)*((4-1)/(MaxLevel-1))^(2^F453),0),D453+(E453-D453)*(1+G453)*((4-1)/(MaxLevel-1))^(2^F453)))</f>
        <v/>
      </c>
      <c r="L453" s="12" t="str">
        <f>IF(OR(D453="",E453=""),"",IF(IFERROR(INDEX(Stats!$D:$D,MATCH($C453,Stats!$A:$A,0)),FALSE),ROUND(D453+(E453-D453)*(1+G453)*((5-1)/(MaxLevel-1))^(2^F453),0),D453+(E453-D453)*(1+G453)*((5-1)/(MaxLevel-1))^(2^F453)))</f>
        <v/>
      </c>
      <c r="M453" s="12" t="str">
        <f>IF(OR(D453="",E453=""),"",IF(IFERROR(INDEX(Stats!$D:$D,MATCH($C453,Stats!$A:$A,0)),FALSE),ROUND(D453+(E453-D453)*(1+G453)*((6-1)/(MaxLevel-1))^(2^F453),0),D453+(E453-D453)*(1+G453)*((6-1)/(MaxLevel-1))^(2^F453)))</f>
        <v/>
      </c>
      <c r="N453" s="12" t="str">
        <f>IF(OR(D453="",E453=""),"",IF(IFERROR(INDEX(Stats!$D:$D,MATCH($C453,Stats!$A:$A,0)),FALSE),ROUND(D453+(E453-D453)*(1+G453)*((7-1)/(MaxLevel-1))^(2^F453),0),D453+(E453-D453)*(1+G453)*((7-1)/(MaxLevel-1))^(2^F453)))</f>
        <v/>
      </c>
      <c r="O453" s="12" t="str">
        <f>IF(OR(D453="",E453=""),"",IF(IFERROR(INDEX(Stats!$D:$D,MATCH($C453,Stats!$A:$A,0)),FALSE),ROUND(D453+(E453-D453)*(1+G453)*((8-1)/(MaxLevel-1))^(2^F453),0),D453+(E453-D453)*(1+G453)*((8-1)/(MaxLevel-1))^(2^F453)))</f>
        <v/>
      </c>
      <c r="P453" s="12" t="str">
        <f>IF(OR(D453="",E453=""),"",IF(IFERROR(INDEX(Stats!$D:$D,MATCH($C453,Stats!$A:$A,0)),FALSE),ROUND(D453+(E453-D453)*(1+G453)*((9-1)/(MaxLevel-1))^(2^F453),0),D453+(E453-D453)*(1+G453)*((9-1)/(MaxLevel-1))^(2^F453)))</f>
        <v/>
      </c>
      <c r="Q453" s="12" t="str">
        <f>IF(OR(D453="",E453=""),"",IF(IFERROR(INDEX(Stats!$D:$D,MATCH($C453,Stats!$A:$A,0)),FALSE),ROUND(D453+(E453-D453)*(1+G453)*((10-1)/(MaxLevel-1))^(2^F453),0),D453+(E453-D453)*(1+G453)*((10-1)/(MaxLevel-1))^(2^F453)))</f>
        <v/>
      </c>
    </row>
    <row r="454" spans="1:17" x14ac:dyDescent="0.25">
      <c r="A454" s="19" t="s">
        <v>287</v>
      </c>
      <c r="B454" s="19" t="s">
        <v>237</v>
      </c>
      <c r="C454" s="4" t="s">
        <v>54</v>
      </c>
      <c r="D454" s="5"/>
      <c r="E454" s="5"/>
      <c r="F454" s="5"/>
      <c r="G454" s="5"/>
      <c r="H454" s="12" t="str">
        <f>IF(OR(D454="",E454=""),"",IF(IFERROR(INDEX(Stats!$D:$D,MATCH($C454,Stats!$A:$A,0)),FALSE),ROUND(D454+(E454-D454)*(1+G454)*((1-1)/(MaxLevel-1))^(2^F454),0),D454+(E454-D454)*(1+G454)*((1-1)/(MaxLevel-1))^(2^F454)))</f>
        <v/>
      </c>
      <c r="I454" s="12" t="str">
        <f>IF(OR(D454="",E454=""),"",IF(IFERROR(INDEX(Stats!$D:$D,MATCH($C454,Stats!$A:$A,0)),FALSE),ROUND(D454+(E454-D454)*(1+G454)*((2-1)/(MaxLevel-1))^(2^F454),0),D454+(E454-D454)*(1+G454)*((2-1)/(MaxLevel-1))^(2^F454)))</f>
        <v/>
      </c>
      <c r="J454" s="12" t="str">
        <f>IF(OR(D454="",E454=""),"",IF(IFERROR(INDEX(Stats!$D:$D,MATCH($C454,Stats!$A:$A,0)),FALSE),ROUND(D454+(E454-D454)*(1+G454)*((3-1)/(MaxLevel-1))^(2^F454),0),D454+(E454-D454)*(1+G454)*((3-1)/(MaxLevel-1))^(2^F454)))</f>
        <v/>
      </c>
      <c r="K454" s="12" t="str">
        <f>IF(OR(D454="",E454=""),"",IF(IFERROR(INDEX(Stats!$D:$D,MATCH($C454,Stats!$A:$A,0)),FALSE),ROUND(D454+(E454-D454)*(1+G454)*((4-1)/(MaxLevel-1))^(2^F454),0),D454+(E454-D454)*(1+G454)*((4-1)/(MaxLevel-1))^(2^F454)))</f>
        <v/>
      </c>
      <c r="L454" s="12" t="str">
        <f>IF(OR(D454="",E454=""),"",IF(IFERROR(INDEX(Stats!$D:$D,MATCH($C454,Stats!$A:$A,0)),FALSE),ROUND(D454+(E454-D454)*(1+G454)*((5-1)/(MaxLevel-1))^(2^F454),0),D454+(E454-D454)*(1+G454)*((5-1)/(MaxLevel-1))^(2^F454)))</f>
        <v/>
      </c>
      <c r="M454" s="12" t="str">
        <f>IF(OR(D454="",E454=""),"",IF(IFERROR(INDEX(Stats!$D:$D,MATCH($C454,Stats!$A:$A,0)),FALSE),ROUND(D454+(E454-D454)*(1+G454)*((6-1)/(MaxLevel-1))^(2^F454),0),D454+(E454-D454)*(1+G454)*((6-1)/(MaxLevel-1))^(2^F454)))</f>
        <v/>
      </c>
      <c r="N454" s="12" t="str">
        <f>IF(OR(D454="",E454=""),"",IF(IFERROR(INDEX(Stats!$D:$D,MATCH($C454,Stats!$A:$A,0)),FALSE),ROUND(D454+(E454-D454)*(1+G454)*((7-1)/(MaxLevel-1))^(2^F454),0),D454+(E454-D454)*(1+G454)*((7-1)/(MaxLevel-1))^(2^F454)))</f>
        <v/>
      </c>
      <c r="O454" s="12" t="str">
        <f>IF(OR(D454="",E454=""),"",IF(IFERROR(INDEX(Stats!$D:$D,MATCH($C454,Stats!$A:$A,0)),FALSE),ROUND(D454+(E454-D454)*(1+G454)*((8-1)/(MaxLevel-1))^(2^F454),0),D454+(E454-D454)*(1+G454)*((8-1)/(MaxLevel-1))^(2^F454)))</f>
        <v/>
      </c>
      <c r="P454" s="12" t="str">
        <f>IF(OR(D454="",E454=""),"",IF(IFERROR(INDEX(Stats!$D:$D,MATCH($C454,Stats!$A:$A,0)),FALSE),ROUND(D454+(E454-D454)*(1+G454)*((9-1)/(MaxLevel-1))^(2^F454),0),D454+(E454-D454)*(1+G454)*((9-1)/(MaxLevel-1))^(2^F454)))</f>
        <v/>
      </c>
      <c r="Q454" s="12" t="str">
        <f>IF(OR(D454="",E454=""),"",IF(IFERROR(INDEX(Stats!$D:$D,MATCH($C454,Stats!$A:$A,0)),FALSE),ROUND(D454+(E454-D454)*(1+G454)*((10-1)/(MaxLevel-1))^(2^F454),0),D454+(E454-D454)*(1+G454)*((10-1)/(MaxLevel-1))^(2^F454)))</f>
        <v/>
      </c>
    </row>
    <row r="455" spans="1:17" x14ac:dyDescent="0.25">
      <c r="A455" s="19" t="s">
        <v>287</v>
      </c>
      <c r="B455" s="19" t="s">
        <v>237</v>
      </c>
      <c r="C455" s="4" t="s">
        <v>56</v>
      </c>
      <c r="D455" s="5"/>
      <c r="E455" s="5"/>
      <c r="F455" s="5"/>
      <c r="G455" s="5"/>
      <c r="H455" s="12" t="str">
        <f>IF(OR(D455="",E455=""),"",IF(IFERROR(INDEX(Stats!$D:$D,MATCH($C455,Stats!$A:$A,0)),FALSE),ROUND(D455+(E455-D455)*(1+G455)*((1-1)/(MaxLevel-1))^(2^F455),0),D455+(E455-D455)*(1+G455)*((1-1)/(MaxLevel-1))^(2^F455)))</f>
        <v/>
      </c>
      <c r="I455" s="12" t="str">
        <f>IF(OR(D455="",E455=""),"",IF(IFERROR(INDEX(Stats!$D:$D,MATCH($C455,Stats!$A:$A,0)),FALSE),ROUND(D455+(E455-D455)*(1+G455)*((2-1)/(MaxLevel-1))^(2^F455),0),D455+(E455-D455)*(1+G455)*((2-1)/(MaxLevel-1))^(2^F455)))</f>
        <v/>
      </c>
      <c r="J455" s="12" t="str">
        <f>IF(OR(D455="",E455=""),"",IF(IFERROR(INDEX(Stats!$D:$D,MATCH($C455,Stats!$A:$A,0)),FALSE),ROUND(D455+(E455-D455)*(1+G455)*((3-1)/(MaxLevel-1))^(2^F455),0),D455+(E455-D455)*(1+G455)*((3-1)/(MaxLevel-1))^(2^F455)))</f>
        <v/>
      </c>
      <c r="K455" s="12" t="str">
        <f>IF(OR(D455="",E455=""),"",IF(IFERROR(INDEX(Stats!$D:$D,MATCH($C455,Stats!$A:$A,0)),FALSE),ROUND(D455+(E455-D455)*(1+G455)*((4-1)/(MaxLevel-1))^(2^F455),0),D455+(E455-D455)*(1+G455)*((4-1)/(MaxLevel-1))^(2^F455)))</f>
        <v/>
      </c>
      <c r="L455" s="12" t="str">
        <f>IF(OR(D455="",E455=""),"",IF(IFERROR(INDEX(Stats!$D:$D,MATCH($C455,Stats!$A:$A,0)),FALSE),ROUND(D455+(E455-D455)*(1+G455)*((5-1)/(MaxLevel-1))^(2^F455),0),D455+(E455-D455)*(1+G455)*((5-1)/(MaxLevel-1))^(2^F455)))</f>
        <v/>
      </c>
      <c r="M455" s="12" t="str">
        <f>IF(OR(D455="",E455=""),"",IF(IFERROR(INDEX(Stats!$D:$D,MATCH($C455,Stats!$A:$A,0)),FALSE),ROUND(D455+(E455-D455)*(1+G455)*((6-1)/(MaxLevel-1))^(2^F455),0),D455+(E455-D455)*(1+G455)*((6-1)/(MaxLevel-1))^(2^F455)))</f>
        <v/>
      </c>
      <c r="N455" s="12" t="str">
        <f>IF(OR(D455="",E455=""),"",IF(IFERROR(INDEX(Stats!$D:$D,MATCH($C455,Stats!$A:$A,0)),FALSE),ROUND(D455+(E455-D455)*(1+G455)*((7-1)/(MaxLevel-1))^(2^F455),0),D455+(E455-D455)*(1+G455)*((7-1)/(MaxLevel-1))^(2^F455)))</f>
        <v/>
      </c>
      <c r="O455" s="12" t="str">
        <f>IF(OR(D455="",E455=""),"",IF(IFERROR(INDEX(Stats!$D:$D,MATCH($C455,Stats!$A:$A,0)),FALSE),ROUND(D455+(E455-D455)*(1+G455)*((8-1)/(MaxLevel-1))^(2^F455),0),D455+(E455-D455)*(1+G455)*((8-1)/(MaxLevel-1))^(2^F455)))</f>
        <v/>
      </c>
      <c r="P455" s="12" t="str">
        <f>IF(OR(D455="",E455=""),"",IF(IFERROR(INDEX(Stats!$D:$D,MATCH($C455,Stats!$A:$A,0)),FALSE),ROUND(D455+(E455-D455)*(1+G455)*((9-1)/(MaxLevel-1))^(2^F455),0),D455+(E455-D455)*(1+G455)*((9-1)/(MaxLevel-1))^(2^F455)))</f>
        <v/>
      </c>
      <c r="Q455" s="12" t="str">
        <f>IF(OR(D455="",E455=""),"",IF(IFERROR(INDEX(Stats!$D:$D,MATCH($C455,Stats!$A:$A,0)),FALSE),ROUND(D455+(E455-D455)*(1+G455)*((10-1)/(MaxLevel-1))^(2^F455),0),D455+(E455-D455)*(1+G455)*((10-1)/(MaxLevel-1))^(2^F455)))</f>
        <v/>
      </c>
    </row>
    <row r="456" spans="1:17" x14ac:dyDescent="0.25">
      <c r="A456" s="19" t="s">
        <v>287</v>
      </c>
      <c r="B456" s="19" t="s">
        <v>237</v>
      </c>
      <c r="C456" s="4" t="s">
        <v>58</v>
      </c>
      <c r="D456" s="5"/>
      <c r="E456" s="5"/>
      <c r="F456" s="5"/>
      <c r="G456" s="5"/>
      <c r="H456" s="12" t="str">
        <f>IF(OR(D456="",E456=""),"",IF(IFERROR(INDEX(Stats!$D:$D,MATCH($C456,Stats!$A:$A,0)),FALSE),ROUND(D456+(E456-D456)*(1+G456)*((1-1)/(MaxLevel-1))^(2^F456),0),D456+(E456-D456)*(1+G456)*((1-1)/(MaxLevel-1))^(2^F456)))</f>
        <v/>
      </c>
      <c r="I456" s="12" t="str">
        <f>IF(OR(D456="",E456=""),"",IF(IFERROR(INDEX(Stats!$D:$D,MATCH($C456,Stats!$A:$A,0)),FALSE),ROUND(D456+(E456-D456)*(1+G456)*((2-1)/(MaxLevel-1))^(2^F456),0),D456+(E456-D456)*(1+G456)*((2-1)/(MaxLevel-1))^(2^F456)))</f>
        <v/>
      </c>
      <c r="J456" s="12" t="str">
        <f>IF(OR(D456="",E456=""),"",IF(IFERROR(INDEX(Stats!$D:$D,MATCH($C456,Stats!$A:$A,0)),FALSE),ROUND(D456+(E456-D456)*(1+G456)*((3-1)/(MaxLevel-1))^(2^F456),0),D456+(E456-D456)*(1+G456)*((3-1)/(MaxLevel-1))^(2^F456)))</f>
        <v/>
      </c>
      <c r="K456" s="12" t="str">
        <f>IF(OR(D456="",E456=""),"",IF(IFERROR(INDEX(Stats!$D:$D,MATCH($C456,Stats!$A:$A,0)),FALSE),ROUND(D456+(E456-D456)*(1+G456)*((4-1)/(MaxLevel-1))^(2^F456),0),D456+(E456-D456)*(1+G456)*((4-1)/(MaxLevel-1))^(2^F456)))</f>
        <v/>
      </c>
      <c r="L456" s="12" t="str">
        <f>IF(OR(D456="",E456=""),"",IF(IFERROR(INDEX(Stats!$D:$D,MATCH($C456,Stats!$A:$A,0)),FALSE),ROUND(D456+(E456-D456)*(1+G456)*((5-1)/(MaxLevel-1))^(2^F456),0),D456+(E456-D456)*(1+G456)*((5-1)/(MaxLevel-1))^(2^F456)))</f>
        <v/>
      </c>
      <c r="M456" s="12" t="str">
        <f>IF(OR(D456="",E456=""),"",IF(IFERROR(INDEX(Stats!$D:$D,MATCH($C456,Stats!$A:$A,0)),FALSE),ROUND(D456+(E456-D456)*(1+G456)*((6-1)/(MaxLevel-1))^(2^F456),0),D456+(E456-D456)*(1+G456)*((6-1)/(MaxLevel-1))^(2^F456)))</f>
        <v/>
      </c>
      <c r="N456" s="12" t="str">
        <f>IF(OR(D456="",E456=""),"",IF(IFERROR(INDEX(Stats!$D:$D,MATCH($C456,Stats!$A:$A,0)),FALSE),ROUND(D456+(E456-D456)*(1+G456)*((7-1)/(MaxLevel-1))^(2^F456),0),D456+(E456-D456)*(1+G456)*((7-1)/(MaxLevel-1))^(2^F456)))</f>
        <v/>
      </c>
      <c r="O456" s="12" t="str">
        <f>IF(OR(D456="",E456=""),"",IF(IFERROR(INDEX(Stats!$D:$D,MATCH($C456,Stats!$A:$A,0)),FALSE),ROUND(D456+(E456-D456)*(1+G456)*((8-1)/(MaxLevel-1))^(2^F456),0),D456+(E456-D456)*(1+G456)*((8-1)/(MaxLevel-1))^(2^F456)))</f>
        <v/>
      </c>
      <c r="P456" s="12" t="str">
        <f>IF(OR(D456="",E456=""),"",IF(IFERROR(INDEX(Stats!$D:$D,MATCH($C456,Stats!$A:$A,0)),FALSE),ROUND(D456+(E456-D456)*(1+G456)*((9-1)/(MaxLevel-1))^(2^F456),0),D456+(E456-D456)*(1+G456)*((9-1)/(MaxLevel-1))^(2^F456)))</f>
        <v/>
      </c>
      <c r="Q456" s="12" t="str">
        <f>IF(OR(D456="",E456=""),"",IF(IFERROR(INDEX(Stats!$D:$D,MATCH($C456,Stats!$A:$A,0)),FALSE),ROUND(D456+(E456-D456)*(1+G456)*((10-1)/(MaxLevel-1))^(2^F456),0),D456+(E456-D456)*(1+G456)*((10-1)/(MaxLevel-1))^(2^F456)))</f>
        <v/>
      </c>
    </row>
    <row r="457" spans="1:17" x14ac:dyDescent="0.25">
      <c r="A457" s="19" t="s">
        <v>287</v>
      </c>
      <c r="B457" s="19" t="s">
        <v>237</v>
      </c>
      <c r="C457" s="4" t="s">
        <v>60</v>
      </c>
      <c r="D457" s="5">
        <v>0.3</v>
      </c>
      <c r="E457" s="5">
        <v>0.1</v>
      </c>
      <c r="F457" s="5">
        <v>0</v>
      </c>
      <c r="G457" s="5">
        <v>0</v>
      </c>
      <c r="H457" s="12">
        <f>IF(OR(D457="",E457=""),"",IF(IFERROR(INDEX(Stats!$D:$D,MATCH($C457,Stats!$A:$A,0)),FALSE),ROUND(D457+(E457-D457)*(1+G457)*((1-1)/(MaxLevel-1))^(2^F457),0),D457+(E457-D457)*(1+G457)*((1-1)/(MaxLevel-1))^(2^F457)))</f>
        <v>0.3</v>
      </c>
      <c r="I457" s="12">
        <f>IF(OR(D457="",E457=""),"",IF(IFERROR(INDEX(Stats!$D:$D,MATCH($C457,Stats!$A:$A,0)),FALSE),ROUND(D457+(E457-D457)*(1+G457)*((2-1)/(MaxLevel-1))^(2^F457),0),D457+(E457-D457)*(1+G457)*((2-1)/(MaxLevel-1))^(2^F457)))</f>
        <v>0.27777777777777779</v>
      </c>
      <c r="J457" s="12">
        <f>IF(OR(D457="",E457=""),"",IF(IFERROR(INDEX(Stats!$D:$D,MATCH($C457,Stats!$A:$A,0)),FALSE),ROUND(D457+(E457-D457)*(1+G457)*((3-1)/(MaxLevel-1))^(2^F457),0),D457+(E457-D457)*(1+G457)*((3-1)/(MaxLevel-1))^(2^F457)))</f>
        <v>0.25555555555555554</v>
      </c>
      <c r="K457" s="12">
        <f>IF(OR(D457="",E457=""),"",IF(IFERROR(INDEX(Stats!$D:$D,MATCH($C457,Stats!$A:$A,0)),FALSE),ROUND(D457+(E457-D457)*(1+G457)*((4-1)/(MaxLevel-1))^(2^F457),0),D457+(E457-D457)*(1+G457)*((4-1)/(MaxLevel-1))^(2^F457)))</f>
        <v>0.23333333333333334</v>
      </c>
      <c r="L457" s="12">
        <f>IF(OR(D457="",E457=""),"",IF(IFERROR(INDEX(Stats!$D:$D,MATCH($C457,Stats!$A:$A,0)),FALSE),ROUND(D457+(E457-D457)*(1+G457)*((5-1)/(MaxLevel-1))^(2^F457),0),D457+(E457-D457)*(1+G457)*((5-1)/(MaxLevel-1))^(2^F457)))</f>
        <v>0.21111111111111111</v>
      </c>
      <c r="M457" s="12">
        <f>IF(OR(D457="",E457=""),"",IF(IFERROR(INDEX(Stats!$D:$D,MATCH($C457,Stats!$A:$A,0)),FALSE),ROUND(D457+(E457-D457)*(1+G457)*((6-1)/(MaxLevel-1))^(2^F457),0),D457+(E457-D457)*(1+G457)*((6-1)/(MaxLevel-1))^(2^F457)))</f>
        <v>0.18888888888888888</v>
      </c>
      <c r="N457" s="12">
        <f>IF(OR(D457="",E457=""),"",IF(IFERROR(INDEX(Stats!$D:$D,MATCH($C457,Stats!$A:$A,0)),FALSE),ROUND(D457+(E457-D457)*(1+G457)*((7-1)/(MaxLevel-1))^(2^F457),0),D457+(E457-D457)*(1+G457)*((7-1)/(MaxLevel-1))^(2^F457)))</f>
        <v>0.16666666666666669</v>
      </c>
      <c r="O457" s="12">
        <f>IF(OR(D457="",E457=""),"",IF(IFERROR(INDEX(Stats!$D:$D,MATCH($C457,Stats!$A:$A,0)),FALSE),ROUND(D457+(E457-D457)*(1+G457)*((8-1)/(MaxLevel-1))^(2^F457),0),D457+(E457-D457)*(1+G457)*((8-1)/(MaxLevel-1))^(2^F457)))</f>
        <v>0.14444444444444443</v>
      </c>
      <c r="P457" s="12">
        <f>IF(OR(D457="",E457=""),"",IF(IFERROR(INDEX(Stats!$D:$D,MATCH($C457,Stats!$A:$A,0)),FALSE),ROUND(D457+(E457-D457)*(1+G457)*((9-1)/(MaxLevel-1))^(2^F457),0),D457+(E457-D457)*(1+G457)*((9-1)/(MaxLevel-1))^(2^F457)))</f>
        <v>0.12222222222222223</v>
      </c>
      <c r="Q457" s="12">
        <f>IF(OR(D457="",E457=""),"",IF(IFERROR(INDEX(Stats!$D:$D,MATCH($C457,Stats!$A:$A,0)),FALSE),ROUND(D457+(E457-D457)*(1+G457)*((10-1)/(MaxLevel-1))^(2^F457),0),D457+(E457-D457)*(1+G457)*((10-1)/(MaxLevel-1))^(2^F457)))</f>
        <v>0.1</v>
      </c>
    </row>
  </sheetData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E39D9CEC-95BF-4B89-9C54-E3F603439A89}">
          <x14:formula1>
            <xm:f>Stats!$A$2:$A$200</xm:f>
          </x14:formula1>
          <xm:sqref>C2:C1981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6D1EE-8B10-48A8-A3B0-3DA3EC43E2CD}">
  <dimension ref="A1:Y26"/>
  <sheetViews>
    <sheetView workbookViewId="0">
      <pane xSplit="1" ySplit="2" topLeftCell="B3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RowHeight="15" x14ac:dyDescent="0.25"/>
  <cols>
    <col min="1" max="1" width="12" customWidth="1"/>
    <col min="2" max="25" width="6" customWidth="1"/>
  </cols>
  <sheetData>
    <row r="1" spans="1:25" x14ac:dyDescent="0.25">
      <c r="A1" s="13" t="s">
        <v>217</v>
      </c>
    </row>
    <row r="2" spans="1:25" x14ac:dyDescent="0.25">
      <c r="A2" s="14" t="s">
        <v>150</v>
      </c>
      <c r="B2" s="14" t="s">
        <v>186</v>
      </c>
      <c r="C2" s="14" t="s">
        <v>218</v>
      </c>
      <c r="D2" s="14" t="s">
        <v>219</v>
      </c>
      <c r="E2" s="14" t="s">
        <v>220</v>
      </c>
      <c r="F2" s="14" t="s">
        <v>221</v>
      </c>
      <c r="G2" s="14" t="s">
        <v>190</v>
      </c>
      <c r="H2" s="14" t="s">
        <v>222</v>
      </c>
      <c r="I2" s="14" t="s">
        <v>223</v>
      </c>
      <c r="J2" s="14" t="s">
        <v>224</v>
      </c>
      <c r="K2" s="14" t="s">
        <v>195</v>
      </c>
      <c r="L2" s="14" t="s">
        <v>225</v>
      </c>
      <c r="M2" s="14" t="s">
        <v>226</v>
      </c>
      <c r="N2" s="14" t="s">
        <v>227</v>
      </c>
      <c r="O2" s="14" t="s">
        <v>228</v>
      </c>
      <c r="P2" s="14" t="s">
        <v>229</v>
      </c>
      <c r="Q2" s="14" t="s">
        <v>230</v>
      </c>
      <c r="R2" s="14" t="s">
        <v>231</v>
      </c>
      <c r="S2" s="14" t="s">
        <v>232</v>
      </c>
      <c r="T2" s="14" t="s">
        <v>233</v>
      </c>
      <c r="U2" s="14" t="s">
        <v>234</v>
      </c>
      <c r="V2" s="14" t="s">
        <v>235</v>
      </c>
      <c r="W2" s="14" t="s">
        <v>236</v>
      </c>
      <c r="X2" s="14" t="s">
        <v>201</v>
      </c>
      <c r="Y2" s="14" t="s">
        <v>237</v>
      </c>
    </row>
    <row r="3" spans="1:25" x14ac:dyDescent="0.25">
      <c r="A3" s="14" t="s">
        <v>186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spans="1:25" x14ac:dyDescent="0.25">
      <c r="A4" s="14" t="s">
        <v>218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5" x14ac:dyDescent="0.25">
      <c r="A5" s="14" t="s">
        <v>219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 x14ac:dyDescent="0.25">
      <c r="A6" s="14" t="s">
        <v>220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spans="1:25" x14ac:dyDescent="0.25">
      <c r="A7" s="14" t="s">
        <v>221</v>
      </c>
      <c r="B7" s="17"/>
      <c r="C7" s="17"/>
      <c r="D7" s="17"/>
      <c r="E7" s="17"/>
      <c r="F7" s="17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7"/>
    </row>
    <row r="8" spans="1:25" x14ac:dyDescent="0.25">
      <c r="A8" s="14" t="s">
        <v>190</v>
      </c>
      <c r="B8" s="17"/>
      <c r="C8" s="17"/>
      <c r="D8" s="17"/>
      <c r="E8" s="17"/>
      <c r="G8" s="15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7"/>
    </row>
    <row r="9" spans="1:25" x14ac:dyDescent="0.25">
      <c r="A9" s="14" t="s">
        <v>222</v>
      </c>
      <c r="B9" s="17"/>
      <c r="C9" s="17"/>
      <c r="D9" s="17"/>
      <c r="E9" s="17"/>
      <c r="G9" s="16"/>
      <c r="H9" s="15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7"/>
    </row>
    <row r="10" spans="1:25" x14ac:dyDescent="0.25">
      <c r="A10" s="14" t="s">
        <v>223</v>
      </c>
      <c r="B10" s="17"/>
      <c r="C10" s="17"/>
      <c r="D10" s="17"/>
      <c r="E10" s="17"/>
      <c r="G10" s="16"/>
      <c r="H10" s="16"/>
      <c r="I10" s="15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7"/>
    </row>
    <row r="11" spans="1:25" x14ac:dyDescent="0.25">
      <c r="A11" s="14" t="s">
        <v>224</v>
      </c>
      <c r="B11" s="17"/>
      <c r="C11" s="17"/>
      <c r="D11" s="17"/>
      <c r="E11" s="17"/>
      <c r="G11" s="16"/>
      <c r="H11" s="16"/>
      <c r="I11" s="16"/>
      <c r="J11" s="15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7"/>
    </row>
    <row r="12" spans="1:25" x14ac:dyDescent="0.25">
      <c r="A12" s="14" t="s">
        <v>195</v>
      </c>
      <c r="B12" s="17"/>
      <c r="C12" s="17"/>
      <c r="D12" s="17"/>
      <c r="E12" s="17"/>
      <c r="H12" s="16"/>
      <c r="I12" s="16"/>
      <c r="J12" s="16"/>
      <c r="K12" s="15"/>
      <c r="L12" s="16"/>
      <c r="M12" s="16"/>
      <c r="N12" s="16"/>
      <c r="O12" s="16">
        <v>0.5</v>
      </c>
      <c r="P12" s="16"/>
      <c r="Q12" s="16"/>
      <c r="R12" s="16"/>
      <c r="S12" s="16"/>
      <c r="T12" s="16"/>
      <c r="U12" s="16"/>
      <c r="V12" s="16"/>
      <c r="W12" s="16"/>
      <c r="X12" s="16"/>
      <c r="Y12" s="17"/>
    </row>
    <row r="13" spans="1:25" x14ac:dyDescent="0.25">
      <c r="A13" s="14" t="s">
        <v>225</v>
      </c>
      <c r="B13" s="17"/>
      <c r="C13" s="17"/>
      <c r="D13" s="17"/>
      <c r="E13" s="17"/>
      <c r="G13" s="16"/>
      <c r="H13" s="16"/>
      <c r="I13" s="16"/>
      <c r="J13" s="16"/>
      <c r="K13" s="16"/>
      <c r="L13" s="15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7"/>
    </row>
    <row r="14" spans="1:25" x14ac:dyDescent="0.25">
      <c r="A14" s="14" t="s">
        <v>226</v>
      </c>
      <c r="B14" s="17"/>
      <c r="C14" s="17"/>
      <c r="D14" s="17"/>
      <c r="E14" s="17"/>
      <c r="G14" s="16"/>
      <c r="H14" s="16"/>
      <c r="I14" s="16"/>
      <c r="J14" s="16"/>
      <c r="K14" s="16"/>
      <c r="L14" s="16"/>
      <c r="M14" s="15"/>
      <c r="N14" s="16"/>
      <c r="O14" s="16"/>
      <c r="P14" s="16"/>
      <c r="Q14" s="16"/>
      <c r="R14" s="16">
        <v>2</v>
      </c>
      <c r="S14" s="16"/>
      <c r="T14" s="16"/>
      <c r="U14" s="16"/>
      <c r="V14" s="16"/>
      <c r="W14" s="16"/>
      <c r="X14" s="16"/>
      <c r="Y14" s="17"/>
    </row>
    <row r="15" spans="1:25" x14ac:dyDescent="0.25">
      <c r="A15" s="14" t="s">
        <v>227</v>
      </c>
      <c r="B15" s="17"/>
      <c r="C15" s="17"/>
      <c r="D15" s="17"/>
      <c r="E15" s="17"/>
      <c r="G15" s="16"/>
      <c r="H15" s="16"/>
      <c r="I15" s="16"/>
      <c r="J15" s="16"/>
      <c r="K15" s="16"/>
      <c r="L15" s="16"/>
      <c r="M15" s="16"/>
      <c r="N15" s="15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7"/>
    </row>
    <row r="16" spans="1:25" x14ac:dyDescent="0.25">
      <c r="A16" s="14" t="s">
        <v>228</v>
      </c>
      <c r="B16" s="17"/>
      <c r="C16" s="17"/>
      <c r="D16" s="17"/>
      <c r="E16" s="17"/>
      <c r="G16" s="16"/>
      <c r="H16" s="16"/>
      <c r="I16" s="16"/>
      <c r="J16" s="16"/>
      <c r="K16" s="16">
        <v>0.5</v>
      </c>
      <c r="L16" s="16"/>
      <c r="M16" s="16"/>
      <c r="N16" s="16"/>
      <c r="O16" s="15"/>
      <c r="P16" s="16"/>
      <c r="Q16" s="16"/>
      <c r="R16" s="16"/>
      <c r="S16" s="16"/>
      <c r="T16" s="16"/>
      <c r="U16" s="16"/>
      <c r="V16" s="16"/>
      <c r="W16" s="16"/>
      <c r="X16" s="16"/>
      <c r="Y16" s="17"/>
    </row>
    <row r="17" spans="1:25" x14ac:dyDescent="0.25">
      <c r="A17" s="14" t="s">
        <v>229</v>
      </c>
      <c r="B17" s="17"/>
      <c r="C17" s="17"/>
      <c r="D17" s="17"/>
      <c r="E17" s="17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6"/>
      <c r="R17" s="16"/>
      <c r="S17" s="16"/>
      <c r="T17" s="16"/>
      <c r="U17" s="16"/>
      <c r="V17" s="16"/>
      <c r="W17" s="16"/>
      <c r="X17" s="16"/>
      <c r="Y17" s="17"/>
    </row>
    <row r="18" spans="1:25" x14ac:dyDescent="0.25">
      <c r="A18" s="14" t="s">
        <v>230</v>
      </c>
      <c r="B18" s="17"/>
      <c r="C18" s="17"/>
      <c r="D18" s="17"/>
      <c r="E18" s="17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5"/>
      <c r="R18" s="16"/>
      <c r="S18" s="16"/>
      <c r="T18" s="16"/>
      <c r="U18" s="16"/>
      <c r="V18" s="16"/>
      <c r="W18" s="16"/>
      <c r="X18" s="16"/>
      <c r="Y18" s="17"/>
    </row>
    <row r="19" spans="1:25" x14ac:dyDescent="0.25">
      <c r="A19" s="14" t="s">
        <v>231</v>
      </c>
      <c r="B19" s="17"/>
      <c r="C19" s="17"/>
      <c r="D19" s="17"/>
      <c r="E19" s="17"/>
      <c r="G19" s="16"/>
      <c r="H19" s="16"/>
      <c r="I19" s="16"/>
      <c r="J19" s="16"/>
      <c r="K19" s="16"/>
      <c r="L19" s="16"/>
      <c r="M19" s="16">
        <v>2</v>
      </c>
      <c r="N19" s="16"/>
      <c r="O19" s="16"/>
      <c r="P19" s="16"/>
      <c r="Q19" s="16"/>
      <c r="R19" s="15"/>
      <c r="S19" s="16"/>
      <c r="T19" s="16"/>
      <c r="U19" s="16"/>
      <c r="V19" s="16"/>
      <c r="W19" s="16"/>
      <c r="X19" s="16"/>
      <c r="Y19" s="17"/>
    </row>
    <row r="20" spans="1:25" x14ac:dyDescent="0.25">
      <c r="A20" s="14" t="s">
        <v>232</v>
      </c>
      <c r="B20" s="17"/>
      <c r="C20" s="17"/>
      <c r="D20" s="17"/>
      <c r="E20" s="17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5"/>
      <c r="T20" s="16"/>
      <c r="U20" s="16"/>
      <c r="V20" s="16"/>
      <c r="W20" s="16"/>
      <c r="X20" s="16"/>
      <c r="Y20" s="17"/>
    </row>
    <row r="21" spans="1:25" x14ac:dyDescent="0.25">
      <c r="A21" s="14" t="s">
        <v>233</v>
      </c>
      <c r="B21" s="17"/>
      <c r="C21" s="17"/>
      <c r="D21" s="17"/>
      <c r="E21" s="17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5"/>
      <c r="U21" s="16"/>
      <c r="V21" s="16"/>
      <c r="W21" s="16"/>
      <c r="X21" s="16"/>
      <c r="Y21" s="17"/>
    </row>
    <row r="22" spans="1:25" x14ac:dyDescent="0.25">
      <c r="A22" s="14" t="s">
        <v>234</v>
      </c>
      <c r="B22" s="17"/>
      <c r="C22" s="17"/>
      <c r="D22" s="17"/>
      <c r="E22" s="17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5"/>
      <c r="V22" s="16"/>
      <c r="W22" s="16"/>
      <c r="X22" s="16"/>
      <c r="Y22" s="17"/>
    </row>
    <row r="23" spans="1:25" x14ac:dyDescent="0.25">
      <c r="A23" s="14" t="s">
        <v>235</v>
      </c>
      <c r="B23" s="17"/>
      <c r="C23" s="17"/>
      <c r="D23" s="17"/>
      <c r="E23" s="17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5"/>
      <c r="W23" s="16"/>
      <c r="X23" s="16"/>
      <c r="Y23" s="17"/>
    </row>
    <row r="24" spans="1:25" x14ac:dyDescent="0.25">
      <c r="A24" s="14" t="s">
        <v>236</v>
      </c>
      <c r="B24" s="17"/>
      <c r="C24" s="17"/>
      <c r="D24" s="17"/>
      <c r="E24" s="17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5"/>
      <c r="X24" s="16"/>
      <c r="Y24" s="17"/>
    </row>
    <row r="25" spans="1:25" x14ac:dyDescent="0.25">
      <c r="A25" s="14" t="s">
        <v>201</v>
      </c>
      <c r="B25" s="17"/>
      <c r="C25" s="17"/>
      <c r="D25" s="17"/>
      <c r="E25" s="17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5"/>
      <c r="Y25" s="17"/>
    </row>
    <row r="26" spans="1:25" x14ac:dyDescent="0.25">
      <c r="A26" s="14" t="s">
        <v>237</v>
      </c>
      <c r="B26" s="17"/>
      <c r="C26" s="17"/>
      <c r="D26" s="17"/>
      <c r="E26" s="17"/>
      <c r="F26" s="18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5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ReadMe</vt:lpstr>
      <vt:lpstr>Stats</vt:lpstr>
      <vt:lpstr>LevelFormula</vt:lpstr>
      <vt:lpstr>DamageTypes</vt:lpstr>
      <vt:lpstr>Abilities</vt:lpstr>
      <vt:lpstr>01U_Data</vt:lpstr>
      <vt:lpstr>01U_Levels</vt:lpstr>
      <vt:lpstr>01U_Relations</vt:lpstr>
      <vt:lpstr>01H_Data</vt:lpstr>
      <vt:lpstr>01H_Levels</vt:lpstr>
      <vt:lpstr>01H_Relations</vt:lpstr>
      <vt:lpstr>MaxLevel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Purser</cp:lastModifiedBy>
  <dcterms:created xsi:type="dcterms:W3CDTF">2026-10-01T12:03:37Z</dcterms:created>
  <dcterms:modified xsi:type="dcterms:W3CDTF">2026-10-01T15:06:31Z</dcterms:modified>
</cp:coreProperties>
</file>