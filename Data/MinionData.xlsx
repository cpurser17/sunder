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ats" sheetId="2" state="visible" r:id="rId2"/>
    <sheet name="LevelFormula" sheetId="3" state="visible" r:id="rId3"/>
    <sheet name="DamageTypes" sheetId="4" state="visible" r:id="rId4"/>
    <sheet name="Abilities" sheetId="5" state="visible" r:id="rId5"/>
    <sheet name="01U_Data" sheetId="6" state="visible" r:id="rId6"/>
    <sheet name="01U_Levels" sheetId="7" state="visible" r:id="rId7"/>
    <sheet name="01U_Relations" sheetId="8" state="visible" r:id="rId8"/>
  </sheets>
  <definedNames>
    <definedName name="MaxLevel">LevelFormula!$B$20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#"/>
    <numFmt numFmtId="165" formatCode="0.0"/>
    <numFmt numFmtId="166" formatCode="#,##0.##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color rgb="00FFFFFF"/>
    </font>
    <font>
      <name val="Arial"/>
    </font>
    <font>
      <name val="Arial"/>
      <i val="1"/>
    </font>
    <font>
      <name val="Arial"/>
      <b val="1"/>
    </font>
    <font>
      <name val="Arial"/>
      <b val="1"/>
      <sz val="14"/>
    </font>
    <font>
      <name val="Consolas"/>
    </font>
    <font>
      <name val="Arial"/>
      <color rgb="000000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9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9" fontId="4" fillId="0" borderId="0" pivotButton="0" quotePrefix="0" xfId="0"/>
    <xf numFmtId="164" fontId="4" fillId="0" borderId="0" pivotButton="0" quotePrefix="0" xfId="0"/>
    <xf numFmtId="0" fontId="3" fillId="6" borderId="0" applyAlignment="1" pivotButton="0" quotePrefix="0" xfId="0">
      <alignment vertical="top" wrapText="1"/>
    </xf>
    <xf numFmtId="166" fontId="4" fillId="5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Calculator</a:t>
            </a:r>
          </a:p>
        </rich>
      </tx>
    </title>
    <plotArea>
      <lineChart>
        <grouping val="standard"/>
        <ser>
          <idx val="0"/>
          <order val="0"/>
          <tx>
            <strRef>
              <f>'LevelFormula'!A29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'LevelFormula'!$B$28:$K$28</f>
            </numRef>
          </cat>
          <val>
            <numRef>
              <f>'LevelFormula'!$B$29:$K$29</f>
            </numRef>
          </val>
        </ser>
        <ser>
          <idx val="1"/>
          <order val="1"/>
          <tx>
            <strRef>
              <f>'LevelFormula'!A30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'LevelFormula'!$B$28:$K$28</f>
            </numRef>
          </cat>
          <val>
            <numRef>
              <f>'LevelFormula'!$B$30:$K$30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Curve shapes</a:t>
            </a:r>
          </a:p>
        </rich>
      </tx>
    </title>
    <plotArea>
      <lineChart>
        <grouping val="standard"/>
        <ser>
          <idx val="0"/>
          <order val="0"/>
          <tx>
            <strRef>
              <f>'LevelFormula'!A50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'LevelFormula'!$B$49:$K$49</f>
            </numRef>
          </cat>
          <val>
            <numRef>
              <f>'LevelFormula'!$B$50:$K$50</f>
            </numRef>
          </val>
        </ser>
        <ser>
          <idx val="1"/>
          <order val="1"/>
          <tx>
            <strRef>
              <f>'LevelFormula'!A51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'LevelFormula'!$B$49:$K$49</f>
            </numRef>
          </cat>
          <val>
            <numRef>
              <f>'LevelFormula'!$B$51:$K$51</f>
            </numRef>
          </val>
        </ser>
        <ser>
          <idx val="2"/>
          <order val="2"/>
          <tx>
            <strRef>
              <f>'LevelFormula'!A52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'LevelFormula'!$B$49:$K$49</f>
            </numRef>
          </cat>
          <val>
            <numRef>
              <f>'LevelFormula'!$B$52:$K$52</f>
            </numRef>
          </val>
        </ser>
        <ser>
          <idx val="3"/>
          <order val="3"/>
          <tx>
            <strRef>
              <f>'LevelFormula'!A53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'LevelFormula'!$B$49:$K$49</f>
            </numRef>
          </cat>
          <val>
            <numRef>
              <f>'LevelFormula'!$B$53:$K$53</f>
            </numRef>
          </val>
        </ser>
        <ser>
          <idx val="4"/>
          <order val="4"/>
          <tx>
            <strRef>
              <f>'LevelFormula'!A54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'LevelFormula'!$B$49:$K$49</f>
            </numRef>
          </cat>
          <val>
            <numRef>
              <f>'LevelFormula'!$B$54:$K$54</f>
            </numRef>
          </val>
        </ser>
        <ser>
          <idx val="5"/>
          <order val="5"/>
          <tx>
            <strRef>
              <f>'LevelFormula'!A55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'LevelFormula'!$B$49:$K$49</f>
            </numRef>
          </cat>
          <val>
            <numRef>
              <f>'LevelFormula'!$B$55:$K$55</f>
            </numRef>
          </val>
        </ser>
        <ser>
          <idx val="6"/>
          <order val="6"/>
          <tx>
            <strRef>
              <f>'LevelFormula'!A56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'LevelFormula'!$B$49:$K$49</f>
            </numRef>
          </cat>
          <val>
            <numRef>
              <f>'LevelFormula'!$B$56:$K$56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Growth reached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Stable ID. Must match an entry in MinionStat.cs in the game code; the importer warns if they differ. Never rename once used.</t>
      </text>
    </comment>
    <comment ref="C1" authorId="0" shapeId="0">
      <text>
        <t>Used when a minion has no row for this stat in its _Levels sheet (the importer warns).</t>
      </text>
    </comment>
    <comment ref="D1" authorId="0" shapeId="0">
      <text>
        <t>TRUE = rounded to a whole number in game (and in the preview columns).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B20" authorId="0" shapeId="0">
      <text>
        <t>Highest level. Used by every preview formula in this workbook.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Stable ID. Do not rename once used – Data sheets reference it as a column name Dmg_&lt;ID&gt;.</t>
      </text>
    </comment>
    <comment ref="C1" authorId="0" shapeId="0">
      <text>
        <t>Physical → reduced by target Fortitude.
Magical → reduced by target Resistance.</t>
      </text>
    </comment>
  </commentList>
</comments>
</file>

<file path=xl/comments/comment4.xml><?xml version="1.0" encoding="utf-8"?>
<comments xmlns="http://schemas.openxmlformats.org/spreadsheetml/2006/main">
  <authors>
    <author>Claude</author>
  </authors>
  <commentList>
    <comment ref="A1" authorId="0" shapeId="0">
      <text>
        <t>Stable ID referenced by Ability1-5 in *_Data sheets. Never rename once used.</t>
      </text>
    </comment>
    <comment ref="C1" authorId="0" shapeId="0">
      <text>
        <t>Player-facing tooltip text.</t>
      </text>
    </comment>
    <comment ref="D1" authorId="0" shapeId="0">
      <text>
        <t>Attack | Defence | Heal | Buff | Debuff | Summon</t>
      </text>
    </comment>
    <comment ref="E1" authorId="0" shapeId="0">
      <text>
        <t>Self | SingleEnemy | SingleAlly | AreaEnemy | AreaAlly | Cone | Line</t>
      </text>
    </comment>
    <comment ref="F1" authorId="0" shapeId="0">
      <text>
        <t>Melee | Ranged | Magic. Melee/Ranged roll Accuracy vs Dexterity; Magic may be unavoidable (your call).</t>
      </text>
    </comment>
    <comment ref="G1" authorId="0" shapeId="0">
      <text>
        <t>DamageTypeID from DamageTypes sheet. Blank for non-damaging abilities.</t>
      </text>
    </comment>
    <comment ref="H1" authorId="0" shapeId="0">
      <text>
        <t>Flat damage/heal/shield amount before scaling.</t>
      </text>
    </comment>
    <comment ref="I1" authorId="0" shapeId="0">
      <text>
        <t>Stat from *_Levels that scales the ability: Strength | Magic | Health | Fortitude | Resistance | Speed ...</t>
      </text>
    </comment>
    <comment ref="J1" authorId="0" shapeId="0">
      <text>
        <t>Final power = BasePower + ScalingStat × ScalingFactor (then reduced by target defence and multiplied by Dmg_ multiplier).</t>
      </text>
    </comment>
    <comment ref="K1" authorId="0" shapeId="0">
      <text>
        <t>In tiles. 1 = adjacent (melee).</t>
      </text>
    </comment>
    <comment ref="L1" authorId="0" shapeId="0">
      <text>
        <t>In tiles. 0 = single target.</t>
      </text>
    </comment>
    <comment ref="M1" authorId="0" shapeId="0">
      <text>
        <t>Seconds between uses.</t>
      </text>
    </comment>
    <comment ref="N1" authorId="0" shapeId="0">
      <text>
        <t>Seconds of wind-up before the effect lands. 0 = instant.</t>
      </text>
    </comment>
    <comment ref="O1" authorId="0" shapeId="0">
      <text>
        <t>Optional: Burn | Freeze | Stun | Slow | Poison | Fear | Shield | Haste ... (would get its own sheet later if it grows)</t>
      </text>
    </comment>
    <comment ref="P1" authorId="0" shapeId="0">
      <text>
        <t>0-1 chance to apply.</t>
      </text>
    </comment>
    <comment ref="Q1" authorId="0" shapeId="0">
      <text>
        <t>Seconds.</t>
      </text>
    </comment>
    <comment ref="R1" authorId="0" shapeId="0">
      <text>
        <t>Meaning depends on effect: damage per second for Burn/Poison, fraction for Slow (0.3 = 30% slower), absorb amount for Shield.</t>
      </text>
    </comment>
  </commentList>
</comments>
</file>

<file path=xl/comments/comment5.xml><?xml version="1.0" encoding="utf-8"?>
<comments xmlns="http://schemas.openxmlformats.org/spreadsheetml/2006/main">
  <authors>
    <author>Claude</author>
  </authors>
  <commentList>
    <comment ref="E1" authorId="0" shapeId="0">
      <text>
        <t>LandOnly | LandWater | LandLava | LandWaterLava | Flying (matches TraversalCapability in code).</t>
      </text>
    </comment>
    <comment ref="F1" authorId="0" shapeId="0">
      <text>
        <t>Damage-taken multiplier per damage type: 0 = immune, 0.5 = strong to, 1 = normal (blank = 1), 2 = weak to. Any value allowed (e.g. 0.75).</t>
      </text>
    </comment>
    <comment ref="O1" authorId="0" shapeId="0">
      <text>
        <t>0-1. Weight used when the minion picks its next activity.</t>
      </text>
    </comment>
    <comment ref="AD1" authorId="0" shapeId="0">
      <text>
        <t>TRUE if this minion can appear at the portal. Blank = TRUE, except Commander, Worker and General stances, which default to FALSE (they arrive other ways).</t>
      </text>
    </comment>
    <comment ref="AE1" authorId="0" shapeId="0">
      <text>
        <t>TRUE = once it has reported for duty, this minion digs, claims, reinforces and hauls gold like a worker. Blank = FALSE. Worker-stance minions always do worker jobs.</t>
      </text>
    </comment>
    <comment ref="AF1" authorId="0" shapeId="0">
      <text>
        <t>Relative pick chance among minions that currently qualify. Blank = 1.</t>
      </text>
    </comment>
    <comment ref="AG1" authorId="0" shapeId="0">
      <text>
        <t>Population slots used. Blank = 1.</t>
      </text>
    </comment>
    <comment ref="AH1" authorId="0" shapeId="0">
      <text>
        <t>Room types that must be built (semicolon list), e.g. RoomA;RoomB.</t>
      </text>
    </comment>
    <comment ref="AI1" authorId="0" shapeId="0">
      <text>
        <t>Minimum size of each required room in tiles – same order as RequiredRooms, e.g. 9;4. Blank = any size.</t>
      </text>
    </comment>
    <comment ref="AJ1" authorId="0" shapeId="0">
      <text>
        <t>Research IDs that must be complete (semicolon list).</t>
      </text>
    </comment>
  </commentList>
</comments>
</file>

<file path=xl/comments/comment6.xml><?xml version="1.0" encoding="utf-8"?>
<comments xmlns="http://schemas.openxmlformats.org/spreadsheetml/2006/main">
  <authors>
    <author>Claude</author>
  </authors>
  <commentList>
    <comment ref="C1" authorId="0" shapeId="0">
      <text>
        <t>One row per stat per minion. Stat names are fixed (drop-down).</t>
      </text>
    </comment>
    <comment ref="D1" authorId="0" shapeId="0">
      <text>
        <t>Value at level 1.</t>
      </text>
    </comment>
    <comment ref="E1" authorId="0" shapeId="0">
      <text>
        <t>Value at level 10 (before Skew).</t>
      </text>
    </comment>
    <comment ref="F1" authorId="0" shapeId="0">
      <text>
        <t>Shape of growth. 0 = linear, + = back-loaded, − = front-loaded. See LevelFormula sheet.</t>
      </text>
    </comment>
    <comment ref="G1" authorId="0" shapeId="0">
      <text>
        <t>Scales total growth: 0.1 = 10% more, −0.1 = 10% less. See LevelFormula sheet.</t>
      </text>
    </comment>
    <comment ref="H1" authorId="0" shapeId="0">
      <text>
        <t>Grey L1–L10 columns are a live preview for you, rounded when Stats says WholeNumber. The importer ignores them; the game calculates the same formula itself.</t>
      </text>
    </comment>
  </commentList>
</comments>
</file>

<file path=xl/comments/comment7.xml><?xml version="1.0" encoding="utf-8"?>
<comments xmlns="http://schemas.openxmlformats.org/spreadsheetml/2006/main">
  <authors>
    <author>Claude</author>
  </authors>
  <commentList>
    <comment ref="A2" authorId="0" shapeId="0">
      <text>
        <t>Not symmetric: the Minotaur hating the Stymphalian Bird doesn't mean the Bird hates the Minotaur. Yellow cells are examples. Only minions with a filled-in _Data row are imported.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57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Minion data</t>
        </is>
      </c>
    </row>
    <row r="2">
      <c r="A2" s="2" t="inlineStr"/>
    </row>
    <row r="3">
      <c r="A3" s="2" t="inlineStr">
        <is>
          <t>Values here are placeholders to show the format, not balance suggestions.</t>
        </is>
      </c>
    </row>
    <row r="4">
      <c r="A4" s="2" t="inlineStr">
        <is>
          <t>In Unity: Sunder &gt; Import Minion Data reads this file (save it first) and creates/updates every minion, ability and faction roster. The Console lists any problems by sheet and row.</t>
        </is>
      </c>
    </row>
    <row r="5">
      <c r="A5" s="2" t="inlineStr">
        <is>
          <t>Rows on a _Data sheet with no Display Name are skipped, so placeholder rows are fine.</t>
        </is>
      </c>
    </row>
    <row r="6">
      <c r="A6" s="2" t="inlineStr">
        <is>
          <t>The Worker row (W) is the faction's imp. Imps read Health (max health), Strength (dig damage per second) and SkillBuild (claim/reinforce speed, 1 = normal) at their level; any of these left off the _Levels sheet keeps the imp prefab's own value.</t>
        </is>
      </c>
    </row>
    <row r="7">
      <c r="A7" s="2" t="inlineStr">
        <is>
          <t>Header cells have comments (hover) explaining each column.</t>
        </is>
      </c>
    </row>
    <row r="8">
      <c r="A8" s="2" t="inlineStr"/>
    </row>
    <row r="9">
      <c r="A9" s="1" t="inlineStr">
        <is>
          <t>Sheets</t>
        </is>
      </c>
    </row>
    <row r="10">
      <c r="A10" s="2" t="inlineStr">
        <is>
          <t>Stats – master list of levelled stats: default value and whether it is a whole number. Adding a stat starts here.</t>
        </is>
      </c>
    </row>
    <row r="11">
      <c r="A11" s="2" t="inlineStr">
        <is>
          <t>DamageTypes – master list of damage types. Column names in *_Data sheets (Dmg_&lt;ID&gt;) must match these IDs.</t>
        </is>
      </c>
    </row>
    <row r="12">
      <c r="A12" s="2" t="inlineStr">
        <is>
          <t>Abilities – one row per ability. Minion AbilityN columns hold an AbilityID from here.</t>
        </is>
      </c>
    </row>
    <row r="13">
      <c r="A13" s="2" t="inlineStr">
        <is>
          <t>01U_Data – revised per-minion columns: Movement, per-damage-type multipliers, summon prerequisites.</t>
        </is>
      </c>
    </row>
    <row r="14">
      <c r="A14" s="2" t="inlineStr">
        <is>
          <t>01U_Levels – per-stat Min (level 1), Max (level 10), Curve and Skew. Grey L1–L10 columns are a live preview only; the game ignores them.</t>
        </is>
      </c>
    </row>
    <row r="15">
      <c r="A15" s="2" t="inlineStr">
        <is>
          <t>LevelFormula – how Curve and Skew work, with a calculator and a chart to experiment with.</t>
        </is>
      </c>
    </row>
    <row r="16">
      <c r="A16" s="2" t="inlineStr">
        <is>
          <t>01U_Relations – Likes/Hates cross-reference within one faction.</t>
        </is>
      </c>
    </row>
    <row r="17">
      <c r="A17" s="2" t="inlineStr"/>
    </row>
    <row r="18">
      <c r="A18" s="1" t="inlineStr">
        <is>
          <t>Conventions the importer would rely on</t>
        </is>
      </c>
    </row>
    <row r="19">
      <c r="A19" s="2" t="inlineStr">
        <is>
          <t>• Header text is the key – columns can be reordered; unknown columns are warned about, missing ones default.</t>
        </is>
      </c>
    </row>
    <row r="20">
      <c r="A20" s="2" t="inlineStr">
        <is>
          <t>• Lists inside one cell are separated by semicolons, e.g. RoomA;RoomB</t>
        </is>
      </c>
    </row>
    <row r="21">
      <c r="A21" s="2" t="inlineStr">
        <is>
          <t>• Adding a stat: add a row to Stats, add it to MinionStat.cs in the game code, then add its rows to each _Levels sheet.</t>
        </is>
      </c>
    </row>
    <row r="22">
      <c r="A22" s="2" t="inlineStr">
        <is>
          <t>• Blank cell = default (1.0 for damage multipliers, none for prerequisites, 0 for relations).</t>
        </is>
      </c>
    </row>
    <row r="23">
      <c r="A23" s="2" t="inlineStr">
        <is>
          <t>• Sheets are found by suffix (_Data, _Levels, _Relations) so per-faction pairs work fine.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3" customWidth="1" min="4" max="4"/>
  </cols>
  <sheetData>
    <row r="1">
      <c r="A1" s="3" t="inlineStr">
        <is>
          <t>StatID</t>
        </is>
      </c>
      <c r="B1" s="3" t="inlineStr">
        <is>
          <t>Description</t>
        </is>
      </c>
      <c r="C1" s="3" t="inlineStr">
        <is>
          <t>Default</t>
        </is>
      </c>
      <c r="D1" s="3" t="inlineStr">
        <is>
          <t>WholeNumber</t>
        </is>
      </c>
    </row>
    <row r="2">
      <c r="A2" s="4" t="inlineStr">
        <is>
          <t>Experience</t>
        </is>
      </c>
      <c r="B2" s="4" t="inlineStr">
        <is>
          <t>Total experience needed to be this level</t>
        </is>
      </c>
      <c r="C2" s="5" t="n">
        <v>0</v>
      </c>
      <c r="D2" s="5" t="b">
        <v>1</v>
      </c>
    </row>
    <row r="3">
      <c r="A3" s="4" t="inlineStr">
        <is>
          <t>Salary</t>
        </is>
      </c>
      <c r="B3" s="4" t="inlineStr">
        <is>
          <t>Gold cost to sustain this unit each payday</t>
        </is>
      </c>
      <c r="C3" s="5" t="n">
        <v>0</v>
      </c>
      <c r="D3" s="5" t="b">
        <v>1</v>
      </c>
    </row>
    <row r="4">
      <c r="A4" s="4" t="inlineStr">
        <is>
          <t>Health</t>
        </is>
      </c>
      <c r="B4" s="4" t="inlineStr">
        <is>
          <t>Total health of minion</t>
        </is>
      </c>
      <c r="C4" s="5" t="n">
        <v>1</v>
      </c>
      <c r="D4" s="5" t="b">
        <v>1</v>
      </c>
    </row>
    <row r="5">
      <c r="A5" s="4" t="inlineStr">
        <is>
          <t>Strength</t>
        </is>
      </c>
      <c r="B5" s="4" t="inlineStr">
        <is>
          <t>Damage done with physical effects</t>
        </is>
      </c>
      <c r="C5" s="5" t="n">
        <v>0</v>
      </c>
      <c r="D5" s="5" t="b">
        <v>1</v>
      </c>
    </row>
    <row r="6">
      <c r="A6" s="4" t="inlineStr">
        <is>
          <t>Accuracy</t>
        </is>
      </c>
      <c r="B6" s="4" t="inlineStr">
        <is>
          <t>Chance for attack to land on enemy</t>
        </is>
      </c>
      <c r="C6" s="5" t="n">
        <v>0</v>
      </c>
      <c r="D6" s="5" t="b">
        <v>0</v>
      </c>
    </row>
    <row r="7">
      <c r="A7" s="4" t="inlineStr">
        <is>
          <t>Dexterity</t>
        </is>
      </c>
      <c r="B7" s="4" t="inlineStr">
        <is>
          <t>Chance to dodge an attack</t>
        </is>
      </c>
      <c r="C7" s="5" t="n">
        <v>0</v>
      </c>
      <c r="D7" s="5" t="b">
        <v>0</v>
      </c>
    </row>
    <row r="8">
      <c r="A8" s="4" t="inlineStr">
        <is>
          <t>Fortitude</t>
        </is>
      </c>
      <c r="B8" s="4" t="inlineStr">
        <is>
          <t>Lessens damage from physical effects (melee and ranged)</t>
        </is>
      </c>
      <c r="C8" s="5" t="n">
        <v>0</v>
      </c>
      <c r="D8" s="5" t="b">
        <v>1</v>
      </c>
    </row>
    <row r="9">
      <c r="A9" s="4" t="inlineStr">
        <is>
          <t>Speed</t>
        </is>
      </c>
      <c r="B9" s="4" t="inlineStr">
        <is>
          <t>Movement and attack speed</t>
        </is>
      </c>
      <c r="C9" s="5" t="n">
        <v>1</v>
      </c>
      <c r="D9" s="5" t="b">
        <v>0</v>
      </c>
    </row>
    <row r="10">
      <c r="A10" s="4" t="inlineStr">
        <is>
          <t>Magic</t>
        </is>
      </c>
      <c r="B10" s="4" t="inlineStr">
        <is>
          <t>Damage done with magical effects</t>
        </is>
      </c>
      <c r="C10" s="5" t="n">
        <v>0</v>
      </c>
      <c r="D10" s="5" t="b">
        <v>1</v>
      </c>
    </row>
    <row r="11">
      <c r="A11" s="4" t="inlineStr">
        <is>
          <t>Resistance</t>
        </is>
      </c>
      <c r="B11" s="4" t="inlineStr">
        <is>
          <t>Lessens damage from magical effects (melee and ranged)</t>
        </is>
      </c>
      <c r="C11" s="5" t="n">
        <v>0</v>
      </c>
      <c r="D11" s="5" t="b">
        <v>1</v>
      </c>
    </row>
    <row r="12">
      <c r="A12" s="4" t="inlineStr">
        <is>
          <t>Luck</t>
        </is>
      </c>
      <c r="B12" s="4" t="inlineStr">
        <is>
          <t>Modifies all things a small amount</t>
        </is>
      </c>
      <c r="C12" s="5" t="n">
        <v>0</v>
      </c>
      <c r="D12" s="5" t="b">
        <v>0</v>
      </c>
    </row>
    <row r="13">
      <c r="A13" s="4" t="inlineStr">
        <is>
          <t>Weight</t>
        </is>
      </c>
      <c r="B13" s="4" t="inlineStr">
        <is>
          <t>Minion weight</t>
        </is>
      </c>
      <c r="C13" s="5" t="n">
        <v>0</v>
      </c>
      <c r="D13" s="5" t="b">
        <v>0</v>
      </c>
    </row>
    <row r="14">
      <c r="A14" s="4" t="inlineStr">
        <is>
          <t>WorkingCost</t>
        </is>
      </c>
      <c r="B14" s="4" t="inlineStr">
        <is>
          <t>Cost of working (training and building)</t>
        </is>
      </c>
      <c r="C14" s="5" t="n">
        <v>0</v>
      </c>
      <c r="D14" s="5" t="b">
        <v>1</v>
      </c>
    </row>
    <row r="15">
      <c r="A15" s="4" t="inlineStr">
        <is>
          <t>SkillResearch</t>
        </is>
      </c>
      <c r="B15" s="4" t="inlineStr">
        <is>
          <t>Effectiveness at researching</t>
        </is>
      </c>
      <c r="C15" s="5" t="n">
        <v>0</v>
      </c>
      <c r="D15" s="5" t="b">
        <v>0</v>
      </c>
    </row>
    <row r="16">
      <c r="A16" s="4" t="inlineStr">
        <is>
          <t>SkillTrain</t>
        </is>
      </c>
      <c r="B16" s="4" t="inlineStr">
        <is>
          <t>Effectiveness at training</t>
        </is>
      </c>
      <c r="C16" s="5" t="n">
        <v>0</v>
      </c>
      <c r="D16" s="5" t="b">
        <v>0</v>
      </c>
    </row>
    <row r="17">
      <c r="A17" s="4" t="inlineStr">
        <is>
          <t>SkillBuild</t>
        </is>
      </c>
      <c r="B17" s="4" t="inlineStr">
        <is>
          <t>Effectiveness at building</t>
        </is>
      </c>
      <c r="C17" s="5" t="n">
        <v>0</v>
      </c>
      <c r="D17" s="5" t="b">
        <v>0</v>
      </c>
    </row>
    <row r="18">
      <c r="A18" s="4" t="inlineStr">
        <is>
          <t>SkillPray</t>
        </is>
      </c>
      <c r="B18" s="4" t="inlineStr">
        <is>
          <t>Effectiveness at praying</t>
        </is>
      </c>
      <c r="C18" s="5" t="n">
        <v>0</v>
      </c>
      <c r="D18" s="5" t="b">
        <v>0</v>
      </c>
    </row>
    <row r="19">
      <c r="A19" s="4" t="inlineStr">
        <is>
          <t>SkillTorture</t>
        </is>
      </c>
      <c r="B19" s="4" t="inlineStr">
        <is>
          <t>Effectiveness at torturing</t>
        </is>
      </c>
      <c r="C19" s="5" t="n">
        <v>0</v>
      </c>
      <c r="D19" s="5" t="b">
        <v>0</v>
      </c>
    </row>
    <row r="20">
      <c r="A20" s="4" t="inlineStr">
        <is>
          <t>Anger</t>
        </is>
      </c>
      <c r="B20" s="4" t="inlineStr">
        <is>
          <t>Likelihood of getting angry</t>
        </is>
      </c>
      <c r="C20" s="5" t="n">
        <v>0</v>
      </c>
      <c r="D20" s="5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6" t="inlineStr">
        <is>
          <t>Level stat formula</t>
        </is>
      </c>
    </row>
    <row r="3">
      <c r="A3" s="7" t="inlineStr">
        <is>
          <t>t        = (Level − 1) / (MaxLevel − 1)          progress from 0 at level 1 to 1 at MaxLevel</t>
        </is>
      </c>
    </row>
    <row r="4">
      <c r="A4" s="7" t="inlineStr">
        <is>
          <t>shaped   = t ^ (2 ^ Curve)                         Curve bends the line; the ends stay fixed</t>
        </is>
      </c>
    </row>
    <row r="5">
      <c r="A5" s="7" t="inlineStr">
        <is>
          <t>Value    = Min + (Max − Min) × (1 + Skew) × shaped</t>
        </is>
      </c>
    </row>
    <row r="6">
      <c r="A6" s="4" t="inlineStr"/>
    </row>
    <row r="7">
      <c r="A7" s="8" t="inlineStr">
        <is>
          <t>Curve  (blank = 0)</t>
        </is>
      </c>
    </row>
    <row r="8">
      <c r="A8" s="4" t="inlineStr">
        <is>
          <t xml:space="preserve">   0  → straight line: equal gain every level.</t>
        </is>
      </c>
    </row>
    <row r="9">
      <c r="A9" s="4" t="inlineStr">
        <is>
          <t xml:space="preserve">  &gt; 0 → back-loaded: small gains early, big gains late.  Curve 1 = t²,  Curve 2 = t⁴.</t>
        </is>
      </c>
    </row>
    <row r="10">
      <c r="A10" s="4" t="inlineStr">
        <is>
          <t xml:space="preserve">  &lt; 0 → front-loaded: big gains early, levelling off late.  Curve −1 = √t,  Curve −2 = t^0.25.</t>
        </is>
      </c>
    </row>
    <row r="11">
      <c r="A11" s="4" t="inlineStr">
        <is>
          <t xml:space="preserve">  Level 1 is always Min and level 10 is always Max (before Skew), whatever the Curve.</t>
        </is>
      </c>
    </row>
    <row r="12">
      <c r="A12" s="4" t="inlineStr"/>
    </row>
    <row r="13">
      <c r="A13" s="8" t="inlineStr">
        <is>
          <t>Skew  (blank = 0)</t>
        </is>
      </c>
    </row>
    <row r="14">
      <c r="A14" s="4" t="inlineStr">
        <is>
          <t xml:space="preserve">  Scales the whole growth (Max − Min) without touching the level-1 value, i.e. it adjusts the slope.</t>
        </is>
      </c>
    </row>
    <row r="15">
      <c r="A15" s="4" t="inlineStr">
        <is>
          <t xml:space="preserve">  0 → reaches Max exactly.   0.1 → 10% more growth (level 10 = Min + 1.1 × (Max − Min)).   −0.2 → 20% less growth.</t>
        </is>
      </c>
    </row>
    <row r="16">
      <c r="A16" s="4" t="inlineStr">
        <is>
          <t xml:space="preserve">  Use it to nudge balance without rewriting the Min/Max you designed.</t>
        </is>
      </c>
    </row>
    <row r="17">
      <c r="A17" s="4" t="inlineStr"/>
    </row>
    <row r="18">
      <c r="A18" s="4" t="inlineStr">
        <is>
          <t>Rounding: stats marked WholeNumber on the Stats sheet are rounded, both in game and in the _Levels preview columns. The calculator below is unrounded.</t>
        </is>
      </c>
    </row>
    <row r="20">
      <c r="A20" s="8" t="inlineStr">
        <is>
          <t>MaxLevel</t>
        </is>
      </c>
      <c r="B20" s="5" t="n">
        <v>10</v>
      </c>
    </row>
    <row r="22">
      <c r="A22" s="8" t="inlineStr">
        <is>
          <t>Calculator – edit the yellow cells</t>
        </is>
      </c>
    </row>
    <row r="23">
      <c r="A23" s="4" t="inlineStr">
        <is>
          <t>Min (level 1)</t>
        </is>
      </c>
      <c r="B23" s="5" t="n">
        <v>100</v>
      </c>
    </row>
    <row r="24">
      <c r="A24" s="4" t="inlineStr">
        <is>
          <t>Max (level 10)</t>
        </is>
      </c>
      <c r="B24" s="5" t="n">
        <v>500</v>
      </c>
    </row>
    <row r="25">
      <c r="A25" s="4" t="inlineStr">
        <is>
          <t>Curve</t>
        </is>
      </c>
      <c r="B25" s="5" t="n">
        <v>1</v>
      </c>
    </row>
    <row r="26">
      <c r="A26" s="4" t="inlineStr">
        <is>
          <t>Skew</t>
        </is>
      </c>
      <c r="B26" s="5" t="n">
        <v>0</v>
      </c>
    </row>
    <row r="28">
      <c r="A28" s="8" t="inlineStr">
        <is>
          <t>Level</t>
        </is>
      </c>
      <c r="B28" s="8" t="n">
        <v>1</v>
      </c>
      <c r="C28" s="8" t="n">
        <v>2</v>
      </c>
      <c r="D28" s="8" t="n">
        <v>3</v>
      </c>
      <c r="E28" s="8" t="n">
        <v>4</v>
      </c>
      <c r="F28" s="8" t="n">
        <v>5</v>
      </c>
      <c r="G28" s="8" t="n">
        <v>6</v>
      </c>
      <c r="H28" s="8" t="n">
        <v>7</v>
      </c>
      <c r="I28" s="8" t="n">
        <v>8</v>
      </c>
      <c r="J28" s="8" t="n">
        <v>9</v>
      </c>
      <c r="K28" s="8" t="n">
        <v>10</v>
      </c>
    </row>
    <row r="29">
      <c r="A29" s="4" t="inlineStr">
        <is>
          <t>Linear (Curve 0, Skew 0)</t>
        </is>
      </c>
      <c r="B29" s="9">
        <f>$B$23+($B$24-$B$23)*((B28-1)/(MaxLevel-1))</f>
        <v/>
      </c>
      <c r="C29" s="9">
        <f>$B$23+($B$24-$B$23)*((C28-1)/(MaxLevel-1))</f>
        <v/>
      </c>
      <c r="D29" s="9">
        <f>$B$23+($B$24-$B$23)*((D28-1)/(MaxLevel-1))</f>
        <v/>
      </c>
      <c r="E29" s="9">
        <f>$B$23+($B$24-$B$23)*((E28-1)/(MaxLevel-1))</f>
        <v/>
      </c>
      <c r="F29" s="9">
        <f>$B$23+($B$24-$B$23)*((F28-1)/(MaxLevel-1))</f>
        <v/>
      </c>
      <c r="G29" s="9">
        <f>$B$23+($B$24-$B$23)*((G28-1)/(MaxLevel-1))</f>
        <v/>
      </c>
      <c r="H29" s="9">
        <f>$B$23+($B$24-$B$23)*((H28-1)/(MaxLevel-1))</f>
        <v/>
      </c>
      <c r="I29" s="9">
        <f>$B$23+($B$24-$B$23)*((I28-1)/(MaxLevel-1))</f>
        <v/>
      </c>
      <c r="J29" s="9">
        <f>$B$23+($B$24-$B$23)*((J28-1)/(MaxLevel-1))</f>
        <v/>
      </c>
      <c r="K29" s="9">
        <f>$B$23+($B$24-$B$23)*((K28-1)/(MaxLevel-1))</f>
        <v/>
      </c>
    </row>
    <row r="30">
      <c r="A30" s="4" t="inlineStr">
        <is>
          <t>Result</t>
        </is>
      </c>
      <c r="B30" s="9">
        <f>$B$23+($B$24-$B$23)*(1+$B$26)*((B28-1)/(MaxLevel-1))^(2^$B$25)</f>
        <v/>
      </c>
      <c r="C30" s="9">
        <f>$B$23+($B$24-$B$23)*(1+$B$26)*((C28-1)/(MaxLevel-1))^(2^$B$25)</f>
        <v/>
      </c>
      <c r="D30" s="9">
        <f>$B$23+($B$24-$B$23)*(1+$B$26)*((D28-1)/(MaxLevel-1))^(2^$B$25)</f>
        <v/>
      </c>
      <c r="E30" s="9">
        <f>$B$23+($B$24-$B$23)*(1+$B$26)*((E28-1)/(MaxLevel-1))^(2^$B$25)</f>
        <v/>
      </c>
      <c r="F30" s="9">
        <f>$B$23+($B$24-$B$23)*(1+$B$26)*((F28-1)/(MaxLevel-1))^(2^$B$25)</f>
        <v/>
      </c>
      <c r="G30" s="9">
        <f>$B$23+($B$24-$B$23)*(1+$B$26)*((G28-1)/(MaxLevel-1))^(2^$B$25)</f>
        <v/>
      </c>
      <c r="H30" s="9">
        <f>$B$23+($B$24-$B$23)*(1+$B$26)*((H28-1)/(MaxLevel-1))^(2^$B$25)</f>
        <v/>
      </c>
      <c r="I30" s="9">
        <f>$B$23+($B$24-$B$23)*(1+$B$26)*((I28-1)/(MaxLevel-1))^(2^$B$25)</f>
        <v/>
      </c>
      <c r="J30" s="9">
        <f>$B$23+($B$24-$B$23)*(1+$B$26)*((J28-1)/(MaxLevel-1))^(2^$B$25)</f>
        <v/>
      </c>
      <c r="K30" s="9">
        <f>$B$23+($B$24-$B$23)*(1+$B$26)*((K28-1)/(MaxLevel-1))^(2^$B$25)</f>
        <v/>
      </c>
    </row>
    <row r="48">
      <c r="A48" s="8" t="inlineStr">
        <is>
          <t>Curve shapes (fraction of growth reached, Skew 0)</t>
        </is>
      </c>
    </row>
    <row r="49">
      <c r="A49" s="8" t="inlineStr">
        <is>
          <t>Curve \ Level</t>
        </is>
      </c>
      <c r="B49" s="8" t="n">
        <v>1</v>
      </c>
      <c r="C49" s="8" t="n">
        <v>2</v>
      </c>
      <c r="D49" s="8" t="n">
        <v>3</v>
      </c>
      <c r="E49" s="8" t="n">
        <v>4</v>
      </c>
      <c r="F49" s="8" t="n">
        <v>5</v>
      </c>
      <c r="G49" s="8" t="n">
        <v>6</v>
      </c>
      <c r="H49" s="8" t="n">
        <v>7</v>
      </c>
      <c r="I49" s="8" t="n">
        <v>8</v>
      </c>
      <c r="J49" s="8" t="n">
        <v>9</v>
      </c>
      <c r="K49" s="8" t="n">
        <v>10</v>
      </c>
    </row>
    <row r="50">
      <c r="A50" s="5" t="n">
        <v>-2</v>
      </c>
      <c r="B50" s="10">
        <f>((B49-1)/(MaxLevel-1))^(2^$A50)</f>
        <v/>
      </c>
      <c r="C50" s="10">
        <f>((C49-1)/(MaxLevel-1))^(2^$A50)</f>
        <v/>
      </c>
      <c r="D50" s="10">
        <f>((D49-1)/(MaxLevel-1))^(2^$A50)</f>
        <v/>
      </c>
      <c r="E50" s="10">
        <f>((E49-1)/(MaxLevel-1))^(2^$A50)</f>
        <v/>
      </c>
      <c r="F50" s="10">
        <f>((F49-1)/(MaxLevel-1))^(2^$A50)</f>
        <v/>
      </c>
      <c r="G50" s="10">
        <f>((G49-1)/(MaxLevel-1))^(2^$A50)</f>
        <v/>
      </c>
      <c r="H50" s="10">
        <f>((H49-1)/(MaxLevel-1))^(2^$A50)</f>
        <v/>
      </c>
      <c r="I50" s="10">
        <f>((I49-1)/(MaxLevel-1))^(2^$A50)</f>
        <v/>
      </c>
      <c r="J50" s="10">
        <f>((J49-1)/(MaxLevel-1))^(2^$A50)</f>
        <v/>
      </c>
      <c r="K50" s="10">
        <f>((K49-1)/(MaxLevel-1))^(2^$A50)</f>
        <v/>
      </c>
    </row>
    <row r="51">
      <c r="A51" s="5" t="n">
        <v>-1</v>
      </c>
      <c r="B51" s="10">
        <f>((B49-1)/(MaxLevel-1))^(2^$A51)</f>
        <v/>
      </c>
      <c r="C51" s="10">
        <f>((C49-1)/(MaxLevel-1))^(2^$A51)</f>
        <v/>
      </c>
      <c r="D51" s="10">
        <f>((D49-1)/(MaxLevel-1))^(2^$A51)</f>
        <v/>
      </c>
      <c r="E51" s="10">
        <f>((E49-1)/(MaxLevel-1))^(2^$A51)</f>
        <v/>
      </c>
      <c r="F51" s="10">
        <f>((F49-1)/(MaxLevel-1))^(2^$A51)</f>
        <v/>
      </c>
      <c r="G51" s="10">
        <f>((G49-1)/(MaxLevel-1))^(2^$A51)</f>
        <v/>
      </c>
      <c r="H51" s="10">
        <f>((H49-1)/(MaxLevel-1))^(2^$A51)</f>
        <v/>
      </c>
      <c r="I51" s="10">
        <f>((I49-1)/(MaxLevel-1))^(2^$A51)</f>
        <v/>
      </c>
      <c r="J51" s="10">
        <f>((J49-1)/(MaxLevel-1))^(2^$A51)</f>
        <v/>
      </c>
      <c r="K51" s="10">
        <f>((K49-1)/(MaxLevel-1))^(2^$A51)</f>
        <v/>
      </c>
    </row>
    <row r="52">
      <c r="A52" s="5" t="n">
        <v>-0.5</v>
      </c>
      <c r="B52" s="10">
        <f>((B49-1)/(MaxLevel-1))^(2^$A52)</f>
        <v/>
      </c>
      <c r="C52" s="10">
        <f>((C49-1)/(MaxLevel-1))^(2^$A52)</f>
        <v/>
      </c>
      <c r="D52" s="10">
        <f>((D49-1)/(MaxLevel-1))^(2^$A52)</f>
        <v/>
      </c>
      <c r="E52" s="10">
        <f>((E49-1)/(MaxLevel-1))^(2^$A52)</f>
        <v/>
      </c>
      <c r="F52" s="10">
        <f>((F49-1)/(MaxLevel-1))^(2^$A52)</f>
        <v/>
      </c>
      <c r="G52" s="10">
        <f>((G49-1)/(MaxLevel-1))^(2^$A52)</f>
        <v/>
      </c>
      <c r="H52" s="10">
        <f>((H49-1)/(MaxLevel-1))^(2^$A52)</f>
        <v/>
      </c>
      <c r="I52" s="10">
        <f>((I49-1)/(MaxLevel-1))^(2^$A52)</f>
        <v/>
      </c>
      <c r="J52" s="10">
        <f>((J49-1)/(MaxLevel-1))^(2^$A52)</f>
        <v/>
      </c>
      <c r="K52" s="10">
        <f>((K49-1)/(MaxLevel-1))^(2^$A52)</f>
        <v/>
      </c>
    </row>
    <row r="53">
      <c r="A53" s="5" t="n">
        <v>0</v>
      </c>
      <c r="B53" s="10">
        <f>((B49-1)/(MaxLevel-1))^(2^$A53)</f>
        <v/>
      </c>
      <c r="C53" s="10">
        <f>((C49-1)/(MaxLevel-1))^(2^$A53)</f>
        <v/>
      </c>
      <c r="D53" s="10">
        <f>((D49-1)/(MaxLevel-1))^(2^$A53)</f>
        <v/>
      </c>
      <c r="E53" s="10">
        <f>((E49-1)/(MaxLevel-1))^(2^$A53)</f>
        <v/>
      </c>
      <c r="F53" s="10">
        <f>((F49-1)/(MaxLevel-1))^(2^$A53)</f>
        <v/>
      </c>
      <c r="G53" s="10">
        <f>((G49-1)/(MaxLevel-1))^(2^$A53)</f>
        <v/>
      </c>
      <c r="H53" s="10">
        <f>((H49-1)/(MaxLevel-1))^(2^$A53)</f>
        <v/>
      </c>
      <c r="I53" s="10">
        <f>((I49-1)/(MaxLevel-1))^(2^$A53)</f>
        <v/>
      </c>
      <c r="J53" s="10">
        <f>((J49-1)/(MaxLevel-1))^(2^$A53)</f>
        <v/>
      </c>
      <c r="K53" s="10">
        <f>((K49-1)/(MaxLevel-1))^(2^$A53)</f>
        <v/>
      </c>
    </row>
    <row r="54">
      <c r="A54" s="5" t="n">
        <v>0.5</v>
      </c>
      <c r="B54" s="10">
        <f>((B49-1)/(MaxLevel-1))^(2^$A54)</f>
        <v/>
      </c>
      <c r="C54" s="10">
        <f>((C49-1)/(MaxLevel-1))^(2^$A54)</f>
        <v/>
      </c>
      <c r="D54" s="10">
        <f>((D49-1)/(MaxLevel-1))^(2^$A54)</f>
        <v/>
      </c>
      <c r="E54" s="10">
        <f>((E49-1)/(MaxLevel-1))^(2^$A54)</f>
        <v/>
      </c>
      <c r="F54" s="10">
        <f>((F49-1)/(MaxLevel-1))^(2^$A54)</f>
        <v/>
      </c>
      <c r="G54" s="10">
        <f>((G49-1)/(MaxLevel-1))^(2^$A54)</f>
        <v/>
      </c>
      <c r="H54" s="10">
        <f>((H49-1)/(MaxLevel-1))^(2^$A54)</f>
        <v/>
      </c>
      <c r="I54" s="10">
        <f>((I49-1)/(MaxLevel-1))^(2^$A54)</f>
        <v/>
      </c>
      <c r="J54" s="10">
        <f>((J49-1)/(MaxLevel-1))^(2^$A54)</f>
        <v/>
      </c>
      <c r="K54" s="10">
        <f>((K49-1)/(MaxLevel-1))^(2^$A54)</f>
        <v/>
      </c>
    </row>
    <row r="55">
      <c r="A55" s="5" t="n">
        <v>1</v>
      </c>
      <c r="B55" s="10">
        <f>((B49-1)/(MaxLevel-1))^(2^$A55)</f>
        <v/>
      </c>
      <c r="C55" s="10">
        <f>((C49-1)/(MaxLevel-1))^(2^$A55)</f>
        <v/>
      </c>
      <c r="D55" s="10">
        <f>((D49-1)/(MaxLevel-1))^(2^$A55)</f>
        <v/>
      </c>
      <c r="E55" s="10">
        <f>((E49-1)/(MaxLevel-1))^(2^$A55)</f>
        <v/>
      </c>
      <c r="F55" s="10">
        <f>((F49-1)/(MaxLevel-1))^(2^$A55)</f>
        <v/>
      </c>
      <c r="G55" s="10">
        <f>((G49-1)/(MaxLevel-1))^(2^$A55)</f>
        <v/>
      </c>
      <c r="H55" s="10">
        <f>((H49-1)/(MaxLevel-1))^(2^$A55)</f>
        <v/>
      </c>
      <c r="I55" s="10">
        <f>((I49-1)/(MaxLevel-1))^(2^$A55)</f>
        <v/>
      </c>
      <c r="J55" s="10">
        <f>((J49-1)/(MaxLevel-1))^(2^$A55)</f>
        <v/>
      </c>
      <c r="K55" s="10">
        <f>((K49-1)/(MaxLevel-1))^(2^$A55)</f>
        <v/>
      </c>
    </row>
    <row r="56">
      <c r="A56" s="5" t="n">
        <v>2</v>
      </c>
      <c r="B56" s="10">
        <f>((B49-1)/(MaxLevel-1))^(2^$A56)</f>
        <v/>
      </c>
      <c r="C56" s="10">
        <f>((C49-1)/(MaxLevel-1))^(2^$A56)</f>
        <v/>
      </c>
      <c r="D56" s="10">
        <f>((D49-1)/(MaxLevel-1))^(2^$A56)</f>
        <v/>
      </c>
      <c r="E56" s="10">
        <f>((E49-1)/(MaxLevel-1))^(2^$A56)</f>
        <v/>
      </c>
      <c r="F56" s="10">
        <f>((F49-1)/(MaxLevel-1))^(2^$A56)</f>
        <v/>
      </c>
      <c r="G56" s="10">
        <f>((G49-1)/(MaxLevel-1))^(2^$A56)</f>
        <v/>
      </c>
      <c r="H56" s="10">
        <f>((H49-1)/(MaxLevel-1))^(2^$A56)</f>
        <v/>
      </c>
      <c r="I56" s="10">
        <f>((I49-1)/(MaxLevel-1))^(2^$A56)</f>
        <v/>
      </c>
      <c r="J56" s="10">
        <f>((J49-1)/(MaxLevel-1))^(2^$A56)</f>
        <v/>
      </c>
      <c r="K56" s="10">
        <f>((K49-1)/(MaxLevel-1))^(2^$A56)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45" customWidth="1" min="4" max="4"/>
  </cols>
  <sheetData>
    <row r="1">
      <c r="A1" s="3" t="inlineStr">
        <is>
          <t>DamageTypeID</t>
        </is>
      </c>
      <c r="B1" s="3" t="inlineStr">
        <is>
          <t>DisplayName</t>
        </is>
      </c>
      <c r="C1" s="3" t="inlineStr">
        <is>
          <t>Category</t>
        </is>
      </c>
      <c r="D1" s="3" t="inlineStr">
        <is>
          <t>Description</t>
        </is>
      </c>
    </row>
    <row r="2">
      <c r="A2" s="4" t="inlineStr">
        <is>
          <t>Slash</t>
        </is>
      </c>
      <c r="B2" s="4" t="inlineStr">
        <is>
          <t>Slashing</t>
        </is>
      </c>
      <c r="C2" s="4" t="inlineStr">
        <is>
          <t>Physical</t>
        </is>
      </c>
      <c r="D2" s="4" t="inlineStr">
        <is>
          <t>Blades, claws</t>
        </is>
      </c>
    </row>
    <row r="3">
      <c r="A3" s="4" t="inlineStr">
        <is>
          <t>Pierce</t>
        </is>
      </c>
      <c r="B3" s="4" t="inlineStr">
        <is>
          <t>Piercing</t>
        </is>
      </c>
      <c r="C3" s="4" t="inlineStr">
        <is>
          <t>Physical</t>
        </is>
      </c>
      <c r="D3" s="4" t="inlineStr">
        <is>
          <t>Arrows, spears, bites</t>
        </is>
      </c>
    </row>
    <row r="4">
      <c r="A4" s="4" t="inlineStr">
        <is>
          <t>Blunt</t>
        </is>
      </c>
      <c r="B4" s="4" t="inlineStr">
        <is>
          <t>Blunt</t>
        </is>
      </c>
      <c r="C4" s="4" t="inlineStr">
        <is>
          <t>Physical</t>
        </is>
      </c>
      <c r="D4" s="4" t="inlineStr">
        <is>
          <t>Clubs, fists, crushing</t>
        </is>
      </c>
    </row>
    <row r="5">
      <c r="A5" s="4" t="inlineStr">
        <is>
          <t>Fire</t>
        </is>
      </c>
      <c r="B5" s="4" t="inlineStr">
        <is>
          <t>Fire</t>
        </is>
      </c>
      <c r="C5" s="4" t="inlineStr">
        <is>
          <t>Magical</t>
        </is>
      </c>
      <c r="D5" s="4" t="inlineStr">
        <is>
          <t>Placeholder – replace with your own list</t>
        </is>
      </c>
    </row>
    <row r="6">
      <c r="A6" s="4" t="inlineStr">
        <is>
          <t>Cold</t>
        </is>
      </c>
      <c r="B6" s="4" t="inlineStr">
        <is>
          <t>Cold</t>
        </is>
      </c>
      <c r="C6" s="4" t="inlineStr">
        <is>
          <t>Magical</t>
        </is>
      </c>
      <c r="D6" s="4" t="inlineStr"/>
    </row>
    <row r="7">
      <c r="A7" s="4" t="inlineStr">
        <is>
          <t>Lightning</t>
        </is>
      </c>
      <c r="B7" s="4" t="inlineStr">
        <is>
          <t>Lightning</t>
        </is>
      </c>
      <c r="C7" s="4" t="inlineStr">
        <is>
          <t>Magical</t>
        </is>
      </c>
      <c r="D7" s="4" t="inlineStr"/>
    </row>
    <row r="8">
      <c r="A8" s="4" t="inlineStr">
        <is>
          <t>Poison</t>
        </is>
      </c>
      <c r="B8" s="4" t="inlineStr">
        <is>
          <t>Poison</t>
        </is>
      </c>
      <c r="C8" s="4" t="inlineStr">
        <is>
          <t>Magical</t>
        </is>
      </c>
      <c r="D8" s="4" t="inlineStr"/>
    </row>
    <row r="9">
      <c r="A9" s="4" t="inlineStr">
        <is>
          <t>Holy</t>
        </is>
      </c>
      <c r="B9" s="4" t="inlineStr">
        <is>
          <t>Holy</t>
        </is>
      </c>
      <c r="C9" s="4" t="inlineStr">
        <is>
          <t>Magical</t>
        </is>
      </c>
      <c r="D9" s="4" t="inlineStr"/>
    </row>
    <row r="10">
      <c r="A10" s="4" t="inlineStr">
        <is>
          <t>Unholy</t>
        </is>
      </c>
      <c r="B10" s="4" t="inlineStr">
        <is>
          <t>Unholy</t>
        </is>
      </c>
      <c r="C10" s="4" t="inlineStr">
        <is>
          <t>Magical</t>
        </is>
      </c>
      <c r="D10" s="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6" customWidth="1" min="17" max="17"/>
    <col width="17" customWidth="1" min="18" max="18"/>
  </cols>
  <sheetData>
    <row r="1">
      <c r="A1" s="3" t="inlineStr">
        <is>
          <t>AbilityID</t>
        </is>
      </c>
      <c r="B1" s="3" t="inlineStr">
        <is>
          <t>DisplayName</t>
        </is>
      </c>
      <c r="C1" s="3" t="inlineStr">
        <is>
          <t>Description</t>
        </is>
      </c>
      <c r="D1" s="3" t="inlineStr">
        <is>
          <t>Kind</t>
        </is>
      </c>
      <c r="E1" s="3" t="inlineStr">
        <is>
          <t>Targeting</t>
        </is>
      </c>
      <c r="F1" s="3" t="inlineStr">
        <is>
          <t>Delivery</t>
        </is>
      </c>
      <c r="G1" s="3" t="inlineStr">
        <is>
          <t>DamageType</t>
        </is>
      </c>
      <c r="H1" s="3" t="inlineStr">
        <is>
          <t>BasePower</t>
        </is>
      </c>
      <c r="I1" s="3" t="inlineStr">
        <is>
          <t>ScalingStat</t>
        </is>
      </c>
      <c r="J1" s="3" t="inlineStr">
        <is>
          <t>ScalingFactor</t>
        </is>
      </c>
      <c r="K1" s="3" t="inlineStr">
        <is>
          <t>Range</t>
        </is>
      </c>
      <c r="L1" s="3" t="inlineStr">
        <is>
          <t>AreaRadius</t>
        </is>
      </c>
      <c r="M1" s="3" t="inlineStr">
        <is>
          <t>Cooldown</t>
        </is>
      </c>
      <c r="N1" s="3" t="inlineStr">
        <is>
          <t>CastTime</t>
        </is>
      </c>
      <c r="O1" s="3" t="inlineStr">
        <is>
          <t>StatusEffect</t>
        </is>
      </c>
      <c r="P1" s="3" t="inlineStr">
        <is>
          <t>StatusChance</t>
        </is>
      </c>
      <c r="Q1" s="3" t="inlineStr">
        <is>
          <t>StatusDuration</t>
        </is>
      </c>
      <c r="R1" s="3" t="inlineStr">
        <is>
          <t>StatusMagnitude</t>
        </is>
      </c>
    </row>
    <row r="2">
      <c r="A2" s="4" t="inlineStr">
        <is>
          <t>A_Strike</t>
        </is>
      </c>
      <c r="B2" s="4" t="inlineStr">
        <is>
          <t>Strike</t>
        </is>
      </c>
      <c r="C2" s="4" t="inlineStr">
        <is>
          <t>A basic melee blow.</t>
        </is>
      </c>
      <c r="D2" s="4" t="inlineStr">
        <is>
          <t>Attack</t>
        </is>
      </c>
      <c r="E2" s="4" t="inlineStr">
        <is>
          <t>SingleEnemy</t>
        </is>
      </c>
      <c r="F2" s="4" t="inlineStr">
        <is>
          <t>Melee</t>
        </is>
      </c>
      <c r="G2" s="4" t="inlineStr">
        <is>
          <t>Slash</t>
        </is>
      </c>
      <c r="H2" s="4" t="n">
        <v>5</v>
      </c>
      <c r="I2" s="4" t="inlineStr">
        <is>
          <t>Strength</t>
        </is>
      </c>
      <c r="J2" s="4" t="n">
        <v>1</v>
      </c>
      <c r="K2" s="4" t="n">
        <v>1</v>
      </c>
      <c r="L2" s="4" t="n">
        <v>0</v>
      </c>
      <c r="M2" s="4" t="n">
        <v>1.5</v>
      </c>
      <c r="N2" s="4" t="n">
        <v>0</v>
      </c>
      <c r="O2" s="4" t="n"/>
      <c r="P2" s="4" t="n"/>
      <c r="Q2" s="4" t="n"/>
      <c r="R2" s="4" t="n"/>
    </row>
    <row r="3">
      <c r="A3" s="4" t="inlineStr">
        <is>
          <t>A_Arrow</t>
        </is>
      </c>
      <c r="B3" s="4" t="inlineStr">
        <is>
          <t>Arrow Volley</t>
        </is>
      </c>
      <c r="C3" s="4" t="inlineStr">
        <is>
          <t>Looses a flight of arrows at one foe.</t>
        </is>
      </c>
      <c r="D3" s="4" t="inlineStr">
        <is>
          <t>Attack</t>
        </is>
      </c>
      <c r="E3" s="4" t="inlineStr">
        <is>
          <t>SingleEnemy</t>
        </is>
      </c>
      <c r="F3" s="4" t="inlineStr">
        <is>
          <t>Ranged</t>
        </is>
      </c>
      <c r="G3" s="4" t="inlineStr">
        <is>
          <t>Pierce</t>
        </is>
      </c>
      <c r="H3" s="4" t="n">
        <v>3</v>
      </c>
      <c r="I3" s="4" t="inlineStr">
        <is>
          <t>Strength</t>
        </is>
      </c>
      <c r="J3" s="4" t="n">
        <v>0.8</v>
      </c>
      <c r="K3" s="4" t="n">
        <v>6</v>
      </c>
      <c r="L3" s="4" t="n">
        <v>0</v>
      </c>
      <c r="M3" s="4" t="n">
        <v>2</v>
      </c>
      <c r="N3" s="4" t="n">
        <v>0.3</v>
      </c>
      <c r="O3" s="4" t="n"/>
      <c r="P3" s="4" t="n"/>
      <c r="Q3" s="4" t="n"/>
      <c r="R3" s="4" t="n"/>
    </row>
    <row r="4">
      <c r="A4" s="4" t="inlineStr">
        <is>
          <t>A_Fireball</t>
        </is>
      </c>
      <c r="B4" s="4" t="inlineStr">
        <is>
          <t>Fireball</t>
        </is>
      </c>
      <c r="C4" s="4" t="inlineStr">
        <is>
          <t>Hurls fire that bursts on impact, setting targets alight.</t>
        </is>
      </c>
      <c r="D4" s="4" t="inlineStr">
        <is>
          <t>Attack</t>
        </is>
      </c>
      <c r="E4" s="4" t="inlineStr">
        <is>
          <t>AreaEnemy</t>
        </is>
      </c>
      <c r="F4" s="4" t="inlineStr">
        <is>
          <t>Magic</t>
        </is>
      </c>
      <c r="G4" s="4" t="inlineStr">
        <is>
          <t>Fire</t>
        </is>
      </c>
      <c r="H4" s="4" t="n">
        <v>8</v>
      </c>
      <c r="I4" s="4" t="inlineStr">
        <is>
          <t>Magic</t>
        </is>
      </c>
      <c r="J4" s="4" t="n">
        <v>1.2</v>
      </c>
      <c r="K4" s="4" t="n">
        <v>5</v>
      </c>
      <c r="L4" s="4" t="n">
        <v>1.5</v>
      </c>
      <c r="M4" s="4" t="n">
        <v>6</v>
      </c>
      <c r="N4" s="4" t="n">
        <v>0.8</v>
      </c>
      <c r="O4" s="4" t="inlineStr">
        <is>
          <t>Burn</t>
        </is>
      </c>
      <c r="P4" s="4" t="n">
        <v>0.5</v>
      </c>
      <c r="Q4" s="4" t="n">
        <v>3</v>
      </c>
      <c r="R4" s="4" t="n">
        <v>2</v>
      </c>
    </row>
    <row r="5">
      <c r="A5" s="4" t="inlineStr">
        <is>
          <t>A_Stoneskin</t>
        </is>
      </c>
      <c r="B5" s="4" t="inlineStr">
        <is>
          <t>Stoneskin</t>
        </is>
      </c>
      <c r="C5" s="4" t="inlineStr">
        <is>
          <t>Hardens the minion's hide, absorbing damage.</t>
        </is>
      </c>
      <c r="D5" s="4" t="inlineStr">
        <is>
          <t>Defence</t>
        </is>
      </c>
      <c r="E5" s="4" t="inlineStr">
        <is>
          <t>Self</t>
        </is>
      </c>
      <c r="F5" s="4" t="inlineStr">
        <is>
          <t>Magic</t>
        </is>
      </c>
      <c r="G5" s="4" t="n"/>
      <c r="H5" s="4" t="n">
        <v>10</v>
      </c>
      <c r="I5" s="4" t="inlineStr">
        <is>
          <t>Fortitude</t>
        </is>
      </c>
      <c r="J5" s="4" t="n">
        <v>0.5</v>
      </c>
      <c r="K5" s="4" t="n">
        <v>0</v>
      </c>
      <c r="L5" s="4" t="n">
        <v>0</v>
      </c>
      <c r="M5" s="4" t="n">
        <v>20</v>
      </c>
      <c r="N5" s="4" t="n">
        <v>0.5</v>
      </c>
      <c r="O5" s="4" t="inlineStr">
        <is>
          <t>Shield</t>
        </is>
      </c>
      <c r="P5" s="4" t="n">
        <v>1</v>
      </c>
      <c r="Q5" s="4" t="n">
        <v>8</v>
      </c>
      <c r="R5" s="4" t="n">
        <v>15</v>
      </c>
    </row>
    <row r="6">
      <c r="A6" s="4" t="inlineStr">
        <is>
          <t>A_Howl</t>
        </is>
      </c>
      <c r="B6" s="4" t="inlineStr">
        <is>
          <t>Terrible Howl</t>
        </is>
      </c>
      <c r="C6" s="4" t="inlineStr">
        <is>
          <t>Nearby enemies may flee in fear.</t>
        </is>
      </c>
      <c r="D6" s="4" t="inlineStr">
        <is>
          <t>Debuff</t>
        </is>
      </c>
      <c r="E6" s="4" t="inlineStr">
        <is>
          <t>AreaEnemy</t>
        </is>
      </c>
      <c r="F6" s="4" t="inlineStr">
        <is>
          <t>Magic</t>
        </is>
      </c>
      <c r="G6" s="4" t="inlineStr">
        <is>
          <t>Unholy</t>
        </is>
      </c>
      <c r="H6" s="4" t="n">
        <v>0</v>
      </c>
      <c r="I6" s="4" t="inlineStr">
        <is>
          <t>Magic</t>
        </is>
      </c>
      <c r="J6" s="4" t="n">
        <v>0</v>
      </c>
      <c r="K6" s="4" t="n">
        <v>0</v>
      </c>
      <c r="L6" s="4" t="n">
        <v>3</v>
      </c>
      <c r="M6" s="4" t="n">
        <v>15</v>
      </c>
      <c r="N6" s="4" t="n">
        <v>0.5</v>
      </c>
      <c r="O6" s="4" t="inlineStr">
        <is>
          <t>Fear</t>
        </is>
      </c>
      <c r="P6" s="4" t="n">
        <v>0.4</v>
      </c>
      <c r="Q6" s="4" t="n">
        <v>3</v>
      </c>
      <c r="R6" s="4" t="n"/>
    </row>
  </sheetData>
  <dataValidations count="2">
    <dataValidation sqref="G2:G500" showDropDown="0" showInputMessage="0" showErrorMessage="0" allowBlank="1" type="list">
      <formula1>=DamageTypes!$A$2:$A$200</formula1>
    </dataValidation>
    <dataValidation sqref="I2:I500" showDropDown="0" showInputMessage="0" showErrorMessage="0" allowBlank="1" type="list">
      <formula1>=Stats!$A$2:$A$200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20" customWidth="1" min="15" max="15"/>
    <col width="17" customWidth="1" min="16" max="16"/>
    <col width="17" customWidth="1" min="17" max="17"/>
    <col width="16" customWidth="1" min="18" max="18"/>
    <col width="19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6" customWidth="1" min="33" max="33"/>
    <col width="16" customWidth="1" min="34" max="34"/>
    <col width="14" customWidth="1" min="35" max="35"/>
    <col width="18" customWidth="1" min="36" max="36"/>
  </cols>
  <sheetData>
    <row r="1">
      <c r="A1" s="3" t="inlineStr">
        <is>
          <t>FactionID</t>
        </is>
      </c>
      <c r="B1" s="3" t="inlineStr">
        <is>
          <t>MinionID</t>
        </is>
      </c>
      <c r="C1" s="3" t="inlineStr">
        <is>
          <t>Display Name</t>
        </is>
      </c>
      <c r="D1" s="3" t="inlineStr">
        <is>
          <t>Stance</t>
        </is>
      </c>
      <c r="E1" s="3" t="inlineStr">
        <is>
          <t>Movement</t>
        </is>
      </c>
      <c r="F1" s="3" t="inlineStr">
        <is>
          <t>Dmg_Slash</t>
        </is>
      </c>
      <c r="G1" s="3" t="inlineStr">
        <is>
          <t>Dmg_Pierce</t>
        </is>
      </c>
      <c r="H1" s="3" t="inlineStr">
        <is>
          <t>Dmg_Blunt</t>
        </is>
      </c>
      <c r="I1" s="3" t="inlineStr">
        <is>
          <t>Dmg_Fire</t>
        </is>
      </c>
      <c r="J1" s="3" t="inlineStr">
        <is>
          <t>Dmg_Cold</t>
        </is>
      </c>
      <c r="K1" s="3" t="inlineStr">
        <is>
          <t>Dmg_Lightning</t>
        </is>
      </c>
      <c r="L1" s="3" t="inlineStr">
        <is>
          <t>Dmg_Poison</t>
        </is>
      </c>
      <c r="M1" s="3" t="inlineStr">
        <is>
          <t>Dmg_Holy</t>
        </is>
      </c>
      <c r="N1" s="3" t="inlineStr">
        <is>
          <t>Dmg_Unholy</t>
        </is>
      </c>
      <c r="O1" s="3" t="inlineStr">
        <is>
          <t>ResearchPreference</t>
        </is>
      </c>
      <c r="P1" s="3" t="inlineStr">
        <is>
          <t>TrainPreference</t>
        </is>
      </c>
      <c r="Q1" s="3" t="inlineStr">
        <is>
          <t>BuildPreference</t>
        </is>
      </c>
      <c r="R1" s="3" t="inlineStr">
        <is>
          <t>PrayPreference</t>
        </is>
      </c>
      <c r="S1" s="3" t="inlineStr">
        <is>
          <t>TorturePreference</t>
        </is>
      </c>
      <c r="T1" s="3" t="inlineStr">
        <is>
          <t>Gain1</t>
        </is>
      </c>
      <c r="U1" s="3" t="inlineStr">
        <is>
          <t>Ability1</t>
        </is>
      </c>
      <c r="V1" s="3" t="inlineStr">
        <is>
          <t>Gain2</t>
        </is>
      </c>
      <c r="W1" s="3" t="inlineStr">
        <is>
          <t>Ability2</t>
        </is>
      </c>
      <c r="X1" s="3" t="inlineStr">
        <is>
          <t>Gain3</t>
        </is>
      </c>
      <c r="Y1" s="3" t="inlineStr">
        <is>
          <t>Ability3</t>
        </is>
      </c>
      <c r="Z1" s="3" t="inlineStr">
        <is>
          <t>Gain4</t>
        </is>
      </c>
      <c r="AA1" s="3" t="inlineStr">
        <is>
          <t>Ability4</t>
        </is>
      </c>
      <c r="AB1" s="3" t="inlineStr">
        <is>
          <t>Gain5</t>
        </is>
      </c>
      <c r="AC1" s="3" t="inlineStr">
        <is>
          <t>Ability5</t>
        </is>
      </c>
      <c r="AD1" s="3" t="inlineStr">
        <is>
          <t>Summonable</t>
        </is>
      </c>
      <c r="AE1" s="3" t="inlineStr">
        <is>
          <t>WorkerJobs</t>
        </is>
      </c>
      <c r="AF1" s="3" t="inlineStr">
        <is>
          <t>SummonWeight</t>
        </is>
      </c>
      <c r="AG1" s="3" t="inlineStr">
        <is>
          <t>PopulationCost</t>
        </is>
      </c>
      <c r="AH1" s="3" t="inlineStr">
        <is>
          <t>RequiredRooms</t>
        </is>
      </c>
      <c r="AI1" s="3" t="inlineStr">
        <is>
          <t>MinRoomTiles</t>
        </is>
      </c>
      <c r="AJ1" s="3" t="inlineStr">
        <is>
          <t>RequiredResearch</t>
        </is>
      </c>
    </row>
    <row r="2">
      <c r="A2" s="4" t="inlineStr">
        <is>
          <t>01U</t>
        </is>
      </c>
      <c r="B2" s="4" t="inlineStr">
        <is>
          <t>C1</t>
        </is>
      </c>
      <c r="C2" s="4" t="inlineStr">
        <is>
          <t>Thanatos</t>
        </is>
      </c>
      <c r="D2" s="4" t="inlineStr">
        <is>
          <t>Commander</t>
        </is>
      </c>
      <c r="E2" s="4" t="inlineStr">
        <is>
          <t>LandOnly</t>
        </is>
      </c>
      <c r="F2" s="11" t="n"/>
      <c r="G2" s="11" t="n"/>
      <c r="H2" s="11" t="n"/>
      <c r="I2" s="11" t="n"/>
      <c r="J2" s="11" t="n"/>
      <c r="K2" s="11" t="n"/>
      <c r="L2" s="11" t="n"/>
      <c r="M2" s="11" t="n">
        <v>2</v>
      </c>
      <c r="N2" s="11" t="n">
        <v>0.5</v>
      </c>
      <c r="O2" s="4" t="n">
        <v>0.2</v>
      </c>
      <c r="P2" s="4" t="n">
        <v>0.6</v>
      </c>
      <c r="Q2" s="4" t="n">
        <v>0.1</v>
      </c>
      <c r="R2" s="4" t="n">
        <v>0.1</v>
      </c>
      <c r="S2" s="4" t="n">
        <v>0</v>
      </c>
      <c r="T2" s="4" t="n">
        <v>1</v>
      </c>
      <c r="U2" s="4" t="inlineStr">
        <is>
          <t>A_Strike</t>
        </is>
      </c>
      <c r="V2" s="4" t="n">
        <v>4</v>
      </c>
      <c r="W2" s="4" t="inlineStr">
        <is>
          <t>A_Howl</t>
        </is>
      </c>
      <c r="X2" s="4" t="n"/>
      <c r="Y2" s="4" t="n"/>
      <c r="Z2" s="4" t="n"/>
      <c r="AA2" s="4" t="n"/>
      <c r="AB2" s="4" t="n"/>
      <c r="AC2" s="4" t="n"/>
      <c r="AD2" s="4" t="b">
        <v>0</v>
      </c>
      <c r="AE2" s="4" t="n"/>
      <c r="AF2" s="4" t="n"/>
      <c r="AG2" s="4" t="n"/>
      <c r="AH2" s="4" t="n"/>
      <c r="AI2" s="4" t="n"/>
      <c r="AJ2" s="4" t="n"/>
    </row>
    <row r="3">
      <c r="A3" s="4" t="inlineStr">
        <is>
          <t>01U</t>
        </is>
      </c>
      <c r="B3" s="4" t="inlineStr">
        <is>
          <t>T1M</t>
        </is>
      </c>
      <c r="C3" s="4" t="inlineStr">
        <is>
          <t>Stymphalian Bird</t>
        </is>
      </c>
      <c r="D3" s="4" t="inlineStr">
        <is>
          <t>Mage</t>
        </is>
      </c>
      <c r="E3" s="4" t="inlineStr">
        <is>
          <t>Flying</t>
        </is>
      </c>
      <c r="F3" s="11" t="n"/>
      <c r="G3" s="11" t="n">
        <v>2</v>
      </c>
      <c r="H3" s="11" t="n"/>
      <c r="I3" s="11" t="n">
        <v>0.5</v>
      </c>
      <c r="J3" s="11" t="n"/>
      <c r="K3" s="11" t="n">
        <v>2</v>
      </c>
      <c r="L3" s="11" t="n"/>
      <c r="M3" s="11" t="n"/>
      <c r="N3" s="11" t="n"/>
      <c r="O3" s="4" t="n">
        <v>0.6</v>
      </c>
      <c r="P3" s="4" t="n">
        <v>0.2</v>
      </c>
      <c r="Q3" s="4" t="n">
        <v>0</v>
      </c>
      <c r="R3" s="4" t="n">
        <v>0.1</v>
      </c>
      <c r="S3" s="4" t="n">
        <v>0.1</v>
      </c>
      <c r="T3" s="4" t="n">
        <v>1</v>
      </c>
      <c r="U3" s="4" t="inlineStr">
        <is>
          <t>A_Arrow</t>
        </is>
      </c>
      <c r="V3" s="4" t="n">
        <v>5</v>
      </c>
      <c r="W3" s="4" t="inlineStr">
        <is>
          <t>A_Fireball</t>
        </is>
      </c>
      <c r="X3" s="4" t="n"/>
      <c r="Y3" s="4" t="n"/>
      <c r="Z3" s="4" t="n"/>
      <c r="AA3" s="4" t="n"/>
      <c r="AB3" s="4" t="n"/>
      <c r="AC3" s="4" t="n"/>
      <c r="AD3" s="4" t="b">
        <v>1</v>
      </c>
      <c r="AE3" s="4" t="n"/>
      <c r="AF3" s="4" t="n">
        <v>1</v>
      </c>
      <c r="AG3" s="4" t="n">
        <v>1</v>
      </c>
      <c r="AH3" s="4" t="inlineStr">
        <is>
          <t>RoomA</t>
        </is>
      </c>
      <c r="AI3" s="4" t="n">
        <v>9</v>
      </c>
      <c r="AJ3" s="4" t="n"/>
    </row>
    <row r="4">
      <c r="A4" s="4" t="inlineStr">
        <is>
          <t>01U</t>
        </is>
      </c>
      <c r="B4" s="4" t="inlineStr">
        <is>
          <t>T2F</t>
        </is>
      </c>
      <c r="C4" s="4" t="inlineStr">
        <is>
          <t>Minotaur</t>
        </is>
      </c>
      <c r="D4" s="4" t="inlineStr">
        <is>
          <t>Fighter</t>
        </is>
      </c>
      <c r="E4" s="4" t="inlineStr">
        <is>
          <t>LandOnly</t>
        </is>
      </c>
      <c r="F4" s="11" t="n">
        <v>0.5</v>
      </c>
      <c r="G4" s="11" t="n">
        <v>0.5</v>
      </c>
      <c r="H4" s="11" t="n">
        <v>1.5</v>
      </c>
      <c r="I4" s="11" t="n"/>
      <c r="J4" s="11" t="n"/>
      <c r="K4" s="11" t="n"/>
      <c r="L4" s="11" t="n"/>
      <c r="M4" s="11" t="n"/>
      <c r="N4" s="11" t="n"/>
      <c r="O4" s="4" t="n">
        <v>0</v>
      </c>
      <c r="P4" s="4" t="n">
        <v>0.7</v>
      </c>
      <c r="Q4" s="4" t="n">
        <v>0.2</v>
      </c>
      <c r="R4" s="4" t="n">
        <v>0</v>
      </c>
      <c r="S4" s="4" t="n">
        <v>0.1</v>
      </c>
      <c r="T4" s="4" t="n">
        <v>1</v>
      </c>
      <c r="U4" s="4" t="inlineStr">
        <is>
          <t>A_Strike</t>
        </is>
      </c>
      <c r="V4" s="4" t="n">
        <v>3</v>
      </c>
      <c r="W4" s="4" t="inlineStr">
        <is>
          <t>A_Stoneskin</t>
        </is>
      </c>
      <c r="X4" s="4" t="n"/>
      <c r="Y4" s="4" t="n"/>
      <c r="Z4" s="4" t="n"/>
      <c r="AA4" s="4" t="n"/>
      <c r="AB4" s="4" t="n"/>
      <c r="AC4" s="4" t="n"/>
      <c r="AD4" s="4" t="b">
        <v>1</v>
      </c>
      <c r="AE4" s="4" t="b">
        <v>1</v>
      </c>
      <c r="AF4" s="4" t="n">
        <v>0.6</v>
      </c>
      <c r="AG4" s="4" t="n">
        <v>2</v>
      </c>
      <c r="AH4" s="4" t="inlineStr">
        <is>
          <t>RoomA;RoomB</t>
        </is>
      </c>
      <c r="AI4" s="4" t="inlineStr">
        <is>
          <t>9;4</t>
        </is>
      </c>
      <c r="AJ4" s="4" t="inlineStr">
        <is>
          <t>Labyrinths</t>
        </is>
      </c>
    </row>
    <row r="5">
      <c r="A5" s="4" t="inlineStr">
        <is>
          <t>01U</t>
        </is>
      </c>
      <c r="B5" s="4" t="inlineStr">
        <is>
          <t>W</t>
        </is>
      </c>
      <c r="C5" s="4" t="inlineStr">
        <is>
          <t>Eidolon</t>
        </is>
      </c>
      <c r="D5" s="4" t="inlineStr">
        <is>
          <t>Worker</t>
        </is>
      </c>
      <c r="E5" s="4" t="inlineStr">
        <is>
          <t>LandOnly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4" t="n">
        <v>0</v>
      </c>
      <c r="P5" s="4" t="n">
        <v>0</v>
      </c>
      <c r="Q5" s="4" t="n">
        <v>1</v>
      </c>
      <c r="R5" s="4" t="n">
        <v>0</v>
      </c>
      <c r="S5" s="4" t="n">
        <v>0</v>
      </c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</sheetData>
  <dataValidations count="2">
    <dataValidation sqref="E2:E500" showDropDown="0" showInputMessage="0" showErrorMessage="0" allowBlank="0" type="list">
      <formula1>"LandOnly,LandWater,LandLava,LandWaterLava,Flying"</formula1>
    </dataValidation>
    <dataValidation sqref="U2:U500 W2:W500 Y2:Y500 AA2:AA500 AC2:AC500" showDropDown="0" showInputMessage="0" showErrorMessage="0" allowBlank="1" type="list">
      <formula1>=Abilities!$A$2:$A$500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pane xSplit="3" ySplit="1" topLeftCell="D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3" t="inlineStr">
        <is>
          <t>FactionID</t>
        </is>
      </c>
      <c r="B1" s="3" t="inlineStr">
        <is>
          <t>MinionID</t>
        </is>
      </c>
      <c r="C1" s="3" t="inlineStr">
        <is>
          <t>Stat</t>
        </is>
      </c>
      <c r="D1" s="3" t="inlineStr">
        <is>
          <t>Min</t>
        </is>
      </c>
      <c r="E1" s="3" t="inlineStr">
        <is>
          <t>Max</t>
        </is>
      </c>
      <c r="F1" s="3" t="inlineStr">
        <is>
          <t>Curve</t>
        </is>
      </c>
      <c r="G1" s="3" t="inlineStr">
        <is>
          <t>Skew</t>
        </is>
      </c>
      <c r="H1" s="12" t="inlineStr">
        <is>
          <t>L1</t>
        </is>
      </c>
      <c r="I1" s="12" t="inlineStr">
        <is>
          <t>L2</t>
        </is>
      </c>
      <c r="J1" s="12" t="inlineStr">
        <is>
          <t>L3</t>
        </is>
      </c>
      <c r="K1" s="12" t="inlineStr">
        <is>
          <t>L4</t>
        </is>
      </c>
      <c r="L1" s="12" t="inlineStr">
        <is>
          <t>L5</t>
        </is>
      </c>
      <c r="M1" s="12" t="inlineStr">
        <is>
          <t>L6</t>
        </is>
      </c>
      <c r="N1" s="12" t="inlineStr">
        <is>
          <t>L7</t>
        </is>
      </c>
      <c r="O1" s="12" t="inlineStr">
        <is>
          <t>L8</t>
        </is>
      </c>
      <c r="P1" s="12" t="inlineStr">
        <is>
          <t>L9</t>
        </is>
      </c>
      <c r="Q1" s="12" t="inlineStr">
        <is>
          <t>L10</t>
        </is>
      </c>
    </row>
    <row r="2">
      <c r="A2" s="4" t="inlineStr">
        <is>
          <t>01U</t>
        </is>
      </c>
      <c r="B2" s="4" t="inlineStr">
        <is>
          <t>C1</t>
        </is>
      </c>
      <c r="C2" s="4" t="inlineStr">
        <is>
          <t>Experience</t>
        </is>
      </c>
      <c r="D2" s="5" t="n">
        <v>0</v>
      </c>
      <c r="E2" s="5" t="n">
        <v>20000</v>
      </c>
      <c r="F2" s="5" t="n">
        <v>1</v>
      </c>
      <c r="G2" s="5" t="n">
        <v>0</v>
      </c>
      <c r="H2" s="13">
        <f>IF(OR(D2="",E2=""),"",IF(IFERROR(INDEX(Stats!$D:$D,MATCH($C2,Stats!$A:$A,0)),FALSE),ROUND(D2+(E2-D2)*(1+G2)*((1-1)/(MaxLevel-1))^(2^F2),0),D2+(E2-D2)*(1+G2)*((1-1)/(MaxLevel-1))^(2^F2)))</f>
        <v/>
      </c>
      <c r="I2" s="13">
        <f>IF(OR(D2="",E2=""),"",IF(IFERROR(INDEX(Stats!$D:$D,MATCH($C2,Stats!$A:$A,0)),FALSE),ROUND(D2+(E2-D2)*(1+G2)*((2-1)/(MaxLevel-1))^(2^F2),0),D2+(E2-D2)*(1+G2)*((2-1)/(MaxLevel-1))^(2^F2)))</f>
        <v/>
      </c>
      <c r="J2" s="13">
        <f>IF(OR(D2="",E2=""),"",IF(IFERROR(INDEX(Stats!$D:$D,MATCH($C2,Stats!$A:$A,0)),FALSE),ROUND(D2+(E2-D2)*(1+G2)*((3-1)/(MaxLevel-1))^(2^F2),0),D2+(E2-D2)*(1+G2)*((3-1)/(MaxLevel-1))^(2^F2)))</f>
        <v/>
      </c>
      <c r="K2" s="13">
        <f>IF(OR(D2="",E2=""),"",IF(IFERROR(INDEX(Stats!$D:$D,MATCH($C2,Stats!$A:$A,0)),FALSE),ROUND(D2+(E2-D2)*(1+G2)*((4-1)/(MaxLevel-1))^(2^F2),0),D2+(E2-D2)*(1+G2)*((4-1)/(MaxLevel-1))^(2^F2)))</f>
        <v/>
      </c>
      <c r="L2" s="13">
        <f>IF(OR(D2="",E2=""),"",IF(IFERROR(INDEX(Stats!$D:$D,MATCH($C2,Stats!$A:$A,0)),FALSE),ROUND(D2+(E2-D2)*(1+G2)*((5-1)/(MaxLevel-1))^(2^F2),0),D2+(E2-D2)*(1+G2)*((5-1)/(MaxLevel-1))^(2^F2)))</f>
        <v/>
      </c>
      <c r="M2" s="13">
        <f>IF(OR(D2="",E2=""),"",IF(IFERROR(INDEX(Stats!$D:$D,MATCH($C2,Stats!$A:$A,0)),FALSE),ROUND(D2+(E2-D2)*(1+G2)*((6-1)/(MaxLevel-1))^(2^F2),0),D2+(E2-D2)*(1+G2)*((6-1)/(MaxLevel-1))^(2^F2)))</f>
        <v/>
      </c>
      <c r="N2" s="13">
        <f>IF(OR(D2="",E2=""),"",IF(IFERROR(INDEX(Stats!$D:$D,MATCH($C2,Stats!$A:$A,0)),FALSE),ROUND(D2+(E2-D2)*(1+G2)*((7-1)/(MaxLevel-1))^(2^F2),0),D2+(E2-D2)*(1+G2)*((7-1)/(MaxLevel-1))^(2^F2)))</f>
        <v/>
      </c>
      <c r="O2" s="13">
        <f>IF(OR(D2="",E2=""),"",IF(IFERROR(INDEX(Stats!$D:$D,MATCH($C2,Stats!$A:$A,0)),FALSE),ROUND(D2+(E2-D2)*(1+G2)*((8-1)/(MaxLevel-1))^(2^F2),0),D2+(E2-D2)*(1+G2)*((8-1)/(MaxLevel-1))^(2^F2)))</f>
        <v/>
      </c>
      <c r="P2" s="13">
        <f>IF(OR(D2="",E2=""),"",IF(IFERROR(INDEX(Stats!$D:$D,MATCH($C2,Stats!$A:$A,0)),FALSE),ROUND(D2+(E2-D2)*(1+G2)*((9-1)/(MaxLevel-1))^(2^F2),0),D2+(E2-D2)*(1+G2)*((9-1)/(MaxLevel-1))^(2^F2)))</f>
        <v/>
      </c>
      <c r="Q2" s="13">
        <f>IF(OR(D2="",E2=""),"",IF(IFERROR(INDEX(Stats!$D:$D,MATCH($C2,Stats!$A:$A,0)),FALSE),ROUND(D2+(E2-D2)*(1+G2)*((10-1)/(MaxLevel-1))^(2^F2),0),D2+(E2-D2)*(1+G2)*((10-1)/(MaxLevel-1))^(2^F2)))</f>
        <v/>
      </c>
    </row>
    <row r="3">
      <c r="A3" s="4" t="inlineStr">
        <is>
          <t>01U</t>
        </is>
      </c>
      <c r="B3" s="4" t="inlineStr">
        <is>
          <t>C1</t>
        </is>
      </c>
      <c r="C3" s="4" t="inlineStr">
        <is>
          <t>Salary</t>
        </is>
      </c>
      <c r="D3" s="5" t="n">
        <v>50</v>
      </c>
      <c r="E3" s="5" t="n">
        <v>300</v>
      </c>
      <c r="F3" s="5" t="n">
        <v>0</v>
      </c>
      <c r="G3" s="5" t="n">
        <v>0</v>
      </c>
      <c r="H3" s="13">
        <f>IF(OR(D3="",E3=""),"",IF(IFERROR(INDEX(Stats!$D:$D,MATCH($C3,Stats!$A:$A,0)),FALSE),ROUND(D3+(E3-D3)*(1+G3)*((1-1)/(MaxLevel-1))^(2^F3),0),D3+(E3-D3)*(1+G3)*((1-1)/(MaxLevel-1))^(2^F3)))</f>
        <v/>
      </c>
      <c r="I3" s="13">
        <f>IF(OR(D3="",E3=""),"",IF(IFERROR(INDEX(Stats!$D:$D,MATCH($C3,Stats!$A:$A,0)),FALSE),ROUND(D3+(E3-D3)*(1+G3)*((2-1)/(MaxLevel-1))^(2^F3),0),D3+(E3-D3)*(1+G3)*((2-1)/(MaxLevel-1))^(2^F3)))</f>
        <v/>
      </c>
      <c r="J3" s="13">
        <f>IF(OR(D3="",E3=""),"",IF(IFERROR(INDEX(Stats!$D:$D,MATCH($C3,Stats!$A:$A,0)),FALSE),ROUND(D3+(E3-D3)*(1+G3)*((3-1)/(MaxLevel-1))^(2^F3),0),D3+(E3-D3)*(1+G3)*((3-1)/(MaxLevel-1))^(2^F3)))</f>
        <v/>
      </c>
      <c r="K3" s="13">
        <f>IF(OR(D3="",E3=""),"",IF(IFERROR(INDEX(Stats!$D:$D,MATCH($C3,Stats!$A:$A,0)),FALSE),ROUND(D3+(E3-D3)*(1+G3)*((4-1)/(MaxLevel-1))^(2^F3),0),D3+(E3-D3)*(1+G3)*((4-1)/(MaxLevel-1))^(2^F3)))</f>
        <v/>
      </c>
      <c r="L3" s="13">
        <f>IF(OR(D3="",E3=""),"",IF(IFERROR(INDEX(Stats!$D:$D,MATCH($C3,Stats!$A:$A,0)),FALSE),ROUND(D3+(E3-D3)*(1+G3)*((5-1)/(MaxLevel-1))^(2^F3),0),D3+(E3-D3)*(1+G3)*((5-1)/(MaxLevel-1))^(2^F3)))</f>
        <v/>
      </c>
      <c r="M3" s="13">
        <f>IF(OR(D3="",E3=""),"",IF(IFERROR(INDEX(Stats!$D:$D,MATCH($C3,Stats!$A:$A,0)),FALSE),ROUND(D3+(E3-D3)*(1+G3)*((6-1)/(MaxLevel-1))^(2^F3),0),D3+(E3-D3)*(1+G3)*((6-1)/(MaxLevel-1))^(2^F3)))</f>
        <v/>
      </c>
      <c r="N3" s="13">
        <f>IF(OR(D3="",E3=""),"",IF(IFERROR(INDEX(Stats!$D:$D,MATCH($C3,Stats!$A:$A,0)),FALSE),ROUND(D3+(E3-D3)*(1+G3)*((7-1)/(MaxLevel-1))^(2^F3),0),D3+(E3-D3)*(1+G3)*((7-1)/(MaxLevel-1))^(2^F3)))</f>
        <v/>
      </c>
      <c r="O3" s="13">
        <f>IF(OR(D3="",E3=""),"",IF(IFERROR(INDEX(Stats!$D:$D,MATCH($C3,Stats!$A:$A,0)),FALSE),ROUND(D3+(E3-D3)*(1+G3)*((8-1)/(MaxLevel-1))^(2^F3),0),D3+(E3-D3)*(1+G3)*((8-1)/(MaxLevel-1))^(2^F3)))</f>
        <v/>
      </c>
      <c r="P3" s="13">
        <f>IF(OR(D3="",E3=""),"",IF(IFERROR(INDEX(Stats!$D:$D,MATCH($C3,Stats!$A:$A,0)),FALSE),ROUND(D3+(E3-D3)*(1+G3)*((9-1)/(MaxLevel-1))^(2^F3),0),D3+(E3-D3)*(1+G3)*((9-1)/(MaxLevel-1))^(2^F3)))</f>
        <v/>
      </c>
      <c r="Q3" s="13">
        <f>IF(OR(D3="",E3=""),"",IF(IFERROR(INDEX(Stats!$D:$D,MATCH($C3,Stats!$A:$A,0)),FALSE),ROUND(D3+(E3-D3)*(1+G3)*((10-1)/(MaxLevel-1))^(2^F3),0),D3+(E3-D3)*(1+G3)*((10-1)/(MaxLevel-1))^(2^F3)))</f>
        <v/>
      </c>
    </row>
    <row r="4">
      <c r="A4" s="4" t="inlineStr">
        <is>
          <t>01U</t>
        </is>
      </c>
      <c r="B4" s="4" t="inlineStr">
        <is>
          <t>C1</t>
        </is>
      </c>
      <c r="C4" s="4" t="inlineStr">
        <is>
          <t>Health</t>
        </is>
      </c>
      <c r="D4" s="5" t="n">
        <v>400</v>
      </c>
      <c r="E4" s="5" t="n">
        <v>1600</v>
      </c>
      <c r="F4" s="5" t="n">
        <v>0</v>
      </c>
      <c r="G4" s="5" t="n">
        <v>0</v>
      </c>
      <c r="H4" s="13">
        <f>IF(OR(D4="",E4=""),"",IF(IFERROR(INDEX(Stats!$D:$D,MATCH($C4,Stats!$A:$A,0)),FALSE),ROUND(D4+(E4-D4)*(1+G4)*((1-1)/(MaxLevel-1))^(2^F4),0),D4+(E4-D4)*(1+G4)*((1-1)/(MaxLevel-1))^(2^F4)))</f>
        <v/>
      </c>
      <c r="I4" s="13">
        <f>IF(OR(D4="",E4=""),"",IF(IFERROR(INDEX(Stats!$D:$D,MATCH($C4,Stats!$A:$A,0)),FALSE),ROUND(D4+(E4-D4)*(1+G4)*((2-1)/(MaxLevel-1))^(2^F4),0),D4+(E4-D4)*(1+G4)*((2-1)/(MaxLevel-1))^(2^F4)))</f>
        <v/>
      </c>
      <c r="J4" s="13">
        <f>IF(OR(D4="",E4=""),"",IF(IFERROR(INDEX(Stats!$D:$D,MATCH($C4,Stats!$A:$A,0)),FALSE),ROUND(D4+(E4-D4)*(1+G4)*((3-1)/(MaxLevel-1))^(2^F4),0),D4+(E4-D4)*(1+G4)*((3-1)/(MaxLevel-1))^(2^F4)))</f>
        <v/>
      </c>
      <c r="K4" s="13">
        <f>IF(OR(D4="",E4=""),"",IF(IFERROR(INDEX(Stats!$D:$D,MATCH($C4,Stats!$A:$A,0)),FALSE),ROUND(D4+(E4-D4)*(1+G4)*((4-1)/(MaxLevel-1))^(2^F4),0),D4+(E4-D4)*(1+G4)*((4-1)/(MaxLevel-1))^(2^F4)))</f>
        <v/>
      </c>
      <c r="L4" s="13">
        <f>IF(OR(D4="",E4=""),"",IF(IFERROR(INDEX(Stats!$D:$D,MATCH($C4,Stats!$A:$A,0)),FALSE),ROUND(D4+(E4-D4)*(1+G4)*((5-1)/(MaxLevel-1))^(2^F4),0),D4+(E4-D4)*(1+G4)*((5-1)/(MaxLevel-1))^(2^F4)))</f>
        <v/>
      </c>
      <c r="M4" s="13">
        <f>IF(OR(D4="",E4=""),"",IF(IFERROR(INDEX(Stats!$D:$D,MATCH($C4,Stats!$A:$A,0)),FALSE),ROUND(D4+(E4-D4)*(1+G4)*((6-1)/(MaxLevel-1))^(2^F4),0),D4+(E4-D4)*(1+G4)*((6-1)/(MaxLevel-1))^(2^F4)))</f>
        <v/>
      </c>
      <c r="N4" s="13">
        <f>IF(OR(D4="",E4=""),"",IF(IFERROR(INDEX(Stats!$D:$D,MATCH($C4,Stats!$A:$A,0)),FALSE),ROUND(D4+(E4-D4)*(1+G4)*((7-1)/(MaxLevel-1))^(2^F4),0),D4+(E4-D4)*(1+G4)*((7-1)/(MaxLevel-1))^(2^F4)))</f>
        <v/>
      </c>
      <c r="O4" s="13">
        <f>IF(OR(D4="",E4=""),"",IF(IFERROR(INDEX(Stats!$D:$D,MATCH($C4,Stats!$A:$A,0)),FALSE),ROUND(D4+(E4-D4)*(1+G4)*((8-1)/(MaxLevel-1))^(2^F4),0),D4+(E4-D4)*(1+G4)*((8-1)/(MaxLevel-1))^(2^F4)))</f>
        <v/>
      </c>
      <c r="P4" s="13">
        <f>IF(OR(D4="",E4=""),"",IF(IFERROR(INDEX(Stats!$D:$D,MATCH($C4,Stats!$A:$A,0)),FALSE),ROUND(D4+(E4-D4)*(1+G4)*((9-1)/(MaxLevel-1))^(2^F4),0),D4+(E4-D4)*(1+G4)*((9-1)/(MaxLevel-1))^(2^F4)))</f>
        <v/>
      </c>
      <c r="Q4" s="13">
        <f>IF(OR(D4="",E4=""),"",IF(IFERROR(INDEX(Stats!$D:$D,MATCH($C4,Stats!$A:$A,0)),FALSE),ROUND(D4+(E4-D4)*(1+G4)*((10-1)/(MaxLevel-1))^(2^F4),0),D4+(E4-D4)*(1+G4)*((10-1)/(MaxLevel-1))^(2^F4)))</f>
        <v/>
      </c>
    </row>
    <row r="5">
      <c r="A5" s="4" t="inlineStr">
        <is>
          <t>01U</t>
        </is>
      </c>
      <c r="B5" s="4" t="inlineStr">
        <is>
          <t>C1</t>
        </is>
      </c>
      <c r="C5" s="4" t="inlineStr">
        <is>
          <t>Strength</t>
        </is>
      </c>
      <c r="D5" s="5" t="n">
        <v>30</v>
      </c>
      <c r="E5" s="5" t="n">
        <v>120</v>
      </c>
      <c r="F5" s="5" t="n">
        <v>0</v>
      </c>
      <c r="G5" s="5" t="n">
        <v>0</v>
      </c>
      <c r="H5" s="13">
        <f>IF(OR(D5="",E5=""),"",IF(IFERROR(INDEX(Stats!$D:$D,MATCH($C5,Stats!$A:$A,0)),FALSE),ROUND(D5+(E5-D5)*(1+G5)*((1-1)/(MaxLevel-1))^(2^F5),0),D5+(E5-D5)*(1+G5)*((1-1)/(MaxLevel-1))^(2^F5)))</f>
        <v/>
      </c>
      <c r="I5" s="13">
        <f>IF(OR(D5="",E5=""),"",IF(IFERROR(INDEX(Stats!$D:$D,MATCH($C5,Stats!$A:$A,0)),FALSE),ROUND(D5+(E5-D5)*(1+G5)*((2-1)/(MaxLevel-1))^(2^F5),0),D5+(E5-D5)*(1+G5)*((2-1)/(MaxLevel-1))^(2^F5)))</f>
        <v/>
      </c>
      <c r="J5" s="13">
        <f>IF(OR(D5="",E5=""),"",IF(IFERROR(INDEX(Stats!$D:$D,MATCH($C5,Stats!$A:$A,0)),FALSE),ROUND(D5+(E5-D5)*(1+G5)*((3-1)/(MaxLevel-1))^(2^F5),0),D5+(E5-D5)*(1+G5)*((3-1)/(MaxLevel-1))^(2^F5)))</f>
        <v/>
      </c>
      <c r="K5" s="13">
        <f>IF(OR(D5="",E5=""),"",IF(IFERROR(INDEX(Stats!$D:$D,MATCH($C5,Stats!$A:$A,0)),FALSE),ROUND(D5+(E5-D5)*(1+G5)*((4-1)/(MaxLevel-1))^(2^F5),0),D5+(E5-D5)*(1+G5)*((4-1)/(MaxLevel-1))^(2^F5)))</f>
        <v/>
      </c>
      <c r="L5" s="13">
        <f>IF(OR(D5="",E5=""),"",IF(IFERROR(INDEX(Stats!$D:$D,MATCH($C5,Stats!$A:$A,0)),FALSE),ROUND(D5+(E5-D5)*(1+G5)*((5-1)/(MaxLevel-1))^(2^F5),0),D5+(E5-D5)*(1+G5)*((5-1)/(MaxLevel-1))^(2^F5)))</f>
        <v/>
      </c>
      <c r="M5" s="13">
        <f>IF(OR(D5="",E5=""),"",IF(IFERROR(INDEX(Stats!$D:$D,MATCH($C5,Stats!$A:$A,0)),FALSE),ROUND(D5+(E5-D5)*(1+G5)*((6-1)/(MaxLevel-1))^(2^F5),0),D5+(E5-D5)*(1+G5)*((6-1)/(MaxLevel-1))^(2^F5)))</f>
        <v/>
      </c>
      <c r="N5" s="13">
        <f>IF(OR(D5="",E5=""),"",IF(IFERROR(INDEX(Stats!$D:$D,MATCH($C5,Stats!$A:$A,0)),FALSE),ROUND(D5+(E5-D5)*(1+G5)*((7-1)/(MaxLevel-1))^(2^F5),0),D5+(E5-D5)*(1+G5)*((7-1)/(MaxLevel-1))^(2^F5)))</f>
        <v/>
      </c>
      <c r="O5" s="13">
        <f>IF(OR(D5="",E5=""),"",IF(IFERROR(INDEX(Stats!$D:$D,MATCH($C5,Stats!$A:$A,0)),FALSE),ROUND(D5+(E5-D5)*(1+G5)*((8-1)/(MaxLevel-1))^(2^F5),0),D5+(E5-D5)*(1+G5)*((8-1)/(MaxLevel-1))^(2^F5)))</f>
        <v/>
      </c>
      <c r="P5" s="13">
        <f>IF(OR(D5="",E5=""),"",IF(IFERROR(INDEX(Stats!$D:$D,MATCH($C5,Stats!$A:$A,0)),FALSE),ROUND(D5+(E5-D5)*(1+G5)*((9-1)/(MaxLevel-1))^(2^F5),0),D5+(E5-D5)*(1+G5)*((9-1)/(MaxLevel-1))^(2^F5)))</f>
        <v/>
      </c>
      <c r="Q5" s="13">
        <f>IF(OR(D5="",E5=""),"",IF(IFERROR(INDEX(Stats!$D:$D,MATCH($C5,Stats!$A:$A,0)),FALSE),ROUND(D5+(E5-D5)*(1+G5)*((10-1)/(MaxLevel-1))^(2^F5),0),D5+(E5-D5)*(1+G5)*((10-1)/(MaxLevel-1))^(2^F5)))</f>
        <v/>
      </c>
    </row>
    <row r="6">
      <c r="A6" s="4" t="inlineStr">
        <is>
          <t>01U</t>
        </is>
      </c>
      <c r="B6" s="4" t="inlineStr">
        <is>
          <t>C1</t>
        </is>
      </c>
      <c r="C6" s="4" t="inlineStr">
        <is>
          <t>Accuracy</t>
        </is>
      </c>
      <c r="D6" s="5" t="n">
        <v>0.7</v>
      </c>
      <c r="E6" s="5" t="n">
        <v>0.95</v>
      </c>
      <c r="F6" s="5" t="n">
        <v>-1</v>
      </c>
      <c r="G6" s="5" t="n">
        <v>0</v>
      </c>
      <c r="H6" s="13">
        <f>IF(OR(D6="",E6=""),"",IF(IFERROR(INDEX(Stats!$D:$D,MATCH($C6,Stats!$A:$A,0)),FALSE),ROUND(D6+(E6-D6)*(1+G6)*((1-1)/(MaxLevel-1))^(2^F6),0),D6+(E6-D6)*(1+G6)*((1-1)/(MaxLevel-1))^(2^F6)))</f>
        <v/>
      </c>
      <c r="I6" s="13">
        <f>IF(OR(D6="",E6=""),"",IF(IFERROR(INDEX(Stats!$D:$D,MATCH($C6,Stats!$A:$A,0)),FALSE),ROUND(D6+(E6-D6)*(1+G6)*((2-1)/(MaxLevel-1))^(2^F6),0),D6+(E6-D6)*(1+G6)*((2-1)/(MaxLevel-1))^(2^F6)))</f>
        <v/>
      </c>
      <c r="J6" s="13">
        <f>IF(OR(D6="",E6=""),"",IF(IFERROR(INDEX(Stats!$D:$D,MATCH($C6,Stats!$A:$A,0)),FALSE),ROUND(D6+(E6-D6)*(1+G6)*((3-1)/(MaxLevel-1))^(2^F6),0),D6+(E6-D6)*(1+G6)*((3-1)/(MaxLevel-1))^(2^F6)))</f>
        <v/>
      </c>
      <c r="K6" s="13">
        <f>IF(OR(D6="",E6=""),"",IF(IFERROR(INDEX(Stats!$D:$D,MATCH($C6,Stats!$A:$A,0)),FALSE),ROUND(D6+(E6-D6)*(1+G6)*((4-1)/(MaxLevel-1))^(2^F6),0),D6+(E6-D6)*(1+G6)*((4-1)/(MaxLevel-1))^(2^F6)))</f>
        <v/>
      </c>
      <c r="L6" s="13">
        <f>IF(OR(D6="",E6=""),"",IF(IFERROR(INDEX(Stats!$D:$D,MATCH($C6,Stats!$A:$A,0)),FALSE),ROUND(D6+(E6-D6)*(1+G6)*((5-1)/(MaxLevel-1))^(2^F6),0),D6+(E6-D6)*(1+G6)*((5-1)/(MaxLevel-1))^(2^F6)))</f>
        <v/>
      </c>
      <c r="M6" s="13">
        <f>IF(OR(D6="",E6=""),"",IF(IFERROR(INDEX(Stats!$D:$D,MATCH($C6,Stats!$A:$A,0)),FALSE),ROUND(D6+(E6-D6)*(1+G6)*((6-1)/(MaxLevel-1))^(2^F6),0),D6+(E6-D6)*(1+G6)*((6-1)/(MaxLevel-1))^(2^F6)))</f>
        <v/>
      </c>
      <c r="N6" s="13">
        <f>IF(OR(D6="",E6=""),"",IF(IFERROR(INDEX(Stats!$D:$D,MATCH($C6,Stats!$A:$A,0)),FALSE),ROUND(D6+(E6-D6)*(1+G6)*((7-1)/(MaxLevel-1))^(2^F6),0),D6+(E6-D6)*(1+G6)*((7-1)/(MaxLevel-1))^(2^F6)))</f>
        <v/>
      </c>
      <c r="O6" s="13">
        <f>IF(OR(D6="",E6=""),"",IF(IFERROR(INDEX(Stats!$D:$D,MATCH($C6,Stats!$A:$A,0)),FALSE),ROUND(D6+(E6-D6)*(1+G6)*((8-1)/(MaxLevel-1))^(2^F6),0),D6+(E6-D6)*(1+G6)*((8-1)/(MaxLevel-1))^(2^F6)))</f>
        <v/>
      </c>
      <c r="P6" s="13">
        <f>IF(OR(D6="",E6=""),"",IF(IFERROR(INDEX(Stats!$D:$D,MATCH($C6,Stats!$A:$A,0)),FALSE),ROUND(D6+(E6-D6)*(1+G6)*((9-1)/(MaxLevel-1))^(2^F6),0),D6+(E6-D6)*(1+G6)*((9-1)/(MaxLevel-1))^(2^F6)))</f>
        <v/>
      </c>
      <c r="Q6" s="13">
        <f>IF(OR(D6="",E6=""),"",IF(IFERROR(INDEX(Stats!$D:$D,MATCH($C6,Stats!$A:$A,0)),FALSE),ROUND(D6+(E6-D6)*(1+G6)*((10-1)/(MaxLevel-1))^(2^F6),0),D6+(E6-D6)*(1+G6)*((10-1)/(MaxLevel-1))^(2^F6)))</f>
        <v/>
      </c>
    </row>
    <row r="7">
      <c r="A7" s="4" t="inlineStr">
        <is>
          <t>01U</t>
        </is>
      </c>
      <c r="B7" s="4" t="inlineStr">
        <is>
          <t>C1</t>
        </is>
      </c>
      <c r="C7" s="4" t="inlineStr">
        <is>
          <t>Dexterity</t>
        </is>
      </c>
      <c r="D7" s="5" t="n">
        <v>0.1</v>
      </c>
      <c r="E7" s="5" t="n">
        <v>0.3</v>
      </c>
      <c r="F7" s="5" t="n">
        <v>0</v>
      </c>
      <c r="G7" s="5" t="n">
        <v>0</v>
      </c>
      <c r="H7" s="13">
        <f>IF(OR(D7="",E7=""),"",IF(IFERROR(INDEX(Stats!$D:$D,MATCH($C7,Stats!$A:$A,0)),FALSE),ROUND(D7+(E7-D7)*(1+G7)*((1-1)/(MaxLevel-1))^(2^F7),0),D7+(E7-D7)*(1+G7)*((1-1)/(MaxLevel-1))^(2^F7)))</f>
        <v/>
      </c>
      <c r="I7" s="13">
        <f>IF(OR(D7="",E7=""),"",IF(IFERROR(INDEX(Stats!$D:$D,MATCH($C7,Stats!$A:$A,0)),FALSE),ROUND(D7+(E7-D7)*(1+G7)*((2-1)/(MaxLevel-1))^(2^F7),0),D7+(E7-D7)*(1+G7)*((2-1)/(MaxLevel-1))^(2^F7)))</f>
        <v/>
      </c>
      <c r="J7" s="13">
        <f>IF(OR(D7="",E7=""),"",IF(IFERROR(INDEX(Stats!$D:$D,MATCH($C7,Stats!$A:$A,0)),FALSE),ROUND(D7+(E7-D7)*(1+G7)*((3-1)/(MaxLevel-1))^(2^F7),0),D7+(E7-D7)*(1+G7)*((3-1)/(MaxLevel-1))^(2^F7)))</f>
        <v/>
      </c>
      <c r="K7" s="13">
        <f>IF(OR(D7="",E7=""),"",IF(IFERROR(INDEX(Stats!$D:$D,MATCH($C7,Stats!$A:$A,0)),FALSE),ROUND(D7+(E7-D7)*(1+G7)*((4-1)/(MaxLevel-1))^(2^F7),0),D7+(E7-D7)*(1+G7)*((4-1)/(MaxLevel-1))^(2^F7)))</f>
        <v/>
      </c>
      <c r="L7" s="13">
        <f>IF(OR(D7="",E7=""),"",IF(IFERROR(INDEX(Stats!$D:$D,MATCH($C7,Stats!$A:$A,0)),FALSE),ROUND(D7+(E7-D7)*(1+G7)*((5-1)/(MaxLevel-1))^(2^F7),0),D7+(E7-D7)*(1+G7)*((5-1)/(MaxLevel-1))^(2^F7)))</f>
        <v/>
      </c>
      <c r="M7" s="13">
        <f>IF(OR(D7="",E7=""),"",IF(IFERROR(INDEX(Stats!$D:$D,MATCH($C7,Stats!$A:$A,0)),FALSE),ROUND(D7+(E7-D7)*(1+G7)*((6-1)/(MaxLevel-1))^(2^F7),0),D7+(E7-D7)*(1+G7)*((6-1)/(MaxLevel-1))^(2^F7)))</f>
        <v/>
      </c>
      <c r="N7" s="13">
        <f>IF(OR(D7="",E7=""),"",IF(IFERROR(INDEX(Stats!$D:$D,MATCH($C7,Stats!$A:$A,0)),FALSE),ROUND(D7+(E7-D7)*(1+G7)*((7-1)/(MaxLevel-1))^(2^F7),0),D7+(E7-D7)*(1+G7)*((7-1)/(MaxLevel-1))^(2^F7)))</f>
        <v/>
      </c>
      <c r="O7" s="13">
        <f>IF(OR(D7="",E7=""),"",IF(IFERROR(INDEX(Stats!$D:$D,MATCH($C7,Stats!$A:$A,0)),FALSE),ROUND(D7+(E7-D7)*(1+G7)*((8-1)/(MaxLevel-1))^(2^F7),0),D7+(E7-D7)*(1+G7)*((8-1)/(MaxLevel-1))^(2^F7)))</f>
        <v/>
      </c>
      <c r="P7" s="13">
        <f>IF(OR(D7="",E7=""),"",IF(IFERROR(INDEX(Stats!$D:$D,MATCH($C7,Stats!$A:$A,0)),FALSE),ROUND(D7+(E7-D7)*(1+G7)*((9-1)/(MaxLevel-1))^(2^F7),0),D7+(E7-D7)*(1+G7)*((9-1)/(MaxLevel-1))^(2^F7)))</f>
        <v/>
      </c>
      <c r="Q7" s="13">
        <f>IF(OR(D7="",E7=""),"",IF(IFERROR(INDEX(Stats!$D:$D,MATCH($C7,Stats!$A:$A,0)),FALSE),ROUND(D7+(E7-D7)*(1+G7)*((10-1)/(MaxLevel-1))^(2^F7),0),D7+(E7-D7)*(1+G7)*((10-1)/(MaxLevel-1))^(2^F7)))</f>
        <v/>
      </c>
    </row>
    <row r="8">
      <c r="A8" s="4" t="inlineStr">
        <is>
          <t>01U</t>
        </is>
      </c>
      <c r="B8" s="4" t="inlineStr">
        <is>
          <t>C1</t>
        </is>
      </c>
      <c r="C8" s="4" t="inlineStr">
        <is>
          <t>Fortitude</t>
        </is>
      </c>
      <c r="D8" s="5" t="n"/>
      <c r="E8" s="5" t="n"/>
      <c r="F8" s="5" t="n"/>
      <c r="G8" s="5" t="n"/>
      <c r="H8" s="13">
        <f>IF(OR(D8="",E8=""),"",IF(IFERROR(INDEX(Stats!$D:$D,MATCH($C8,Stats!$A:$A,0)),FALSE),ROUND(D8+(E8-D8)*(1+G8)*((1-1)/(MaxLevel-1))^(2^F8),0),D8+(E8-D8)*(1+G8)*((1-1)/(MaxLevel-1))^(2^F8)))</f>
        <v/>
      </c>
      <c r="I8" s="13">
        <f>IF(OR(D8="",E8=""),"",IF(IFERROR(INDEX(Stats!$D:$D,MATCH($C8,Stats!$A:$A,0)),FALSE),ROUND(D8+(E8-D8)*(1+G8)*((2-1)/(MaxLevel-1))^(2^F8),0),D8+(E8-D8)*(1+G8)*((2-1)/(MaxLevel-1))^(2^F8)))</f>
        <v/>
      </c>
      <c r="J8" s="13">
        <f>IF(OR(D8="",E8=""),"",IF(IFERROR(INDEX(Stats!$D:$D,MATCH($C8,Stats!$A:$A,0)),FALSE),ROUND(D8+(E8-D8)*(1+G8)*((3-1)/(MaxLevel-1))^(2^F8),0),D8+(E8-D8)*(1+G8)*((3-1)/(MaxLevel-1))^(2^F8)))</f>
        <v/>
      </c>
      <c r="K8" s="13">
        <f>IF(OR(D8="",E8=""),"",IF(IFERROR(INDEX(Stats!$D:$D,MATCH($C8,Stats!$A:$A,0)),FALSE),ROUND(D8+(E8-D8)*(1+G8)*((4-1)/(MaxLevel-1))^(2^F8),0),D8+(E8-D8)*(1+G8)*((4-1)/(MaxLevel-1))^(2^F8)))</f>
        <v/>
      </c>
      <c r="L8" s="13">
        <f>IF(OR(D8="",E8=""),"",IF(IFERROR(INDEX(Stats!$D:$D,MATCH($C8,Stats!$A:$A,0)),FALSE),ROUND(D8+(E8-D8)*(1+G8)*((5-1)/(MaxLevel-1))^(2^F8),0),D8+(E8-D8)*(1+G8)*((5-1)/(MaxLevel-1))^(2^F8)))</f>
        <v/>
      </c>
      <c r="M8" s="13">
        <f>IF(OR(D8="",E8=""),"",IF(IFERROR(INDEX(Stats!$D:$D,MATCH($C8,Stats!$A:$A,0)),FALSE),ROUND(D8+(E8-D8)*(1+G8)*((6-1)/(MaxLevel-1))^(2^F8),0),D8+(E8-D8)*(1+G8)*((6-1)/(MaxLevel-1))^(2^F8)))</f>
        <v/>
      </c>
      <c r="N8" s="13">
        <f>IF(OR(D8="",E8=""),"",IF(IFERROR(INDEX(Stats!$D:$D,MATCH($C8,Stats!$A:$A,0)),FALSE),ROUND(D8+(E8-D8)*(1+G8)*((7-1)/(MaxLevel-1))^(2^F8),0),D8+(E8-D8)*(1+G8)*((7-1)/(MaxLevel-1))^(2^F8)))</f>
        <v/>
      </c>
      <c r="O8" s="13">
        <f>IF(OR(D8="",E8=""),"",IF(IFERROR(INDEX(Stats!$D:$D,MATCH($C8,Stats!$A:$A,0)),FALSE),ROUND(D8+(E8-D8)*(1+G8)*((8-1)/(MaxLevel-1))^(2^F8),0),D8+(E8-D8)*(1+G8)*((8-1)/(MaxLevel-1))^(2^F8)))</f>
        <v/>
      </c>
      <c r="P8" s="13">
        <f>IF(OR(D8="",E8=""),"",IF(IFERROR(INDEX(Stats!$D:$D,MATCH($C8,Stats!$A:$A,0)),FALSE),ROUND(D8+(E8-D8)*(1+G8)*((9-1)/(MaxLevel-1))^(2^F8),0),D8+(E8-D8)*(1+G8)*((9-1)/(MaxLevel-1))^(2^F8)))</f>
        <v/>
      </c>
      <c r="Q8" s="13">
        <f>IF(OR(D8="",E8=""),"",IF(IFERROR(INDEX(Stats!$D:$D,MATCH($C8,Stats!$A:$A,0)),FALSE),ROUND(D8+(E8-D8)*(1+G8)*((10-1)/(MaxLevel-1))^(2^F8),0),D8+(E8-D8)*(1+G8)*((10-1)/(MaxLevel-1))^(2^F8)))</f>
        <v/>
      </c>
    </row>
    <row r="9">
      <c r="A9" s="4" t="inlineStr">
        <is>
          <t>01U</t>
        </is>
      </c>
      <c r="B9" s="4" t="inlineStr">
        <is>
          <t>C1</t>
        </is>
      </c>
      <c r="C9" s="4" t="inlineStr">
        <is>
          <t>Speed</t>
        </is>
      </c>
      <c r="D9" s="5" t="n"/>
      <c r="E9" s="5" t="n"/>
      <c r="F9" s="5" t="n"/>
      <c r="G9" s="5" t="n"/>
      <c r="H9" s="13">
        <f>IF(OR(D9="",E9=""),"",IF(IFERROR(INDEX(Stats!$D:$D,MATCH($C9,Stats!$A:$A,0)),FALSE),ROUND(D9+(E9-D9)*(1+G9)*((1-1)/(MaxLevel-1))^(2^F9),0),D9+(E9-D9)*(1+G9)*((1-1)/(MaxLevel-1))^(2^F9)))</f>
        <v/>
      </c>
      <c r="I9" s="13">
        <f>IF(OR(D9="",E9=""),"",IF(IFERROR(INDEX(Stats!$D:$D,MATCH($C9,Stats!$A:$A,0)),FALSE),ROUND(D9+(E9-D9)*(1+G9)*((2-1)/(MaxLevel-1))^(2^F9),0),D9+(E9-D9)*(1+G9)*((2-1)/(MaxLevel-1))^(2^F9)))</f>
        <v/>
      </c>
      <c r="J9" s="13">
        <f>IF(OR(D9="",E9=""),"",IF(IFERROR(INDEX(Stats!$D:$D,MATCH($C9,Stats!$A:$A,0)),FALSE),ROUND(D9+(E9-D9)*(1+G9)*((3-1)/(MaxLevel-1))^(2^F9),0),D9+(E9-D9)*(1+G9)*((3-1)/(MaxLevel-1))^(2^F9)))</f>
        <v/>
      </c>
      <c r="K9" s="13">
        <f>IF(OR(D9="",E9=""),"",IF(IFERROR(INDEX(Stats!$D:$D,MATCH($C9,Stats!$A:$A,0)),FALSE),ROUND(D9+(E9-D9)*(1+G9)*((4-1)/(MaxLevel-1))^(2^F9),0),D9+(E9-D9)*(1+G9)*((4-1)/(MaxLevel-1))^(2^F9)))</f>
        <v/>
      </c>
      <c r="L9" s="13">
        <f>IF(OR(D9="",E9=""),"",IF(IFERROR(INDEX(Stats!$D:$D,MATCH($C9,Stats!$A:$A,0)),FALSE),ROUND(D9+(E9-D9)*(1+G9)*((5-1)/(MaxLevel-1))^(2^F9),0),D9+(E9-D9)*(1+G9)*((5-1)/(MaxLevel-1))^(2^F9)))</f>
        <v/>
      </c>
      <c r="M9" s="13">
        <f>IF(OR(D9="",E9=""),"",IF(IFERROR(INDEX(Stats!$D:$D,MATCH($C9,Stats!$A:$A,0)),FALSE),ROUND(D9+(E9-D9)*(1+G9)*((6-1)/(MaxLevel-1))^(2^F9),0),D9+(E9-D9)*(1+G9)*((6-1)/(MaxLevel-1))^(2^F9)))</f>
        <v/>
      </c>
      <c r="N9" s="13">
        <f>IF(OR(D9="",E9=""),"",IF(IFERROR(INDEX(Stats!$D:$D,MATCH($C9,Stats!$A:$A,0)),FALSE),ROUND(D9+(E9-D9)*(1+G9)*((7-1)/(MaxLevel-1))^(2^F9),0),D9+(E9-D9)*(1+G9)*((7-1)/(MaxLevel-1))^(2^F9)))</f>
        <v/>
      </c>
      <c r="O9" s="13">
        <f>IF(OR(D9="",E9=""),"",IF(IFERROR(INDEX(Stats!$D:$D,MATCH($C9,Stats!$A:$A,0)),FALSE),ROUND(D9+(E9-D9)*(1+G9)*((8-1)/(MaxLevel-1))^(2^F9),0),D9+(E9-D9)*(1+G9)*((8-1)/(MaxLevel-1))^(2^F9)))</f>
        <v/>
      </c>
      <c r="P9" s="13">
        <f>IF(OR(D9="",E9=""),"",IF(IFERROR(INDEX(Stats!$D:$D,MATCH($C9,Stats!$A:$A,0)),FALSE),ROUND(D9+(E9-D9)*(1+G9)*((9-1)/(MaxLevel-1))^(2^F9),0),D9+(E9-D9)*(1+G9)*((9-1)/(MaxLevel-1))^(2^F9)))</f>
        <v/>
      </c>
      <c r="Q9" s="13">
        <f>IF(OR(D9="",E9=""),"",IF(IFERROR(INDEX(Stats!$D:$D,MATCH($C9,Stats!$A:$A,0)),FALSE),ROUND(D9+(E9-D9)*(1+G9)*((10-1)/(MaxLevel-1))^(2^F9),0),D9+(E9-D9)*(1+G9)*((10-1)/(MaxLevel-1))^(2^F9)))</f>
        <v/>
      </c>
    </row>
    <row r="10">
      <c r="A10" s="4" t="inlineStr">
        <is>
          <t>01U</t>
        </is>
      </c>
      <c r="B10" s="4" t="inlineStr">
        <is>
          <t>C1</t>
        </is>
      </c>
      <c r="C10" s="4" t="inlineStr">
        <is>
          <t>Magic</t>
        </is>
      </c>
      <c r="D10" s="5" t="n"/>
      <c r="E10" s="5" t="n"/>
      <c r="F10" s="5" t="n"/>
      <c r="G10" s="5" t="n"/>
      <c r="H10" s="13">
        <f>IF(OR(D10="",E10=""),"",IF(IFERROR(INDEX(Stats!$D:$D,MATCH($C10,Stats!$A:$A,0)),FALSE),ROUND(D10+(E10-D10)*(1+G10)*((1-1)/(MaxLevel-1))^(2^F10),0),D10+(E10-D10)*(1+G10)*((1-1)/(MaxLevel-1))^(2^F10)))</f>
        <v/>
      </c>
      <c r="I10" s="13">
        <f>IF(OR(D10="",E10=""),"",IF(IFERROR(INDEX(Stats!$D:$D,MATCH($C10,Stats!$A:$A,0)),FALSE),ROUND(D10+(E10-D10)*(1+G10)*((2-1)/(MaxLevel-1))^(2^F10),0),D10+(E10-D10)*(1+G10)*((2-1)/(MaxLevel-1))^(2^F10)))</f>
        <v/>
      </c>
      <c r="J10" s="13">
        <f>IF(OR(D10="",E10=""),"",IF(IFERROR(INDEX(Stats!$D:$D,MATCH($C10,Stats!$A:$A,0)),FALSE),ROUND(D10+(E10-D10)*(1+G10)*((3-1)/(MaxLevel-1))^(2^F10),0),D10+(E10-D10)*(1+G10)*((3-1)/(MaxLevel-1))^(2^F10)))</f>
        <v/>
      </c>
      <c r="K10" s="13">
        <f>IF(OR(D10="",E10=""),"",IF(IFERROR(INDEX(Stats!$D:$D,MATCH($C10,Stats!$A:$A,0)),FALSE),ROUND(D10+(E10-D10)*(1+G10)*((4-1)/(MaxLevel-1))^(2^F10),0),D10+(E10-D10)*(1+G10)*((4-1)/(MaxLevel-1))^(2^F10)))</f>
        <v/>
      </c>
      <c r="L10" s="13">
        <f>IF(OR(D10="",E10=""),"",IF(IFERROR(INDEX(Stats!$D:$D,MATCH($C10,Stats!$A:$A,0)),FALSE),ROUND(D10+(E10-D10)*(1+G10)*((5-1)/(MaxLevel-1))^(2^F10),0),D10+(E10-D10)*(1+G10)*((5-1)/(MaxLevel-1))^(2^F10)))</f>
        <v/>
      </c>
      <c r="M10" s="13">
        <f>IF(OR(D10="",E10=""),"",IF(IFERROR(INDEX(Stats!$D:$D,MATCH($C10,Stats!$A:$A,0)),FALSE),ROUND(D10+(E10-D10)*(1+G10)*((6-1)/(MaxLevel-1))^(2^F10),0),D10+(E10-D10)*(1+G10)*((6-1)/(MaxLevel-1))^(2^F10)))</f>
        <v/>
      </c>
      <c r="N10" s="13">
        <f>IF(OR(D10="",E10=""),"",IF(IFERROR(INDEX(Stats!$D:$D,MATCH($C10,Stats!$A:$A,0)),FALSE),ROUND(D10+(E10-D10)*(1+G10)*((7-1)/(MaxLevel-1))^(2^F10),0),D10+(E10-D10)*(1+G10)*((7-1)/(MaxLevel-1))^(2^F10)))</f>
        <v/>
      </c>
      <c r="O10" s="13">
        <f>IF(OR(D10="",E10=""),"",IF(IFERROR(INDEX(Stats!$D:$D,MATCH($C10,Stats!$A:$A,0)),FALSE),ROUND(D10+(E10-D10)*(1+G10)*((8-1)/(MaxLevel-1))^(2^F10),0),D10+(E10-D10)*(1+G10)*((8-1)/(MaxLevel-1))^(2^F10)))</f>
        <v/>
      </c>
      <c r="P10" s="13">
        <f>IF(OR(D10="",E10=""),"",IF(IFERROR(INDEX(Stats!$D:$D,MATCH($C10,Stats!$A:$A,0)),FALSE),ROUND(D10+(E10-D10)*(1+G10)*((9-1)/(MaxLevel-1))^(2^F10),0),D10+(E10-D10)*(1+G10)*((9-1)/(MaxLevel-1))^(2^F10)))</f>
        <v/>
      </c>
      <c r="Q10" s="13">
        <f>IF(OR(D10="",E10=""),"",IF(IFERROR(INDEX(Stats!$D:$D,MATCH($C10,Stats!$A:$A,0)),FALSE),ROUND(D10+(E10-D10)*(1+G10)*((10-1)/(MaxLevel-1))^(2^F10),0),D10+(E10-D10)*(1+G10)*((10-1)/(MaxLevel-1))^(2^F10)))</f>
        <v/>
      </c>
    </row>
    <row r="11">
      <c r="A11" s="4" t="inlineStr">
        <is>
          <t>01U</t>
        </is>
      </c>
      <c r="B11" s="4" t="inlineStr">
        <is>
          <t>C1</t>
        </is>
      </c>
      <c r="C11" s="4" t="inlineStr">
        <is>
          <t>Resistance</t>
        </is>
      </c>
      <c r="D11" s="5" t="n"/>
      <c r="E11" s="5" t="n"/>
      <c r="F11" s="5" t="n"/>
      <c r="G11" s="5" t="n"/>
      <c r="H11" s="13">
        <f>IF(OR(D11="",E11=""),"",IF(IFERROR(INDEX(Stats!$D:$D,MATCH($C11,Stats!$A:$A,0)),FALSE),ROUND(D11+(E11-D11)*(1+G11)*((1-1)/(MaxLevel-1))^(2^F11),0),D11+(E11-D11)*(1+G11)*((1-1)/(MaxLevel-1))^(2^F11)))</f>
        <v/>
      </c>
      <c r="I11" s="13">
        <f>IF(OR(D11="",E11=""),"",IF(IFERROR(INDEX(Stats!$D:$D,MATCH($C11,Stats!$A:$A,0)),FALSE),ROUND(D11+(E11-D11)*(1+G11)*((2-1)/(MaxLevel-1))^(2^F11),0),D11+(E11-D11)*(1+G11)*((2-1)/(MaxLevel-1))^(2^F11)))</f>
        <v/>
      </c>
      <c r="J11" s="13">
        <f>IF(OR(D11="",E11=""),"",IF(IFERROR(INDEX(Stats!$D:$D,MATCH($C11,Stats!$A:$A,0)),FALSE),ROUND(D11+(E11-D11)*(1+G11)*((3-1)/(MaxLevel-1))^(2^F11),0),D11+(E11-D11)*(1+G11)*((3-1)/(MaxLevel-1))^(2^F11)))</f>
        <v/>
      </c>
      <c r="K11" s="13">
        <f>IF(OR(D11="",E11=""),"",IF(IFERROR(INDEX(Stats!$D:$D,MATCH($C11,Stats!$A:$A,0)),FALSE),ROUND(D11+(E11-D11)*(1+G11)*((4-1)/(MaxLevel-1))^(2^F11),0),D11+(E11-D11)*(1+G11)*((4-1)/(MaxLevel-1))^(2^F11)))</f>
        <v/>
      </c>
      <c r="L11" s="13">
        <f>IF(OR(D11="",E11=""),"",IF(IFERROR(INDEX(Stats!$D:$D,MATCH($C11,Stats!$A:$A,0)),FALSE),ROUND(D11+(E11-D11)*(1+G11)*((5-1)/(MaxLevel-1))^(2^F11),0),D11+(E11-D11)*(1+G11)*((5-1)/(MaxLevel-1))^(2^F11)))</f>
        <v/>
      </c>
      <c r="M11" s="13">
        <f>IF(OR(D11="",E11=""),"",IF(IFERROR(INDEX(Stats!$D:$D,MATCH($C11,Stats!$A:$A,0)),FALSE),ROUND(D11+(E11-D11)*(1+G11)*((6-1)/(MaxLevel-1))^(2^F11),0),D11+(E11-D11)*(1+G11)*((6-1)/(MaxLevel-1))^(2^F11)))</f>
        <v/>
      </c>
      <c r="N11" s="13">
        <f>IF(OR(D11="",E11=""),"",IF(IFERROR(INDEX(Stats!$D:$D,MATCH($C11,Stats!$A:$A,0)),FALSE),ROUND(D11+(E11-D11)*(1+G11)*((7-1)/(MaxLevel-1))^(2^F11),0),D11+(E11-D11)*(1+G11)*((7-1)/(MaxLevel-1))^(2^F11)))</f>
        <v/>
      </c>
      <c r="O11" s="13">
        <f>IF(OR(D11="",E11=""),"",IF(IFERROR(INDEX(Stats!$D:$D,MATCH($C11,Stats!$A:$A,0)),FALSE),ROUND(D11+(E11-D11)*(1+G11)*((8-1)/(MaxLevel-1))^(2^F11),0),D11+(E11-D11)*(1+G11)*((8-1)/(MaxLevel-1))^(2^F11)))</f>
        <v/>
      </c>
      <c r="P11" s="13">
        <f>IF(OR(D11="",E11=""),"",IF(IFERROR(INDEX(Stats!$D:$D,MATCH($C11,Stats!$A:$A,0)),FALSE),ROUND(D11+(E11-D11)*(1+G11)*((9-1)/(MaxLevel-1))^(2^F11),0),D11+(E11-D11)*(1+G11)*((9-1)/(MaxLevel-1))^(2^F11)))</f>
        <v/>
      </c>
      <c r="Q11" s="13">
        <f>IF(OR(D11="",E11=""),"",IF(IFERROR(INDEX(Stats!$D:$D,MATCH($C11,Stats!$A:$A,0)),FALSE),ROUND(D11+(E11-D11)*(1+G11)*((10-1)/(MaxLevel-1))^(2^F11),0),D11+(E11-D11)*(1+G11)*((10-1)/(MaxLevel-1))^(2^F11)))</f>
        <v/>
      </c>
    </row>
    <row r="12">
      <c r="A12" s="4" t="inlineStr">
        <is>
          <t>01U</t>
        </is>
      </c>
      <c r="B12" s="4" t="inlineStr">
        <is>
          <t>C1</t>
        </is>
      </c>
      <c r="C12" s="4" t="inlineStr">
        <is>
          <t>Luck</t>
        </is>
      </c>
      <c r="D12" s="5" t="n"/>
      <c r="E12" s="5" t="n"/>
      <c r="F12" s="5" t="n"/>
      <c r="G12" s="5" t="n"/>
      <c r="H12" s="13">
        <f>IF(OR(D12="",E12=""),"",IF(IFERROR(INDEX(Stats!$D:$D,MATCH($C12,Stats!$A:$A,0)),FALSE),ROUND(D12+(E12-D12)*(1+G12)*((1-1)/(MaxLevel-1))^(2^F12),0),D12+(E12-D12)*(1+G12)*((1-1)/(MaxLevel-1))^(2^F12)))</f>
        <v/>
      </c>
      <c r="I12" s="13">
        <f>IF(OR(D12="",E12=""),"",IF(IFERROR(INDEX(Stats!$D:$D,MATCH($C12,Stats!$A:$A,0)),FALSE),ROUND(D12+(E12-D12)*(1+G12)*((2-1)/(MaxLevel-1))^(2^F12),0),D12+(E12-D12)*(1+G12)*((2-1)/(MaxLevel-1))^(2^F12)))</f>
        <v/>
      </c>
      <c r="J12" s="13">
        <f>IF(OR(D12="",E12=""),"",IF(IFERROR(INDEX(Stats!$D:$D,MATCH($C12,Stats!$A:$A,0)),FALSE),ROUND(D12+(E12-D12)*(1+G12)*((3-1)/(MaxLevel-1))^(2^F12),0),D12+(E12-D12)*(1+G12)*((3-1)/(MaxLevel-1))^(2^F12)))</f>
        <v/>
      </c>
      <c r="K12" s="13">
        <f>IF(OR(D12="",E12=""),"",IF(IFERROR(INDEX(Stats!$D:$D,MATCH($C12,Stats!$A:$A,0)),FALSE),ROUND(D12+(E12-D12)*(1+G12)*((4-1)/(MaxLevel-1))^(2^F12),0),D12+(E12-D12)*(1+G12)*((4-1)/(MaxLevel-1))^(2^F12)))</f>
        <v/>
      </c>
      <c r="L12" s="13">
        <f>IF(OR(D12="",E12=""),"",IF(IFERROR(INDEX(Stats!$D:$D,MATCH($C12,Stats!$A:$A,0)),FALSE),ROUND(D12+(E12-D12)*(1+G12)*((5-1)/(MaxLevel-1))^(2^F12),0),D12+(E12-D12)*(1+G12)*((5-1)/(MaxLevel-1))^(2^F12)))</f>
        <v/>
      </c>
      <c r="M12" s="13">
        <f>IF(OR(D12="",E12=""),"",IF(IFERROR(INDEX(Stats!$D:$D,MATCH($C12,Stats!$A:$A,0)),FALSE),ROUND(D12+(E12-D12)*(1+G12)*((6-1)/(MaxLevel-1))^(2^F12),0),D12+(E12-D12)*(1+G12)*((6-1)/(MaxLevel-1))^(2^F12)))</f>
        <v/>
      </c>
      <c r="N12" s="13">
        <f>IF(OR(D12="",E12=""),"",IF(IFERROR(INDEX(Stats!$D:$D,MATCH($C12,Stats!$A:$A,0)),FALSE),ROUND(D12+(E12-D12)*(1+G12)*((7-1)/(MaxLevel-1))^(2^F12),0),D12+(E12-D12)*(1+G12)*((7-1)/(MaxLevel-1))^(2^F12)))</f>
        <v/>
      </c>
      <c r="O12" s="13">
        <f>IF(OR(D12="",E12=""),"",IF(IFERROR(INDEX(Stats!$D:$D,MATCH($C12,Stats!$A:$A,0)),FALSE),ROUND(D12+(E12-D12)*(1+G12)*((8-1)/(MaxLevel-1))^(2^F12),0),D12+(E12-D12)*(1+G12)*((8-1)/(MaxLevel-1))^(2^F12)))</f>
        <v/>
      </c>
      <c r="P12" s="13">
        <f>IF(OR(D12="",E12=""),"",IF(IFERROR(INDEX(Stats!$D:$D,MATCH($C12,Stats!$A:$A,0)),FALSE),ROUND(D12+(E12-D12)*(1+G12)*((9-1)/(MaxLevel-1))^(2^F12),0),D12+(E12-D12)*(1+G12)*((9-1)/(MaxLevel-1))^(2^F12)))</f>
        <v/>
      </c>
      <c r="Q12" s="13">
        <f>IF(OR(D12="",E12=""),"",IF(IFERROR(INDEX(Stats!$D:$D,MATCH($C12,Stats!$A:$A,0)),FALSE),ROUND(D12+(E12-D12)*(1+G12)*((10-1)/(MaxLevel-1))^(2^F12),0),D12+(E12-D12)*(1+G12)*((10-1)/(MaxLevel-1))^(2^F12)))</f>
        <v/>
      </c>
    </row>
    <row r="13">
      <c r="A13" s="4" t="inlineStr">
        <is>
          <t>01U</t>
        </is>
      </c>
      <c r="B13" s="4" t="inlineStr">
        <is>
          <t>C1</t>
        </is>
      </c>
      <c r="C13" s="4" t="inlineStr">
        <is>
          <t>Weight</t>
        </is>
      </c>
      <c r="D13" s="5" t="n"/>
      <c r="E13" s="5" t="n"/>
      <c r="F13" s="5" t="n"/>
      <c r="G13" s="5" t="n"/>
      <c r="H13" s="13">
        <f>IF(OR(D13="",E13=""),"",IF(IFERROR(INDEX(Stats!$D:$D,MATCH($C13,Stats!$A:$A,0)),FALSE),ROUND(D13+(E13-D13)*(1+G13)*((1-1)/(MaxLevel-1))^(2^F13),0),D13+(E13-D13)*(1+G13)*((1-1)/(MaxLevel-1))^(2^F13)))</f>
        <v/>
      </c>
      <c r="I13" s="13">
        <f>IF(OR(D13="",E13=""),"",IF(IFERROR(INDEX(Stats!$D:$D,MATCH($C13,Stats!$A:$A,0)),FALSE),ROUND(D13+(E13-D13)*(1+G13)*((2-1)/(MaxLevel-1))^(2^F13),0),D13+(E13-D13)*(1+G13)*((2-1)/(MaxLevel-1))^(2^F13)))</f>
        <v/>
      </c>
      <c r="J13" s="13">
        <f>IF(OR(D13="",E13=""),"",IF(IFERROR(INDEX(Stats!$D:$D,MATCH($C13,Stats!$A:$A,0)),FALSE),ROUND(D13+(E13-D13)*(1+G13)*((3-1)/(MaxLevel-1))^(2^F13),0),D13+(E13-D13)*(1+G13)*((3-1)/(MaxLevel-1))^(2^F13)))</f>
        <v/>
      </c>
      <c r="K13" s="13">
        <f>IF(OR(D13="",E13=""),"",IF(IFERROR(INDEX(Stats!$D:$D,MATCH($C13,Stats!$A:$A,0)),FALSE),ROUND(D13+(E13-D13)*(1+G13)*((4-1)/(MaxLevel-1))^(2^F13),0),D13+(E13-D13)*(1+G13)*((4-1)/(MaxLevel-1))^(2^F13)))</f>
        <v/>
      </c>
      <c r="L13" s="13">
        <f>IF(OR(D13="",E13=""),"",IF(IFERROR(INDEX(Stats!$D:$D,MATCH($C13,Stats!$A:$A,0)),FALSE),ROUND(D13+(E13-D13)*(1+G13)*((5-1)/(MaxLevel-1))^(2^F13),0),D13+(E13-D13)*(1+G13)*((5-1)/(MaxLevel-1))^(2^F13)))</f>
        <v/>
      </c>
      <c r="M13" s="13">
        <f>IF(OR(D13="",E13=""),"",IF(IFERROR(INDEX(Stats!$D:$D,MATCH($C13,Stats!$A:$A,0)),FALSE),ROUND(D13+(E13-D13)*(1+G13)*((6-1)/(MaxLevel-1))^(2^F13),0),D13+(E13-D13)*(1+G13)*((6-1)/(MaxLevel-1))^(2^F13)))</f>
        <v/>
      </c>
      <c r="N13" s="13">
        <f>IF(OR(D13="",E13=""),"",IF(IFERROR(INDEX(Stats!$D:$D,MATCH($C13,Stats!$A:$A,0)),FALSE),ROUND(D13+(E13-D13)*(1+G13)*((7-1)/(MaxLevel-1))^(2^F13),0),D13+(E13-D13)*(1+G13)*((7-1)/(MaxLevel-1))^(2^F13)))</f>
        <v/>
      </c>
      <c r="O13" s="13">
        <f>IF(OR(D13="",E13=""),"",IF(IFERROR(INDEX(Stats!$D:$D,MATCH($C13,Stats!$A:$A,0)),FALSE),ROUND(D13+(E13-D13)*(1+G13)*((8-1)/(MaxLevel-1))^(2^F13),0),D13+(E13-D13)*(1+G13)*((8-1)/(MaxLevel-1))^(2^F13)))</f>
        <v/>
      </c>
      <c r="P13" s="13">
        <f>IF(OR(D13="",E13=""),"",IF(IFERROR(INDEX(Stats!$D:$D,MATCH($C13,Stats!$A:$A,0)),FALSE),ROUND(D13+(E13-D13)*(1+G13)*((9-1)/(MaxLevel-1))^(2^F13),0),D13+(E13-D13)*(1+G13)*((9-1)/(MaxLevel-1))^(2^F13)))</f>
        <v/>
      </c>
      <c r="Q13" s="13">
        <f>IF(OR(D13="",E13=""),"",IF(IFERROR(INDEX(Stats!$D:$D,MATCH($C13,Stats!$A:$A,0)),FALSE),ROUND(D13+(E13-D13)*(1+G13)*((10-1)/(MaxLevel-1))^(2^F13),0),D13+(E13-D13)*(1+G13)*((10-1)/(MaxLevel-1))^(2^F13)))</f>
        <v/>
      </c>
    </row>
    <row r="14">
      <c r="A14" s="4" t="inlineStr">
        <is>
          <t>01U</t>
        </is>
      </c>
      <c r="B14" s="4" t="inlineStr">
        <is>
          <t>C1</t>
        </is>
      </c>
      <c r="C14" s="4" t="inlineStr">
        <is>
          <t>WorkingCost</t>
        </is>
      </c>
      <c r="D14" s="5" t="n"/>
      <c r="E14" s="5" t="n"/>
      <c r="F14" s="5" t="n"/>
      <c r="G14" s="5" t="n"/>
      <c r="H14" s="13">
        <f>IF(OR(D14="",E14=""),"",IF(IFERROR(INDEX(Stats!$D:$D,MATCH($C14,Stats!$A:$A,0)),FALSE),ROUND(D14+(E14-D14)*(1+G14)*((1-1)/(MaxLevel-1))^(2^F14),0),D14+(E14-D14)*(1+G14)*((1-1)/(MaxLevel-1))^(2^F14)))</f>
        <v/>
      </c>
      <c r="I14" s="13">
        <f>IF(OR(D14="",E14=""),"",IF(IFERROR(INDEX(Stats!$D:$D,MATCH($C14,Stats!$A:$A,0)),FALSE),ROUND(D14+(E14-D14)*(1+G14)*((2-1)/(MaxLevel-1))^(2^F14),0),D14+(E14-D14)*(1+G14)*((2-1)/(MaxLevel-1))^(2^F14)))</f>
        <v/>
      </c>
      <c r="J14" s="13">
        <f>IF(OR(D14="",E14=""),"",IF(IFERROR(INDEX(Stats!$D:$D,MATCH($C14,Stats!$A:$A,0)),FALSE),ROUND(D14+(E14-D14)*(1+G14)*((3-1)/(MaxLevel-1))^(2^F14),0),D14+(E14-D14)*(1+G14)*((3-1)/(MaxLevel-1))^(2^F14)))</f>
        <v/>
      </c>
      <c r="K14" s="13">
        <f>IF(OR(D14="",E14=""),"",IF(IFERROR(INDEX(Stats!$D:$D,MATCH($C14,Stats!$A:$A,0)),FALSE),ROUND(D14+(E14-D14)*(1+G14)*((4-1)/(MaxLevel-1))^(2^F14),0),D14+(E14-D14)*(1+G14)*((4-1)/(MaxLevel-1))^(2^F14)))</f>
        <v/>
      </c>
      <c r="L14" s="13">
        <f>IF(OR(D14="",E14=""),"",IF(IFERROR(INDEX(Stats!$D:$D,MATCH($C14,Stats!$A:$A,0)),FALSE),ROUND(D14+(E14-D14)*(1+G14)*((5-1)/(MaxLevel-1))^(2^F14),0),D14+(E14-D14)*(1+G14)*((5-1)/(MaxLevel-1))^(2^F14)))</f>
        <v/>
      </c>
      <c r="M14" s="13">
        <f>IF(OR(D14="",E14=""),"",IF(IFERROR(INDEX(Stats!$D:$D,MATCH($C14,Stats!$A:$A,0)),FALSE),ROUND(D14+(E14-D14)*(1+G14)*((6-1)/(MaxLevel-1))^(2^F14),0),D14+(E14-D14)*(1+G14)*((6-1)/(MaxLevel-1))^(2^F14)))</f>
        <v/>
      </c>
      <c r="N14" s="13">
        <f>IF(OR(D14="",E14=""),"",IF(IFERROR(INDEX(Stats!$D:$D,MATCH($C14,Stats!$A:$A,0)),FALSE),ROUND(D14+(E14-D14)*(1+G14)*((7-1)/(MaxLevel-1))^(2^F14),0),D14+(E14-D14)*(1+G14)*((7-1)/(MaxLevel-1))^(2^F14)))</f>
        <v/>
      </c>
      <c r="O14" s="13">
        <f>IF(OR(D14="",E14=""),"",IF(IFERROR(INDEX(Stats!$D:$D,MATCH($C14,Stats!$A:$A,0)),FALSE),ROUND(D14+(E14-D14)*(1+G14)*((8-1)/(MaxLevel-1))^(2^F14),0),D14+(E14-D14)*(1+G14)*((8-1)/(MaxLevel-1))^(2^F14)))</f>
        <v/>
      </c>
      <c r="P14" s="13">
        <f>IF(OR(D14="",E14=""),"",IF(IFERROR(INDEX(Stats!$D:$D,MATCH($C14,Stats!$A:$A,0)),FALSE),ROUND(D14+(E14-D14)*(1+G14)*((9-1)/(MaxLevel-1))^(2^F14),0),D14+(E14-D14)*(1+G14)*((9-1)/(MaxLevel-1))^(2^F14)))</f>
        <v/>
      </c>
      <c r="Q14" s="13">
        <f>IF(OR(D14="",E14=""),"",IF(IFERROR(INDEX(Stats!$D:$D,MATCH($C14,Stats!$A:$A,0)),FALSE),ROUND(D14+(E14-D14)*(1+G14)*((10-1)/(MaxLevel-1))^(2^F14),0),D14+(E14-D14)*(1+G14)*((10-1)/(MaxLevel-1))^(2^F14)))</f>
        <v/>
      </c>
    </row>
    <row r="15">
      <c r="A15" s="4" t="inlineStr">
        <is>
          <t>01U</t>
        </is>
      </c>
      <c r="B15" s="4" t="inlineStr">
        <is>
          <t>C1</t>
        </is>
      </c>
      <c r="C15" s="4" t="inlineStr">
        <is>
          <t>SkillResearch</t>
        </is>
      </c>
      <c r="D15" s="5" t="n"/>
      <c r="E15" s="5" t="n"/>
      <c r="F15" s="5" t="n"/>
      <c r="G15" s="5" t="n"/>
      <c r="H15" s="13">
        <f>IF(OR(D15="",E15=""),"",IF(IFERROR(INDEX(Stats!$D:$D,MATCH($C15,Stats!$A:$A,0)),FALSE),ROUND(D15+(E15-D15)*(1+G15)*((1-1)/(MaxLevel-1))^(2^F15),0),D15+(E15-D15)*(1+G15)*((1-1)/(MaxLevel-1))^(2^F15)))</f>
        <v/>
      </c>
      <c r="I15" s="13">
        <f>IF(OR(D15="",E15=""),"",IF(IFERROR(INDEX(Stats!$D:$D,MATCH($C15,Stats!$A:$A,0)),FALSE),ROUND(D15+(E15-D15)*(1+G15)*((2-1)/(MaxLevel-1))^(2^F15),0),D15+(E15-D15)*(1+G15)*((2-1)/(MaxLevel-1))^(2^F15)))</f>
        <v/>
      </c>
      <c r="J15" s="13">
        <f>IF(OR(D15="",E15=""),"",IF(IFERROR(INDEX(Stats!$D:$D,MATCH($C15,Stats!$A:$A,0)),FALSE),ROUND(D15+(E15-D15)*(1+G15)*((3-1)/(MaxLevel-1))^(2^F15),0),D15+(E15-D15)*(1+G15)*((3-1)/(MaxLevel-1))^(2^F15)))</f>
        <v/>
      </c>
      <c r="K15" s="13">
        <f>IF(OR(D15="",E15=""),"",IF(IFERROR(INDEX(Stats!$D:$D,MATCH($C15,Stats!$A:$A,0)),FALSE),ROUND(D15+(E15-D15)*(1+G15)*((4-1)/(MaxLevel-1))^(2^F15),0),D15+(E15-D15)*(1+G15)*((4-1)/(MaxLevel-1))^(2^F15)))</f>
        <v/>
      </c>
      <c r="L15" s="13">
        <f>IF(OR(D15="",E15=""),"",IF(IFERROR(INDEX(Stats!$D:$D,MATCH($C15,Stats!$A:$A,0)),FALSE),ROUND(D15+(E15-D15)*(1+G15)*((5-1)/(MaxLevel-1))^(2^F15),0),D15+(E15-D15)*(1+G15)*((5-1)/(MaxLevel-1))^(2^F15)))</f>
        <v/>
      </c>
      <c r="M15" s="13">
        <f>IF(OR(D15="",E15=""),"",IF(IFERROR(INDEX(Stats!$D:$D,MATCH($C15,Stats!$A:$A,0)),FALSE),ROUND(D15+(E15-D15)*(1+G15)*((6-1)/(MaxLevel-1))^(2^F15),0),D15+(E15-D15)*(1+G15)*((6-1)/(MaxLevel-1))^(2^F15)))</f>
        <v/>
      </c>
      <c r="N15" s="13">
        <f>IF(OR(D15="",E15=""),"",IF(IFERROR(INDEX(Stats!$D:$D,MATCH($C15,Stats!$A:$A,0)),FALSE),ROUND(D15+(E15-D15)*(1+G15)*((7-1)/(MaxLevel-1))^(2^F15),0),D15+(E15-D15)*(1+G15)*((7-1)/(MaxLevel-1))^(2^F15)))</f>
        <v/>
      </c>
      <c r="O15" s="13">
        <f>IF(OR(D15="",E15=""),"",IF(IFERROR(INDEX(Stats!$D:$D,MATCH($C15,Stats!$A:$A,0)),FALSE),ROUND(D15+(E15-D15)*(1+G15)*((8-1)/(MaxLevel-1))^(2^F15),0),D15+(E15-D15)*(1+G15)*((8-1)/(MaxLevel-1))^(2^F15)))</f>
        <v/>
      </c>
      <c r="P15" s="13">
        <f>IF(OR(D15="",E15=""),"",IF(IFERROR(INDEX(Stats!$D:$D,MATCH($C15,Stats!$A:$A,0)),FALSE),ROUND(D15+(E15-D15)*(1+G15)*((9-1)/(MaxLevel-1))^(2^F15),0),D15+(E15-D15)*(1+G15)*((9-1)/(MaxLevel-1))^(2^F15)))</f>
        <v/>
      </c>
      <c r="Q15" s="13">
        <f>IF(OR(D15="",E15=""),"",IF(IFERROR(INDEX(Stats!$D:$D,MATCH($C15,Stats!$A:$A,0)),FALSE),ROUND(D15+(E15-D15)*(1+G15)*((10-1)/(MaxLevel-1))^(2^F15),0),D15+(E15-D15)*(1+G15)*((10-1)/(MaxLevel-1))^(2^F15)))</f>
        <v/>
      </c>
    </row>
    <row r="16">
      <c r="A16" s="4" t="inlineStr">
        <is>
          <t>01U</t>
        </is>
      </c>
      <c r="B16" s="4" t="inlineStr">
        <is>
          <t>C1</t>
        </is>
      </c>
      <c r="C16" s="4" t="inlineStr">
        <is>
          <t>SkillTrain</t>
        </is>
      </c>
      <c r="D16" s="5" t="n"/>
      <c r="E16" s="5" t="n"/>
      <c r="F16" s="5" t="n"/>
      <c r="G16" s="5" t="n"/>
      <c r="H16" s="13">
        <f>IF(OR(D16="",E16=""),"",IF(IFERROR(INDEX(Stats!$D:$D,MATCH($C16,Stats!$A:$A,0)),FALSE),ROUND(D16+(E16-D16)*(1+G16)*((1-1)/(MaxLevel-1))^(2^F16),0),D16+(E16-D16)*(1+G16)*((1-1)/(MaxLevel-1))^(2^F16)))</f>
        <v/>
      </c>
      <c r="I16" s="13">
        <f>IF(OR(D16="",E16=""),"",IF(IFERROR(INDEX(Stats!$D:$D,MATCH($C16,Stats!$A:$A,0)),FALSE),ROUND(D16+(E16-D16)*(1+G16)*((2-1)/(MaxLevel-1))^(2^F16),0),D16+(E16-D16)*(1+G16)*((2-1)/(MaxLevel-1))^(2^F16)))</f>
        <v/>
      </c>
      <c r="J16" s="13">
        <f>IF(OR(D16="",E16=""),"",IF(IFERROR(INDEX(Stats!$D:$D,MATCH($C16,Stats!$A:$A,0)),FALSE),ROUND(D16+(E16-D16)*(1+G16)*((3-1)/(MaxLevel-1))^(2^F16),0),D16+(E16-D16)*(1+G16)*((3-1)/(MaxLevel-1))^(2^F16)))</f>
        <v/>
      </c>
      <c r="K16" s="13">
        <f>IF(OR(D16="",E16=""),"",IF(IFERROR(INDEX(Stats!$D:$D,MATCH($C16,Stats!$A:$A,0)),FALSE),ROUND(D16+(E16-D16)*(1+G16)*((4-1)/(MaxLevel-1))^(2^F16),0),D16+(E16-D16)*(1+G16)*((4-1)/(MaxLevel-1))^(2^F16)))</f>
        <v/>
      </c>
      <c r="L16" s="13">
        <f>IF(OR(D16="",E16=""),"",IF(IFERROR(INDEX(Stats!$D:$D,MATCH($C16,Stats!$A:$A,0)),FALSE),ROUND(D16+(E16-D16)*(1+G16)*((5-1)/(MaxLevel-1))^(2^F16),0),D16+(E16-D16)*(1+G16)*((5-1)/(MaxLevel-1))^(2^F16)))</f>
        <v/>
      </c>
      <c r="M16" s="13">
        <f>IF(OR(D16="",E16=""),"",IF(IFERROR(INDEX(Stats!$D:$D,MATCH($C16,Stats!$A:$A,0)),FALSE),ROUND(D16+(E16-D16)*(1+G16)*((6-1)/(MaxLevel-1))^(2^F16),0),D16+(E16-D16)*(1+G16)*((6-1)/(MaxLevel-1))^(2^F16)))</f>
        <v/>
      </c>
      <c r="N16" s="13">
        <f>IF(OR(D16="",E16=""),"",IF(IFERROR(INDEX(Stats!$D:$D,MATCH($C16,Stats!$A:$A,0)),FALSE),ROUND(D16+(E16-D16)*(1+G16)*((7-1)/(MaxLevel-1))^(2^F16),0),D16+(E16-D16)*(1+G16)*((7-1)/(MaxLevel-1))^(2^F16)))</f>
        <v/>
      </c>
      <c r="O16" s="13">
        <f>IF(OR(D16="",E16=""),"",IF(IFERROR(INDEX(Stats!$D:$D,MATCH($C16,Stats!$A:$A,0)),FALSE),ROUND(D16+(E16-D16)*(1+G16)*((8-1)/(MaxLevel-1))^(2^F16),0),D16+(E16-D16)*(1+G16)*((8-1)/(MaxLevel-1))^(2^F16)))</f>
        <v/>
      </c>
      <c r="P16" s="13">
        <f>IF(OR(D16="",E16=""),"",IF(IFERROR(INDEX(Stats!$D:$D,MATCH($C16,Stats!$A:$A,0)),FALSE),ROUND(D16+(E16-D16)*(1+G16)*((9-1)/(MaxLevel-1))^(2^F16),0),D16+(E16-D16)*(1+G16)*((9-1)/(MaxLevel-1))^(2^F16)))</f>
        <v/>
      </c>
      <c r="Q16" s="13">
        <f>IF(OR(D16="",E16=""),"",IF(IFERROR(INDEX(Stats!$D:$D,MATCH($C16,Stats!$A:$A,0)),FALSE),ROUND(D16+(E16-D16)*(1+G16)*((10-1)/(MaxLevel-1))^(2^F16),0),D16+(E16-D16)*(1+G16)*((10-1)/(MaxLevel-1))^(2^F16)))</f>
        <v/>
      </c>
    </row>
    <row r="17">
      <c r="A17" s="4" t="inlineStr">
        <is>
          <t>01U</t>
        </is>
      </c>
      <c r="B17" s="4" t="inlineStr">
        <is>
          <t>C1</t>
        </is>
      </c>
      <c r="C17" s="4" t="inlineStr">
        <is>
          <t>SkillBuild</t>
        </is>
      </c>
      <c r="D17" s="5" t="n"/>
      <c r="E17" s="5" t="n"/>
      <c r="F17" s="5" t="n"/>
      <c r="G17" s="5" t="n"/>
      <c r="H17" s="13">
        <f>IF(OR(D17="",E17=""),"",IF(IFERROR(INDEX(Stats!$D:$D,MATCH($C17,Stats!$A:$A,0)),FALSE),ROUND(D17+(E17-D17)*(1+G17)*((1-1)/(MaxLevel-1))^(2^F17),0),D17+(E17-D17)*(1+G17)*((1-1)/(MaxLevel-1))^(2^F17)))</f>
        <v/>
      </c>
      <c r="I17" s="13">
        <f>IF(OR(D17="",E17=""),"",IF(IFERROR(INDEX(Stats!$D:$D,MATCH($C17,Stats!$A:$A,0)),FALSE),ROUND(D17+(E17-D17)*(1+G17)*((2-1)/(MaxLevel-1))^(2^F17),0),D17+(E17-D17)*(1+G17)*((2-1)/(MaxLevel-1))^(2^F17)))</f>
        <v/>
      </c>
      <c r="J17" s="13">
        <f>IF(OR(D17="",E17=""),"",IF(IFERROR(INDEX(Stats!$D:$D,MATCH($C17,Stats!$A:$A,0)),FALSE),ROUND(D17+(E17-D17)*(1+G17)*((3-1)/(MaxLevel-1))^(2^F17),0),D17+(E17-D17)*(1+G17)*((3-1)/(MaxLevel-1))^(2^F17)))</f>
        <v/>
      </c>
      <c r="K17" s="13">
        <f>IF(OR(D17="",E17=""),"",IF(IFERROR(INDEX(Stats!$D:$D,MATCH($C17,Stats!$A:$A,0)),FALSE),ROUND(D17+(E17-D17)*(1+G17)*((4-1)/(MaxLevel-1))^(2^F17),0),D17+(E17-D17)*(1+G17)*((4-1)/(MaxLevel-1))^(2^F17)))</f>
        <v/>
      </c>
      <c r="L17" s="13">
        <f>IF(OR(D17="",E17=""),"",IF(IFERROR(INDEX(Stats!$D:$D,MATCH($C17,Stats!$A:$A,0)),FALSE),ROUND(D17+(E17-D17)*(1+G17)*((5-1)/(MaxLevel-1))^(2^F17),0),D17+(E17-D17)*(1+G17)*((5-1)/(MaxLevel-1))^(2^F17)))</f>
        <v/>
      </c>
      <c r="M17" s="13">
        <f>IF(OR(D17="",E17=""),"",IF(IFERROR(INDEX(Stats!$D:$D,MATCH($C17,Stats!$A:$A,0)),FALSE),ROUND(D17+(E17-D17)*(1+G17)*((6-1)/(MaxLevel-1))^(2^F17),0),D17+(E17-D17)*(1+G17)*((6-1)/(MaxLevel-1))^(2^F17)))</f>
        <v/>
      </c>
      <c r="N17" s="13">
        <f>IF(OR(D17="",E17=""),"",IF(IFERROR(INDEX(Stats!$D:$D,MATCH($C17,Stats!$A:$A,0)),FALSE),ROUND(D17+(E17-D17)*(1+G17)*((7-1)/(MaxLevel-1))^(2^F17),0),D17+(E17-D17)*(1+G17)*((7-1)/(MaxLevel-1))^(2^F17)))</f>
        <v/>
      </c>
      <c r="O17" s="13">
        <f>IF(OR(D17="",E17=""),"",IF(IFERROR(INDEX(Stats!$D:$D,MATCH($C17,Stats!$A:$A,0)),FALSE),ROUND(D17+(E17-D17)*(1+G17)*((8-1)/(MaxLevel-1))^(2^F17),0),D17+(E17-D17)*(1+G17)*((8-1)/(MaxLevel-1))^(2^F17)))</f>
        <v/>
      </c>
      <c r="P17" s="13">
        <f>IF(OR(D17="",E17=""),"",IF(IFERROR(INDEX(Stats!$D:$D,MATCH($C17,Stats!$A:$A,0)),FALSE),ROUND(D17+(E17-D17)*(1+G17)*((9-1)/(MaxLevel-1))^(2^F17),0),D17+(E17-D17)*(1+G17)*((9-1)/(MaxLevel-1))^(2^F17)))</f>
        <v/>
      </c>
      <c r="Q17" s="13">
        <f>IF(OR(D17="",E17=""),"",IF(IFERROR(INDEX(Stats!$D:$D,MATCH($C17,Stats!$A:$A,0)),FALSE),ROUND(D17+(E17-D17)*(1+G17)*((10-1)/(MaxLevel-1))^(2^F17),0),D17+(E17-D17)*(1+G17)*((10-1)/(MaxLevel-1))^(2^F17)))</f>
        <v/>
      </c>
    </row>
    <row r="18">
      <c r="A18" s="4" t="inlineStr">
        <is>
          <t>01U</t>
        </is>
      </c>
      <c r="B18" s="4" t="inlineStr">
        <is>
          <t>C1</t>
        </is>
      </c>
      <c r="C18" s="4" t="inlineStr">
        <is>
          <t>SkillPray</t>
        </is>
      </c>
      <c r="D18" s="5" t="n"/>
      <c r="E18" s="5" t="n"/>
      <c r="F18" s="5" t="n"/>
      <c r="G18" s="5" t="n"/>
      <c r="H18" s="13">
        <f>IF(OR(D18="",E18=""),"",IF(IFERROR(INDEX(Stats!$D:$D,MATCH($C18,Stats!$A:$A,0)),FALSE),ROUND(D18+(E18-D18)*(1+G18)*((1-1)/(MaxLevel-1))^(2^F18),0),D18+(E18-D18)*(1+G18)*((1-1)/(MaxLevel-1))^(2^F18)))</f>
        <v/>
      </c>
      <c r="I18" s="13">
        <f>IF(OR(D18="",E18=""),"",IF(IFERROR(INDEX(Stats!$D:$D,MATCH($C18,Stats!$A:$A,0)),FALSE),ROUND(D18+(E18-D18)*(1+G18)*((2-1)/(MaxLevel-1))^(2^F18),0),D18+(E18-D18)*(1+G18)*((2-1)/(MaxLevel-1))^(2^F18)))</f>
        <v/>
      </c>
      <c r="J18" s="13">
        <f>IF(OR(D18="",E18=""),"",IF(IFERROR(INDEX(Stats!$D:$D,MATCH($C18,Stats!$A:$A,0)),FALSE),ROUND(D18+(E18-D18)*(1+G18)*((3-1)/(MaxLevel-1))^(2^F18),0),D18+(E18-D18)*(1+G18)*((3-1)/(MaxLevel-1))^(2^F18)))</f>
        <v/>
      </c>
      <c r="K18" s="13">
        <f>IF(OR(D18="",E18=""),"",IF(IFERROR(INDEX(Stats!$D:$D,MATCH($C18,Stats!$A:$A,0)),FALSE),ROUND(D18+(E18-D18)*(1+G18)*((4-1)/(MaxLevel-1))^(2^F18),0),D18+(E18-D18)*(1+G18)*((4-1)/(MaxLevel-1))^(2^F18)))</f>
        <v/>
      </c>
      <c r="L18" s="13">
        <f>IF(OR(D18="",E18=""),"",IF(IFERROR(INDEX(Stats!$D:$D,MATCH($C18,Stats!$A:$A,0)),FALSE),ROUND(D18+(E18-D18)*(1+G18)*((5-1)/(MaxLevel-1))^(2^F18),0),D18+(E18-D18)*(1+G18)*((5-1)/(MaxLevel-1))^(2^F18)))</f>
        <v/>
      </c>
      <c r="M18" s="13">
        <f>IF(OR(D18="",E18=""),"",IF(IFERROR(INDEX(Stats!$D:$D,MATCH($C18,Stats!$A:$A,0)),FALSE),ROUND(D18+(E18-D18)*(1+G18)*((6-1)/(MaxLevel-1))^(2^F18),0),D18+(E18-D18)*(1+G18)*((6-1)/(MaxLevel-1))^(2^F18)))</f>
        <v/>
      </c>
      <c r="N18" s="13">
        <f>IF(OR(D18="",E18=""),"",IF(IFERROR(INDEX(Stats!$D:$D,MATCH($C18,Stats!$A:$A,0)),FALSE),ROUND(D18+(E18-D18)*(1+G18)*((7-1)/(MaxLevel-1))^(2^F18),0),D18+(E18-D18)*(1+G18)*((7-1)/(MaxLevel-1))^(2^F18)))</f>
        <v/>
      </c>
      <c r="O18" s="13">
        <f>IF(OR(D18="",E18=""),"",IF(IFERROR(INDEX(Stats!$D:$D,MATCH($C18,Stats!$A:$A,0)),FALSE),ROUND(D18+(E18-D18)*(1+G18)*((8-1)/(MaxLevel-1))^(2^F18),0),D18+(E18-D18)*(1+G18)*((8-1)/(MaxLevel-1))^(2^F18)))</f>
        <v/>
      </c>
      <c r="P18" s="13">
        <f>IF(OR(D18="",E18=""),"",IF(IFERROR(INDEX(Stats!$D:$D,MATCH($C18,Stats!$A:$A,0)),FALSE),ROUND(D18+(E18-D18)*(1+G18)*((9-1)/(MaxLevel-1))^(2^F18),0),D18+(E18-D18)*(1+G18)*((9-1)/(MaxLevel-1))^(2^F18)))</f>
        <v/>
      </c>
      <c r="Q18" s="13">
        <f>IF(OR(D18="",E18=""),"",IF(IFERROR(INDEX(Stats!$D:$D,MATCH($C18,Stats!$A:$A,0)),FALSE),ROUND(D18+(E18-D18)*(1+G18)*((10-1)/(MaxLevel-1))^(2^F18),0),D18+(E18-D18)*(1+G18)*((10-1)/(MaxLevel-1))^(2^F18)))</f>
        <v/>
      </c>
    </row>
    <row r="19">
      <c r="A19" s="4" t="inlineStr">
        <is>
          <t>01U</t>
        </is>
      </c>
      <c r="B19" s="4" t="inlineStr">
        <is>
          <t>C1</t>
        </is>
      </c>
      <c r="C19" s="4" t="inlineStr">
        <is>
          <t>SkillTorture</t>
        </is>
      </c>
      <c r="D19" s="5" t="n"/>
      <c r="E19" s="5" t="n"/>
      <c r="F19" s="5" t="n"/>
      <c r="G19" s="5" t="n"/>
      <c r="H19" s="13">
        <f>IF(OR(D19="",E19=""),"",IF(IFERROR(INDEX(Stats!$D:$D,MATCH($C19,Stats!$A:$A,0)),FALSE),ROUND(D19+(E19-D19)*(1+G19)*((1-1)/(MaxLevel-1))^(2^F19),0),D19+(E19-D19)*(1+G19)*((1-1)/(MaxLevel-1))^(2^F19)))</f>
        <v/>
      </c>
      <c r="I19" s="13">
        <f>IF(OR(D19="",E19=""),"",IF(IFERROR(INDEX(Stats!$D:$D,MATCH($C19,Stats!$A:$A,0)),FALSE),ROUND(D19+(E19-D19)*(1+G19)*((2-1)/(MaxLevel-1))^(2^F19),0),D19+(E19-D19)*(1+G19)*((2-1)/(MaxLevel-1))^(2^F19)))</f>
        <v/>
      </c>
      <c r="J19" s="13">
        <f>IF(OR(D19="",E19=""),"",IF(IFERROR(INDEX(Stats!$D:$D,MATCH($C19,Stats!$A:$A,0)),FALSE),ROUND(D19+(E19-D19)*(1+G19)*((3-1)/(MaxLevel-1))^(2^F19),0),D19+(E19-D19)*(1+G19)*((3-1)/(MaxLevel-1))^(2^F19)))</f>
        <v/>
      </c>
      <c r="K19" s="13">
        <f>IF(OR(D19="",E19=""),"",IF(IFERROR(INDEX(Stats!$D:$D,MATCH($C19,Stats!$A:$A,0)),FALSE),ROUND(D19+(E19-D19)*(1+G19)*((4-1)/(MaxLevel-1))^(2^F19),0),D19+(E19-D19)*(1+G19)*((4-1)/(MaxLevel-1))^(2^F19)))</f>
        <v/>
      </c>
      <c r="L19" s="13">
        <f>IF(OR(D19="",E19=""),"",IF(IFERROR(INDEX(Stats!$D:$D,MATCH($C19,Stats!$A:$A,0)),FALSE),ROUND(D19+(E19-D19)*(1+G19)*((5-1)/(MaxLevel-1))^(2^F19),0),D19+(E19-D19)*(1+G19)*((5-1)/(MaxLevel-1))^(2^F19)))</f>
        <v/>
      </c>
      <c r="M19" s="13">
        <f>IF(OR(D19="",E19=""),"",IF(IFERROR(INDEX(Stats!$D:$D,MATCH($C19,Stats!$A:$A,0)),FALSE),ROUND(D19+(E19-D19)*(1+G19)*((6-1)/(MaxLevel-1))^(2^F19),0),D19+(E19-D19)*(1+G19)*((6-1)/(MaxLevel-1))^(2^F19)))</f>
        <v/>
      </c>
      <c r="N19" s="13">
        <f>IF(OR(D19="",E19=""),"",IF(IFERROR(INDEX(Stats!$D:$D,MATCH($C19,Stats!$A:$A,0)),FALSE),ROUND(D19+(E19-D19)*(1+G19)*((7-1)/(MaxLevel-1))^(2^F19),0),D19+(E19-D19)*(1+G19)*((7-1)/(MaxLevel-1))^(2^F19)))</f>
        <v/>
      </c>
      <c r="O19" s="13">
        <f>IF(OR(D19="",E19=""),"",IF(IFERROR(INDEX(Stats!$D:$D,MATCH($C19,Stats!$A:$A,0)),FALSE),ROUND(D19+(E19-D19)*(1+G19)*((8-1)/(MaxLevel-1))^(2^F19),0),D19+(E19-D19)*(1+G19)*((8-1)/(MaxLevel-1))^(2^F19)))</f>
        <v/>
      </c>
      <c r="P19" s="13">
        <f>IF(OR(D19="",E19=""),"",IF(IFERROR(INDEX(Stats!$D:$D,MATCH($C19,Stats!$A:$A,0)),FALSE),ROUND(D19+(E19-D19)*(1+G19)*((9-1)/(MaxLevel-1))^(2^F19),0),D19+(E19-D19)*(1+G19)*((9-1)/(MaxLevel-1))^(2^F19)))</f>
        <v/>
      </c>
      <c r="Q19" s="13">
        <f>IF(OR(D19="",E19=""),"",IF(IFERROR(INDEX(Stats!$D:$D,MATCH($C19,Stats!$A:$A,0)),FALSE),ROUND(D19+(E19-D19)*(1+G19)*((10-1)/(MaxLevel-1))^(2^F19),0),D19+(E19-D19)*(1+G19)*((10-1)/(MaxLevel-1))^(2^F19)))</f>
        <v/>
      </c>
    </row>
    <row r="20">
      <c r="A20" s="4" t="inlineStr">
        <is>
          <t>01U</t>
        </is>
      </c>
      <c r="B20" s="4" t="inlineStr">
        <is>
          <t>C1</t>
        </is>
      </c>
      <c r="C20" s="4" t="inlineStr">
        <is>
          <t>Anger</t>
        </is>
      </c>
      <c r="D20" s="5" t="n">
        <v>0.3</v>
      </c>
      <c r="E20" s="5" t="n">
        <v>0.1</v>
      </c>
      <c r="F20" s="5" t="n">
        <v>0</v>
      </c>
      <c r="G20" s="5" t="n">
        <v>0</v>
      </c>
      <c r="H20" s="13">
        <f>IF(OR(D20="",E20=""),"",IF(IFERROR(INDEX(Stats!$D:$D,MATCH($C20,Stats!$A:$A,0)),FALSE),ROUND(D20+(E20-D20)*(1+G20)*((1-1)/(MaxLevel-1))^(2^F20),0),D20+(E20-D20)*(1+G20)*((1-1)/(MaxLevel-1))^(2^F20)))</f>
        <v/>
      </c>
      <c r="I20" s="13">
        <f>IF(OR(D20="",E20=""),"",IF(IFERROR(INDEX(Stats!$D:$D,MATCH($C20,Stats!$A:$A,0)),FALSE),ROUND(D20+(E20-D20)*(1+G20)*((2-1)/(MaxLevel-1))^(2^F20),0),D20+(E20-D20)*(1+G20)*((2-1)/(MaxLevel-1))^(2^F20)))</f>
        <v/>
      </c>
      <c r="J20" s="13">
        <f>IF(OR(D20="",E20=""),"",IF(IFERROR(INDEX(Stats!$D:$D,MATCH($C20,Stats!$A:$A,0)),FALSE),ROUND(D20+(E20-D20)*(1+G20)*((3-1)/(MaxLevel-1))^(2^F20),0),D20+(E20-D20)*(1+G20)*((3-1)/(MaxLevel-1))^(2^F20)))</f>
        <v/>
      </c>
      <c r="K20" s="13">
        <f>IF(OR(D20="",E20=""),"",IF(IFERROR(INDEX(Stats!$D:$D,MATCH($C20,Stats!$A:$A,0)),FALSE),ROUND(D20+(E20-D20)*(1+G20)*((4-1)/(MaxLevel-1))^(2^F20),0),D20+(E20-D20)*(1+G20)*((4-1)/(MaxLevel-1))^(2^F20)))</f>
        <v/>
      </c>
      <c r="L20" s="13">
        <f>IF(OR(D20="",E20=""),"",IF(IFERROR(INDEX(Stats!$D:$D,MATCH($C20,Stats!$A:$A,0)),FALSE),ROUND(D20+(E20-D20)*(1+G20)*((5-1)/(MaxLevel-1))^(2^F20),0),D20+(E20-D20)*(1+G20)*((5-1)/(MaxLevel-1))^(2^F20)))</f>
        <v/>
      </c>
      <c r="M20" s="13">
        <f>IF(OR(D20="",E20=""),"",IF(IFERROR(INDEX(Stats!$D:$D,MATCH($C20,Stats!$A:$A,0)),FALSE),ROUND(D20+(E20-D20)*(1+G20)*((6-1)/(MaxLevel-1))^(2^F20),0),D20+(E20-D20)*(1+G20)*((6-1)/(MaxLevel-1))^(2^F20)))</f>
        <v/>
      </c>
      <c r="N20" s="13">
        <f>IF(OR(D20="",E20=""),"",IF(IFERROR(INDEX(Stats!$D:$D,MATCH($C20,Stats!$A:$A,0)),FALSE),ROUND(D20+(E20-D20)*(1+G20)*((7-1)/(MaxLevel-1))^(2^F20),0),D20+(E20-D20)*(1+G20)*((7-1)/(MaxLevel-1))^(2^F20)))</f>
        <v/>
      </c>
      <c r="O20" s="13">
        <f>IF(OR(D20="",E20=""),"",IF(IFERROR(INDEX(Stats!$D:$D,MATCH($C20,Stats!$A:$A,0)),FALSE),ROUND(D20+(E20-D20)*(1+G20)*((8-1)/(MaxLevel-1))^(2^F20),0),D20+(E20-D20)*(1+G20)*((8-1)/(MaxLevel-1))^(2^F20)))</f>
        <v/>
      </c>
      <c r="P20" s="13">
        <f>IF(OR(D20="",E20=""),"",IF(IFERROR(INDEX(Stats!$D:$D,MATCH($C20,Stats!$A:$A,0)),FALSE),ROUND(D20+(E20-D20)*(1+G20)*((9-1)/(MaxLevel-1))^(2^F20),0),D20+(E20-D20)*(1+G20)*((9-1)/(MaxLevel-1))^(2^F20)))</f>
        <v/>
      </c>
      <c r="Q20" s="13">
        <f>IF(OR(D20="",E20=""),"",IF(IFERROR(INDEX(Stats!$D:$D,MATCH($C20,Stats!$A:$A,0)),FALSE),ROUND(D20+(E20-D20)*(1+G20)*((10-1)/(MaxLevel-1))^(2^F20),0),D20+(E20-D20)*(1+G20)*((10-1)/(MaxLevel-1))^(2^F20)))</f>
        <v/>
      </c>
    </row>
    <row r="21">
      <c r="A21" s="4" t="inlineStr">
        <is>
          <t>01U</t>
        </is>
      </c>
      <c r="B21" s="4" t="inlineStr">
        <is>
          <t>T1M</t>
        </is>
      </c>
      <c r="C21" s="4" t="inlineStr">
        <is>
          <t>Experience</t>
        </is>
      </c>
      <c r="D21" s="5" t="n">
        <v>0</v>
      </c>
      <c r="E21" s="5" t="n">
        <v>5000</v>
      </c>
      <c r="F21" s="5" t="n">
        <v>1</v>
      </c>
      <c r="G21" s="5" t="n">
        <v>0</v>
      </c>
      <c r="H21" s="13">
        <f>IF(OR(D21="",E21=""),"",IF(IFERROR(INDEX(Stats!$D:$D,MATCH($C21,Stats!$A:$A,0)),FALSE),ROUND(D21+(E21-D21)*(1+G21)*((1-1)/(MaxLevel-1))^(2^F21),0),D21+(E21-D21)*(1+G21)*((1-1)/(MaxLevel-1))^(2^F21)))</f>
        <v/>
      </c>
      <c r="I21" s="13">
        <f>IF(OR(D21="",E21=""),"",IF(IFERROR(INDEX(Stats!$D:$D,MATCH($C21,Stats!$A:$A,0)),FALSE),ROUND(D21+(E21-D21)*(1+G21)*((2-1)/(MaxLevel-1))^(2^F21),0),D21+(E21-D21)*(1+G21)*((2-1)/(MaxLevel-1))^(2^F21)))</f>
        <v/>
      </c>
      <c r="J21" s="13">
        <f>IF(OR(D21="",E21=""),"",IF(IFERROR(INDEX(Stats!$D:$D,MATCH($C21,Stats!$A:$A,0)),FALSE),ROUND(D21+(E21-D21)*(1+G21)*((3-1)/(MaxLevel-1))^(2^F21),0),D21+(E21-D21)*(1+G21)*((3-1)/(MaxLevel-1))^(2^F21)))</f>
        <v/>
      </c>
      <c r="K21" s="13">
        <f>IF(OR(D21="",E21=""),"",IF(IFERROR(INDEX(Stats!$D:$D,MATCH($C21,Stats!$A:$A,0)),FALSE),ROUND(D21+(E21-D21)*(1+G21)*((4-1)/(MaxLevel-1))^(2^F21),0),D21+(E21-D21)*(1+G21)*((4-1)/(MaxLevel-1))^(2^F21)))</f>
        <v/>
      </c>
      <c r="L21" s="13">
        <f>IF(OR(D21="",E21=""),"",IF(IFERROR(INDEX(Stats!$D:$D,MATCH($C21,Stats!$A:$A,0)),FALSE),ROUND(D21+(E21-D21)*(1+G21)*((5-1)/(MaxLevel-1))^(2^F21),0),D21+(E21-D21)*(1+G21)*((5-1)/(MaxLevel-1))^(2^F21)))</f>
        <v/>
      </c>
      <c r="M21" s="13">
        <f>IF(OR(D21="",E21=""),"",IF(IFERROR(INDEX(Stats!$D:$D,MATCH($C21,Stats!$A:$A,0)),FALSE),ROUND(D21+(E21-D21)*(1+G21)*((6-1)/(MaxLevel-1))^(2^F21),0),D21+(E21-D21)*(1+G21)*((6-1)/(MaxLevel-1))^(2^F21)))</f>
        <v/>
      </c>
      <c r="N21" s="13">
        <f>IF(OR(D21="",E21=""),"",IF(IFERROR(INDEX(Stats!$D:$D,MATCH($C21,Stats!$A:$A,0)),FALSE),ROUND(D21+(E21-D21)*(1+G21)*((7-1)/(MaxLevel-1))^(2^F21),0),D21+(E21-D21)*(1+G21)*((7-1)/(MaxLevel-1))^(2^F21)))</f>
        <v/>
      </c>
      <c r="O21" s="13">
        <f>IF(OR(D21="",E21=""),"",IF(IFERROR(INDEX(Stats!$D:$D,MATCH($C21,Stats!$A:$A,0)),FALSE),ROUND(D21+(E21-D21)*(1+G21)*((8-1)/(MaxLevel-1))^(2^F21),0),D21+(E21-D21)*(1+G21)*((8-1)/(MaxLevel-1))^(2^F21)))</f>
        <v/>
      </c>
      <c r="P21" s="13">
        <f>IF(OR(D21="",E21=""),"",IF(IFERROR(INDEX(Stats!$D:$D,MATCH($C21,Stats!$A:$A,0)),FALSE),ROUND(D21+(E21-D21)*(1+G21)*((9-1)/(MaxLevel-1))^(2^F21),0),D21+(E21-D21)*(1+G21)*((9-1)/(MaxLevel-1))^(2^F21)))</f>
        <v/>
      </c>
      <c r="Q21" s="13">
        <f>IF(OR(D21="",E21=""),"",IF(IFERROR(INDEX(Stats!$D:$D,MATCH($C21,Stats!$A:$A,0)),FALSE),ROUND(D21+(E21-D21)*(1+G21)*((10-1)/(MaxLevel-1))^(2^F21),0),D21+(E21-D21)*(1+G21)*((10-1)/(MaxLevel-1))^(2^F21)))</f>
        <v/>
      </c>
    </row>
    <row r="22">
      <c r="A22" s="4" t="inlineStr">
        <is>
          <t>01U</t>
        </is>
      </c>
      <c r="B22" s="4" t="inlineStr">
        <is>
          <t>T1M</t>
        </is>
      </c>
      <c r="C22" s="4" t="inlineStr">
        <is>
          <t>Salary</t>
        </is>
      </c>
      <c r="D22" s="5" t="n">
        <v>10</v>
      </c>
      <c r="E22" s="5" t="n">
        <v>80</v>
      </c>
      <c r="F22" s="5" t="n">
        <v>0</v>
      </c>
      <c r="G22" s="5" t="n">
        <v>0</v>
      </c>
      <c r="H22" s="13">
        <f>IF(OR(D22="",E22=""),"",IF(IFERROR(INDEX(Stats!$D:$D,MATCH($C22,Stats!$A:$A,0)),FALSE),ROUND(D22+(E22-D22)*(1+G22)*((1-1)/(MaxLevel-1))^(2^F22),0),D22+(E22-D22)*(1+G22)*((1-1)/(MaxLevel-1))^(2^F22)))</f>
        <v/>
      </c>
      <c r="I22" s="13">
        <f>IF(OR(D22="",E22=""),"",IF(IFERROR(INDEX(Stats!$D:$D,MATCH($C22,Stats!$A:$A,0)),FALSE),ROUND(D22+(E22-D22)*(1+G22)*((2-1)/(MaxLevel-1))^(2^F22),0),D22+(E22-D22)*(1+G22)*((2-1)/(MaxLevel-1))^(2^F22)))</f>
        <v/>
      </c>
      <c r="J22" s="13">
        <f>IF(OR(D22="",E22=""),"",IF(IFERROR(INDEX(Stats!$D:$D,MATCH($C22,Stats!$A:$A,0)),FALSE),ROUND(D22+(E22-D22)*(1+G22)*((3-1)/(MaxLevel-1))^(2^F22),0),D22+(E22-D22)*(1+G22)*((3-1)/(MaxLevel-1))^(2^F22)))</f>
        <v/>
      </c>
      <c r="K22" s="13">
        <f>IF(OR(D22="",E22=""),"",IF(IFERROR(INDEX(Stats!$D:$D,MATCH($C22,Stats!$A:$A,0)),FALSE),ROUND(D22+(E22-D22)*(1+G22)*((4-1)/(MaxLevel-1))^(2^F22),0),D22+(E22-D22)*(1+G22)*((4-1)/(MaxLevel-1))^(2^F22)))</f>
        <v/>
      </c>
      <c r="L22" s="13">
        <f>IF(OR(D22="",E22=""),"",IF(IFERROR(INDEX(Stats!$D:$D,MATCH($C22,Stats!$A:$A,0)),FALSE),ROUND(D22+(E22-D22)*(1+G22)*((5-1)/(MaxLevel-1))^(2^F22),0),D22+(E22-D22)*(1+G22)*((5-1)/(MaxLevel-1))^(2^F22)))</f>
        <v/>
      </c>
      <c r="M22" s="13">
        <f>IF(OR(D22="",E22=""),"",IF(IFERROR(INDEX(Stats!$D:$D,MATCH($C22,Stats!$A:$A,0)),FALSE),ROUND(D22+(E22-D22)*(1+G22)*((6-1)/(MaxLevel-1))^(2^F22),0),D22+(E22-D22)*(1+G22)*((6-1)/(MaxLevel-1))^(2^F22)))</f>
        <v/>
      </c>
      <c r="N22" s="13">
        <f>IF(OR(D22="",E22=""),"",IF(IFERROR(INDEX(Stats!$D:$D,MATCH($C22,Stats!$A:$A,0)),FALSE),ROUND(D22+(E22-D22)*(1+G22)*((7-1)/(MaxLevel-1))^(2^F22),0),D22+(E22-D22)*(1+G22)*((7-1)/(MaxLevel-1))^(2^F22)))</f>
        <v/>
      </c>
      <c r="O22" s="13">
        <f>IF(OR(D22="",E22=""),"",IF(IFERROR(INDEX(Stats!$D:$D,MATCH($C22,Stats!$A:$A,0)),FALSE),ROUND(D22+(E22-D22)*(1+G22)*((8-1)/(MaxLevel-1))^(2^F22),0),D22+(E22-D22)*(1+G22)*((8-1)/(MaxLevel-1))^(2^F22)))</f>
        <v/>
      </c>
      <c r="P22" s="13">
        <f>IF(OR(D22="",E22=""),"",IF(IFERROR(INDEX(Stats!$D:$D,MATCH($C22,Stats!$A:$A,0)),FALSE),ROUND(D22+(E22-D22)*(1+G22)*((9-1)/(MaxLevel-1))^(2^F22),0),D22+(E22-D22)*(1+G22)*((9-1)/(MaxLevel-1))^(2^F22)))</f>
        <v/>
      </c>
      <c r="Q22" s="13">
        <f>IF(OR(D22="",E22=""),"",IF(IFERROR(INDEX(Stats!$D:$D,MATCH($C22,Stats!$A:$A,0)),FALSE),ROUND(D22+(E22-D22)*(1+G22)*((10-1)/(MaxLevel-1))^(2^F22),0),D22+(E22-D22)*(1+G22)*((10-1)/(MaxLevel-1))^(2^F22)))</f>
        <v/>
      </c>
    </row>
    <row r="23">
      <c r="A23" s="4" t="inlineStr">
        <is>
          <t>01U</t>
        </is>
      </c>
      <c r="B23" s="4" t="inlineStr">
        <is>
          <t>T1M</t>
        </is>
      </c>
      <c r="C23" s="4" t="inlineStr">
        <is>
          <t>Health</t>
        </is>
      </c>
      <c r="D23" s="5" t="n">
        <v>80</v>
      </c>
      <c r="E23" s="5" t="n">
        <v>400</v>
      </c>
      <c r="F23" s="5" t="n">
        <v>-0.5</v>
      </c>
      <c r="G23" s="5" t="n">
        <v>0</v>
      </c>
      <c r="H23" s="13">
        <f>IF(OR(D23="",E23=""),"",IF(IFERROR(INDEX(Stats!$D:$D,MATCH($C23,Stats!$A:$A,0)),FALSE),ROUND(D23+(E23-D23)*(1+G23)*((1-1)/(MaxLevel-1))^(2^F23),0),D23+(E23-D23)*(1+G23)*((1-1)/(MaxLevel-1))^(2^F23)))</f>
        <v/>
      </c>
      <c r="I23" s="13">
        <f>IF(OR(D23="",E23=""),"",IF(IFERROR(INDEX(Stats!$D:$D,MATCH($C23,Stats!$A:$A,0)),FALSE),ROUND(D23+(E23-D23)*(1+G23)*((2-1)/(MaxLevel-1))^(2^F23),0),D23+(E23-D23)*(1+G23)*((2-1)/(MaxLevel-1))^(2^F23)))</f>
        <v/>
      </c>
      <c r="J23" s="13">
        <f>IF(OR(D23="",E23=""),"",IF(IFERROR(INDEX(Stats!$D:$D,MATCH($C23,Stats!$A:$A,0)),FALSE),ROUND(D23+(E23-D23)*(1+G23)*((3-1)/(MaxLevel-1))^(2^F23),0),D23+(E23-D23)*(1+G23)*((3-1)/(MaxLevel-1))^(2^F23)))</f>
        <v/>
      </c>
      <c r="K23" s="13">
        <f>IF(OR(D23="",E23=""),"",IF(IFERROR(INDEX(Stats!$D:$D,MATCH($C23,Stats!$A:$A,0)),FALSE),ROUND(D23+(E23-D23)*(1+G23)*((4-1)/(MaxLevel-1))^(2^F23),0),D23+(E23-D23)*(1+G23)*((4-1)/(MaxLevel-1))^(2^F23)))</f>
        <v/>
      </c>
      <c r="L23" s="13">
        <f>IF(OR(D23="",E23=""),"",IF(IFERROR(INDEX(Stats!$D:$D,MATCH($C23,Stats!$A:$A,0)),FALSE),ROUND(D23+(E23-D23)*(1+G23)*((5-1)/(MaxLevel-1))^(2^F23),0),D23+(E23-D23)*(1+G23)*((5-1)/(MaxLevel-1))^(2^F23)))</f>
        <v/>
      </c>
      <c r="M23" s="13">
        <f>IF(OR(D23="",E23=""),"",IF(IFERROR(INDEX(Stats!$D:$D,MATCH($C23,Stats!$A:$A,0)),FALSE),ROUND(D23+(E23-D23)*(1+G23)*((6-1)/(MaxLevel-1))^(2^F23),0),D23+(E23-D23)*(1+G23)*((6-1)/(MaxLevel-1))^(2^F23)))</f>
        <v/>
      </c>
      <c r="N23" s="13">
        <f>IF(OR(D23="",E23=""),"",IF(IFERROR(INDEX(Stats!$D:$D,MATCH($C23,Stats!$A:$A,0)),FALSE),ROUND(D23+(E23-D23)*(1+G23)*((7-1)/(MaxLevel-1))^(2^F23),0),D23+(E23-D23)*(1+G23)*((7-1)/(MaxLevel-1))^(2^F23)))</f>
        <v/>
      </c>
      <c r="O23" s="13">
        <f>IF(OR(D23="",E23=""),"",IF(IFERROR(INDEX(Stats!$D:$D,MATCH($C23,Stats!$A:$A,0)),FALSE),ROUND(D23+(E23-D23)*(1+G23)*((8-1)/(MaxLevel-1))^(2^F23),0),D23+(E23-D23)*(1+G23)*((8-1)/(MaxLevel-1))^(2^F23)))</f>
        <v/>
      </c>
      <c r="P23" s="13">
        <f>IF(OR(D23="",E23=""),"",IF(IFERROR(INDEX(Stats!$D:$D,MATCH($C23,Stats!$A:$A,0)),FALSE),ROUND(D23+(E23-D23)*(1+G23)*((9-1)/(MaxLevel-1))^(2^F23),0),D23+(E23-D23)*(1+G23)*((9-1)/(MaxLevel-1))^(2^F23)))</f>
        <v/>
      </c>
      <c r="Q23" s="13">
        <f>IF(OR(D23="",E23=""),"",IF(IFERROR(INDEX(Stats!$D:$D,MATCH($C23,Stats!$A:$A,0)),FALSE),ROUND(D23+(E23-D23)*(1+G23)*((10-1)/(MaxLevel-1))^(2^F23),0),D23+(E23-D23)*(1+G23)*((10-1)/(MaxLevel-1))^(2^F23)))</f>
        <v/>
      </c>
    </row>
    <row r="24">
      <c r="A24" s="4" t="inlineStr">
        <is>
          <t>01U</t>
        </is>
      </c>
      <c r="B24" s="4" t="inlineStr">
        <is>
          <t>T1M</t>
        </is>
      </c>
      <c r="C24" s="4" t="inlineStr">
        <is>
          <t>Strength</t>
        </is>
      </c>
      <c r="D24" s="5" t="n"/>
      <c r="E24" s="5" t="n"/>
      <c r="F24" s="5" t="n"/>
      <c r="G24" s="5" t="n"/>
      <c r="H24" s="13">
        <f>IF(OR(D24="",E24=""),"",IF(IFERROR(INDEX(Stats!$D:$D,MATCH($C24,Stats!$A:$A,0)),FALSE),ROUND(D24+(E24-D24)*(1+G24)*((1-1)/(MaxLevel-1))^(2^F24),0),D24+(E24-D24)*(1+G24)*((1-1)/(MaxLevel-1))^(2^F24)))</f>
        <v/>
      </c>
      <c r="I24" s="13">
        <f>IF(OR(D24="",E24=""),"",IF(IFERROR(INDEX(Stats!$D:$D,MATCH($C24,Stats!$A:$A,0)),FALSE),ROUND(D24+(E24-D24)*(1+G24)*((2-1)/(MaxLevel-1))^(2^F24),0),D24+(E24-D24)*(1+G24)*((2-1)/(MaxLevel-1))^(2^F24)))</f>
        <v/>
      </c>
      <c r="J24" s="13">
        <f>IF(OR(D24="",E24=""),"",IF(IFERROR(INDEX(Stats!$D:$D,MATCH($C24,Stats!$A:$A,0)),FALSE),ROUND(D24+(E24-D24)*(1+G24)*((3-1)/(MaxLevel-1))^(2^F24),0),D24+(E24-D24)*(1+G24)*((3-1)/(MaxLevel-1))^(2^F24)))</f>
        <v/>
      </c>
      <c r="K24" s="13">
        <f>IF(OR(D24="",E24=""),"",IF(IFERROR(INDEX(Stats!$D:$D,MATCH($C24,Stats!$A:$A,0)),FALSE),ROUND(D24+(E24-D24)*(1+G24)*((4-1)/(MaxLevel-1))^(2^F24),0),D24+(E24-D24)*(1+G24)*((4-1)/(MaxLevel-1))^(2^F24)))</f>
        <v/>
      </c>
      <c r="L24" s="13">
        <f>IF(OR(D24="",E24=""),"",IF(IFERROR(INDEX(Stats!$D:$D,MATCH($C24,Stats!$A:$A,0)),FALSE),ROUND(D24+(E24-D24)*(1+G24)*((5-1)/(MaxLevel-1))^(2^F24),0),D24+(E24-D24)*(1+G24)*((5-1)/(MaxLevel-1))^(2^F24)))</f>
        <v/>
      </c>
      <c r="M24" s="13">
        <f>IF(OR(D24="",E24=""),"",IF(IFERROR(INDEX(Stats!$D:$D,MATCH($C24,Stats!$A:$A,0)),FALSE),ROUND(D24+(E24-D24)*(1+G24)*((6-1)/(MaxLevel-1))^(2^F24),0),D24+(E24-D24)*(1+G24)*((6-1)/(MaxLevel-1))^(2^F24)))</f>
        <v/>
      </c>
      <c r="N24" s="13">
        <f>IF(OR(D24="",E24=""),"",IF(IFERROR(INDEX(Stats!$D:$D,MATCH($C24,Stats!$A:$A,0)),FALSE),ROUND(D24+(E24-D24)*(1+G24)*((7-1)/(MaxLevel-1))^(2^F24),0),D24+(E24-D24)*(1+G24)*((7-1)/(MaxLevel-1))^(2^F24)))</f>
        <v/>
      </c>
      <c r="O24" s="13">
        <f>IF(OR(D24="",E24=""),"",IF(IFERROR(INDEX(Stats!$D:$D,MATCH($C24,Stats!$A:$A,0)),FALSE),ROUND(D24+(E24-D24)*(1+G24)*((8-1)/(MaxLevel-1))^(2^F24),0),D24+(E24-D24)*(1+G24)*((8-1)/(MaxLevel-1))^(2^F24)))</f>
        <v/>
      </c>
      <c r="P24" s="13">
        <f>IF(OR(D24="",E24=""),"",IF(IFERROR(INDEX(Stats!$D:$D,MATCH($C24,Stats!$A:$A,0)),FALSE),ROUND(D24+(E24-D24)*(1+G24)*((9-1)/(MaxLevel-1))^(2^F24),0),D24+(E24-D24)*(1+G24)*((9-1)/(MaxLevel-1))^(2^F24)))</f>
        <v/>
      </c>
      <c r="Q24" s="13">
        <f>IF(OR(D24="",E24=""),"",IF(IFERROR(INDEX(Stats!$D:$D,MATCH($C24,Stats!$A:$A,0)),FALSE),ROUND(D24+(E24-D24)*(1+G24)*((10-1)/(MaxLevel-1))^(2^F24),0),D24+(E24-D24)*(1+G24)*((10-1)/(MaxLevel-1))^(2^F24)))</f>
        <v/>
      </c>
    </row>
    <row r="25">
      <c r="A25" s="4" t="inlineStr">
        <is>
          <t>01U</t>
        </is>
      </c>
      <c r="B25" s="4" t="inlineStr">
        <is>
          <t>T1M</t>
        </is>
      </c>
      <c r="C25" s="4" t="inlineStr">
        <is>
          <t>Accuracy</t>
        </is>
      </c>
      <c r="D25" s="5" t="n"/>
      <c r="E25" s="5" t="n"/>
      <c r="F25" s="5" t="n"/>
      <c r="G25" s="5" t="n"/>
      <c r="H25" s="13">
        <f>IF(OR(D25="",E25=""),"",IF(IFERROR(INDEX(Stats!$D:$D,MATCH($C25,Stats!$A:$A,0)),FALSE),ROUND(D25+(E25-D25)*(1+G25)*((1-1)/(MaxLevel-1))^(2^F25),0),D25+(E25-D25)*(1+G25)*((1-1)/(MaxLevel-1))^(2^F25)))</f>
        <v/>
      </c>
      <c r="I25" s="13">
        <f>IF(OR(D25="",E25=""),"",IF(IFERROR(INDEX(Stats!$D:$D,MATCH($C25,Stats!$A:$A,0)),FALSE),ROUND(D25+(E25-D25)*(1+G25)*((2-1)/(MaxLevel-1))^(2^F25),0),D25+(E25-D25)*(1+G25)*((2-1)/(MaxLevel-1))^(2^F25)))</f>
        <v/>
      </c>
      <c r="J25" s="13">
        <f>IF(OR(D25="",E25=""),"",IF(IFERROR(INDEX(Stats!$D:$D,MATCH($C25,Stats!$A:$A,0)),FALSE),ROUND(D25+(E25-D25)*(1+G25)*((3-1)/(MaxLevel-1))^(2^F25),0),D25+(E25-D25)*(1+G25)*((3-1)/(MaxLevel-1))^(2^F25)))</f>
        <v/>
      </c>
      <c r="K25" s="13">
        <f>IF(OR(D25="",E25=""),"",IF(IFERROR(INDEX(Stats!$D:$D,MATCH($C25,Stats!$A:$A,0)),FALSE),ROUND(D25+(E25-D25)*(1+G25)*((4-1)/(MaxLevel-1))^(2^F25),0),D25+(E25-D25)*(1+G25)*((4-1)/(MaxLevel-1))^(2^F25)))</f>
        <v/>
      </c>
      <c r="L25" s="13">
        <f>IF(OR(D25="",E25=""),"",IF(IFERROR(INDEX(Stats!$D:$D,MATCH($C25,Stats!$A:$A,0)),FALSE),ROUND(D25+(E25-D25)*(1+G25)*((5-1)/(MaxLevel-1))^(2^F25),0),D25+(E25-D25)*(1+G25)*((5-1)/(MaxLevel-1))^(2^F25)))</f>
        <v/>
      </c>
      <c r="M25" s="13">
        <f>IF(OR(D25="",E25=""),"",IF(IFERROR(INDEX(Stats!$D:$D,MATCH($C25,Stats!$A:$A,0)),FALSE),ROUND(D25+(E25-D25)*(1+G25)*((6-1)/(MaxLevel-1))^(2^F25),0),D25+(E25-D25)*(1+G25)*((6-1)/(MaxLevel-1))^(2^F25)))</f>
        <v/>
      </c>
      <c r="N25" s="13">
        <f>IF(OR(D25="",E25=""),"",IF(IFERROR(INDEX(Stats!$D:$D,MATCH($C25,Stats!$A:$A,0)),FALSE),ROUND(D25+(E25-D25)*(1+G25)*((7-1)/(MaxLevel-1))^(2^F25),0),D25+(E25-D25)*(1+G25)*((7-1)/(MaxLevel-1))^(2^F25)))</f>
        <v/>
      </c>
      <c r="O25" s="13">
        <f>IF(OR(D25="",E25=""),"",IF(IFERROR(INDEX(Stats!$D:$D,MATCH($C25,Stats!$A:$A,0)),FALSE),ROUND(D25+(E25-D25)*(1+G25)*((8-1)/(MaxLevel-1))^(2^F25),0),D25+(E25-D25)*(1+G25)*((8-1)/(MaxLevel-1))^(2^F25)))</f>
        <v/>
      </c>
      <c r="P25" s="13">
        <f>IF(OR(D25="",E25=""),"",IF(IFERROR(INDEX(Stats!$D:$D,MATCH($C25,Stats!$A:$A,0)),FALSE),ROUND(D25+(E25-D25)*(1+G25)*((9-1)/(MaxLevel-1))^(2^F25),0),D25+(E25-D25)*(1+G25)*((9-1)/(MaxLevel-1))^(2^F25)))</f>
        <v/>
      </c>
      <c r="Q25" s="13">
        <f>IF(OR(D25="",E25=""),"",IF(IFERROR(INDEX(Stats!$D:$D,MATCH($C25,Stats!$A:$A,0)),FALSE),ROUND(D25+(E25-D25)*(1+G25)*((10-1)/(MaxLevel-1))^(2^F25),0),D25+(E25-D25)*(1+G25)*((10-1)/(MaxLevel-1))^(2^F25)))</f>
        <v/>
      </c>
    </row>
    <row r="26">
      <c r="A26" s="4" t="inlineStr">
        <is>
          <t>01U</t>
        </is>
      </c>
      <c r="B26" s="4" t="inlineStr">
        <is>
          <t>T1M</t>
        </is>
      </c>
      <c r="C26" s="4" t="inlineStr">
        <is>
          <t>Dexterity</t>
        </is>
      </c>
      <c r="D26" s="5" t="n"/>
      <c r="E26" s="5" t="n"/>
      <c r="F26" s="5" t="n"/>
      <c r="G26" s="5" t="n"/>
      <c r="H26" s="13">
        <f>IF(OR(D26="",E26=""),"",IF(IFERROR(INDEX(Stats!$D:$D,MATCH($C26,Stats!$A:$A,0)),FALSE),ROUND(D26+(E26-D26)*(1+G26)*((1-1)/(MaxLevel-1))^(2^F26),0),D26+(E26-D26)*(1+G26)*((1-1)/(MaxLevel-1))^(2^F26)))</f>
        <v/>
      </c>
      <c r="I26" s="13">
        <f>IF(OR(D26="",E26=""),"",IF(IFERROR(INDEX(Stats!$D:$D,MATCH($C26,Stats!$A:$A,0)),FALSE),ROUND(D26+(E26-D26)*(1+G26)*((2-1)/(MaxLevel-1))^(2^F26),0),D26+(E26-D26)*(1+G26)*((2-1)/(MaxLevel-1))^(2^F26)))</f>
        <v/>
      </c>
      <c r="J26" s="13">
        <f>IF(OR(D26="",E26=""),"",IF(IFERROR(INDEX(Stats!$D:$D,MATCH($C26,Stats!$A:$A,0)),FALSE),ROUND(D26+(E26-D26)*(1+G26)*((3-1)/(MaxLevel-1))^(2^F26),0),D26+(E26-D26)*(1+G26)*((3-1)/(MaxLevel-1))^(2^F26)))</f>
        <v/>
      </c>
      <c r="K26" s="13">
        <f>IF(OR(D26="",E26=""),"",IF(IFERROR(INDEX(Stats!$D:$D,MATCH($C26,Stats!$A:$A,0)),FALSE),ROUND(D26+(E26-D26)*(1+G26)*((4-1)/(MaxLevel-1))^(2^F26),0),D26+(E26-D26)*(1+G26)*((4-1)/(MaxLevel-1))^(2^F26)))</f>
        <v/>
      </c>
      <c r="L26" s="13">
        <f>IF(OR(D26="",E26=""),"",IF(IFERROR(INDEX(Stats!$D:$D,MATCH($C26,Stats!$A:$A,0)),FALSE),ROUND(D26+(E26-D26)*(1+G26)*((5-1)/(MaxLevel-1))^(2^F26),0),D26+(E26-D26)*(1+G26)*((5-1)/(MaxLevel-1))^(2^F26)))</f>
        <v/>
      </c>
      <c r="M26" s="13">
        <f>IF(OR(D26="",E26=""),"",IF(IFERROR(INDEX(Stats!$D:$D,MATCH($C26,Stats!$A:$A,0)),FALSE),ROUND(D26+(E26-D26)*(1+G26)*((6-1)/(MaxLevel-1))^(2^F26),0),D26+(E26-D26)*(1+G26)*((6-1)/(MaxLevel-1))^(2^F26)))</f>
        <v/>
      </c>
      <c r="N26" s="13">
        <f>IF(OR(D26="",E26=""),"",IF(IFERROR(INDEX(Stats!$D:$D,MATCH($C26,Stats!$A:$A,0)),FALSE),ROUND(D26+(E26-D26)*(1+G26)*((7-1)/(MaxLevel-1))^(2^F26),0),D26+(E26-D26)*(1+G26)*((7-1)/(MaxLevel-1))^(2^F26)))</f>
        <v/>
      </c>
      <c r="O26" s="13">
        <f>IF(OR(D26="",E26=""),"",IF(IFERROR(INDEX(Stats!$D:$D,MATCH($C26,Stats!$A:$A,0)),FALSE),ROUND(D26+(E26-D26)*(1+G26)*((8-1)/(MaxLevel-1))^(2^F26),0),D26+(E26-D26)*(1+G26)*((8-1)/(MaxLevel-1))^(2^F26)))</f>
        <v/>
      </c>
      <c r="P26" s="13">
        <f>IF(OR(D26="",E26=""),"",IF(IFERROR(INDEX(Stats!$D:$D,MATCH($C26,Stats!$A:$A,0)),FALSE),ROUND(D26+(E26-D26)*(1+G26)*((9-1)/(MaxLevel-1))^(2^F26),0),D26+(E26-D26)*(1+G26)*((9-1)/(MaxLevel-1))^(2^F26)))</f>
        <v/>
      </c>
      <c r="Q26" s="13">
        <f>IF(OR(D26="",E26=""),"",IF(IFERROR(INDEX(Stats!$D:$D,MATCH($C26,Stats!$A:$A,0)),FALSE),ROUND(D26+(E26-D26)*(1+G26)*((10-1)/(MaxLevel-1))^(2^F26),0),D26+(E26-D26)*(1+G26)*((10-1)/(MaxLevel-1))^(2^F26)))</f>
        <v/>
      </c>
    </row>
    <row r="27">
      <c r="A27" s="4" t="inlineStr">
        <is>
          <t>01U</t>
        </is>
      </c>
      <c r="B27" s="4" t="inlineStr">
        <is>
          <t>T1M</t>
        </is>
      </c>
      <c r="C27" s="4" t="inlineStr">
        <is>
          <t>Fortitude</t>
        </is>
      </c>
      <c r="D27" s="5" t="n"/>
      <c r="E27" s="5" t="n"/>
      <c r="F27" s="5" t="n"/>
      <c r="G27" s="5" t="n"/>
      <c r="H27" s="13">
        <f>IF(OR(D27="",E27=""),"",IF(IFERROR(INDEX(Stats!$D:$D,MATCH($C27,Stats!$A:$A,0)),FALSE),ROUND(D27+(E27-D27)*(1+G27)*((1-1)/(MaxLevel-1))^(2^F27),0),D27+(E27-D27)*(1+G27)*((1-1)/(MaxLevel-1))^(2^F27)))</f>
        <v/>
      </c>
      <c r="I27" s="13">
        <f>IF(OR(D27="",E27=""),"",IF(IFERROR(INDEX(Stats!$D:$D,MATCH($C27,Stats!$A:$A,0)),FALSE),ROUND(D27+(E27-D27)*(1+G27)*((2-1)/(MaxLevel-1))^(2^F27),0),D27+(E27-D27)*(1+G27)*((2-1)/(MaxLevel-1))^(2^F27)))</f>
        <v/>
      </c>
      <c r="J27" s="13">
        <f>IF(OR(D27="",E27=""),"",IF(IFERROR(INDEX(Stats!$D:$D,MATCH($C27,Stats!$A:$A,0)),FALSE),ROUND(D27+(E27-D27)*(1+G27)*((3-1)/(MaxLevel-1))^(2^F27),0),D27+(E27-D27)*(1+G27)*((3-1)/(MaxLevel-1))^(2^F27)))</f>
        <v/>
      </c>
      <c r="K27" s="13">
        <f>IF(OR(D27="",E27=""),"",IF(IFERROR(INDEX(Stats!$D:$D,MATCH($C27,Stats!$A:$A,0)),FALSE),ROUND(D27+(E27-D27)*(1+G27)*((4-1)/(MaxLevel-1))^(2^F27),0),D27+(E27-D27)*(1+G27)*((4-1)/(MaxLevel-1))^(2^F27)))</f>
        <v/>
      </c>
      <c r="L27" s="13">
        <f>IF(OR(D27="",E27=""),"",IF(IFERROR(INDEX(Stats!$D:$D,MATCH($C27,Stats!$A:$A,0)),FALSE),ROUND(D27+(E27-D27)*(1+G27)*((5-1)/(MaxLevel-1))^(2^F27),0),D27+(E27-D27)*(1+G27)*((5-1)/(MaxLevel-1))^(2^F27)))</f>
        <v/>
      </c>
      <c r="M27" s="13">
        <f>IF(OR(D27="",E27=""),"",IF(IFERROR(INDEX(Stats!$D:$D,MATCH($C27,Stats!$A:$A,0)),FALSE),ROUND(D27+(E27-D27)*(1+G27)*((6-1)/(MaxLevel-1))^(2^F27),0),D27+(E27-D27)*(1+G27)*((6-1)/(MaxLevel-1))^(2^F27)))</f>
        <v/>
      </c>
      <c r="N27" s="13">
        <f>IF(OR(D27="",E27=""),"",IF(IFERROR(INDEX(Stats!$D:$D,MATCH($C27,Stats!$A:$A,0)),FALSE),ROUND(D27+(E27-D27)*(1+G27)*((7-1)/(MaxLevel-1))^(2^F27),0),D27+(E27-D27)*(1+G27)*((7-1)/(MaxLevel-1))^(2^F27)))</f>
        <v/>
      </c>
      <c r="O27" s="13">
        <f>IF(OR(D27="",E27=""),"",IF(IFERROR(INDEX(Stats!$D:$D,MATCH($C27,Stats!$A:$A,0)),FALSE),ROUND(D27+(E27-D27)*(1+G27)*((8-1)/(MaxLevel-1))^(2^F27),0),D27+(E27-D27)*(1+G27)*((8-1)/(MaxLevel-1))^(2^F27)))</f>
        <v/>
      </c>
      <c r="P27" s="13">
        <f>IF(OR(D27="",E27=""),"",IF(IFERROR(INDEX(Stats!$D:$D,MATCH($C27,Stats!$A:$A,0)),FALSE),ROUND(D27+(E27-D27)*(1+G27)*((9-1)/(MaxLevel-1))^(2^F27),0),D27+(E27-D27)*(1+G27)*((9-1)/(MaxLevel-1))^(2^F27)))</f>
        <v/>
      </c>
      <c r="Q27" s="13">
        <f>IF(OR(D27="",E27=""),"",IF(IFERROR(INDEX(Stats!$D:$D,MATCH($C27,Stats!$A:$A,0)),FALSE),ROUND(D27+(E27-D27)*(1+G27)*((10-1)/(MaxLevel-1))^(2^F27),0),D27+(E27-D27)*(1+G27)*((10-1)/(MaxLevel-1))^(2^F27)))</f>
        <v/>
      </c>
    </row>
    <row r="28">
      <c r="A28" s="4" t="inlineStr">
        <is>
          <t>01U</t>
        </is>
      </c>
      <c r="B28" s="4" t="inlineStr">
        <is>
          <t>T1M</t>
        </is>
      </c>
      <c r="C28" s="4" t="inlineStr">
        <is>
          <t>Speed</t>
        </is>
      </c>
      <c r="D28" s="5" t="n">
        <v>1.5</v>
      </c>
      <c r="E28" s="5" t="n">
        <v>2</v>
      </c>
      <c r="F28" s="5" t="n">
        <v>-1</v>
      </c>
      <c r="G28" s="5" t="n">
        <v>0</v>
      </c>
      <c r="H28" s="13">
        <f>IF(OR(D28="",E28=""),"",IF(IFERROR(INDEX(Stats!$D:$D,MATCH($C28,Stats!$A:$A,0)),FALSE),ROUND(D28+(E28-D28)*(1+G28)*((1-1)/(MaxLevel-1))^(2^F28),0),D28+(E28-D28)*(1+G28)*((1-1)/(MaxLevel-1))^(2^F28)))</f>
        <v/>
      </c>
      <c r="I28" s="13">
        <f>IF(OR(D28="",E28=""),"",IF(IFERROR(INDEX(Stats!$D:$D,MATCH($C28,Stats!$A:$A,0)),FALSE),ROUND(D28+(E28-D28)*(1+G28)*((2-1)/(MaxLevel-1))^(2^F28),0),D28+(E28-D28)*(1+G28)*((2-1)/(MaxLevel-1))^(2^F28)))</f>
        <v/>
      </c>
      <c r="J28" s="13">
        <f>IF(OR(D28="",E28=""),"",IF(IFERROR(INDEX(Stats!$D:$D,MATCH($C28,Stats!$A:$A,0)),FALSE),ROUND(D28+(E28-D28)*(1+G28)*((3-1)/(MaxLevel-1))^(2^F28),0),D28+(E28-D28)*(1+G28)*((3-1)/(MaxLevel-1))^(2^F28)))</f>
        <v/>
      </c>
      <c r="K28" s="13">
        <f>IF(OR(D28="",E28=""),"",IF(IFERROR(INDEX(Stats!$D:$D,MATCH($C28,Stats!$A:$A,0)),FALSE),ROUND(D28+(E28-D28)*(1+G28)*((4-1)/(MaxLevel-1))^(2^F28),0),D28+(E28-D28)*(1+G28)*((4-1)/(MaxLevel-1))^(2^F28)))</f>
        <v/>
      </c>
      <c r="L28" s="13">
        <f>IF(OR(D28="",E28=""),"",IF(IFERROR(INDEX(Stats!$D:$D,MATCH($C28,Stats!$A:$A,0)),FALSE),ROUND(D28+(E28-D28)*(1+G28)*((5-1)/(MaxLevel-1))^(2^F28),0),D28+(E28-D28)*(1+G28)*((5-1)/(MaxLevel-1))^(2^F28)))</f>
        <v/>
      </c>
      <c r="M28" s="13">
        <f>IF(OR(D28="",E28=""),"",IF(IFERROR(INDEX(Stats!$D:$D,MATCH($C28,Stats!$A:$A,0)),FALSE),ROUND(D28+(E28-D28)*(1+G28)*((6-1)/(MaxLevel-1))^(2^F28),0),D28+(E28-D28)*(1+G28)*((6-1)/(MaxLevel-1))^(2^F28)))</f>
        <v/>
      </c>
      <c r="N28" s="13">
        <f>IF(OR(D28="",E28=""),"",IF(IFERROR(INDEX(Stats!$D:$D,MATCH($C28,Stats!$A:$A,0)),FALSE),ROUND(D28+(E28-D28)*(1+G28)*((7-1)/(MaxLevel-1))^(2^F28),0),D28+(E28-D28)*(1+G28)*((7-1)/(MaxLevel-1))^(2^F28)))</f>
        <v/>
      </c>
      <c r="O28" s="13">
        <f>IF(OR(D28="",E28=""),"",IF(IFERROR(INDEX(Stats!$D:$D,MATCH($C28,Stats!$A:$A,0)),FALSE),ROUND(D28+(E28-D28)*(1+G28)*((8-1)/(MaxLevel-1))^(2^F28),0),D28+(E28-D28)*(1+G28)*((8-1)/(MaxLevel-1))^(2^F28)))</f>
        <v/>
      </c>
      <c r="P28" s="13">
        <f>IF(OR(D28="",E28=""),"",IF(IFERROR(INDEX(Stats!$D:$D,MATCH($C28,Stats!$A:$A,0)),FALSE),ROUND(D28+(E28-D28)*(1+G28)*((9-1)/(MaxLevel-1))^(2^F28),0),D28+(E28-D28)*(1+G28)*((9-1)/(MaxLevel-1))^(2^F28)))</f>
        <v/>
      </c>
      <c r="Q28" s="13">
        <f>IF(OR(D28="",E28=""),"",IF(IFERROR(INDEX(Stats!$D:$D,MATCH($C28,Stats!$A:$A,0)),FALSE),ROUND(D28+(E28-D28)*(1+G28)*((10-1)/(MaxLevel-1))^(2^F28),0),D28+(E28-D28)*(1+G28)*((10-1)/(MaxLevel-1))^(2^F28)))</f>
        <v/>
      </c>
    </row>
    <row r="29">
      <c r="A29" s="4" t="inlineStr">
        <is>
          <t>01U</t>
        </is>
      </c>
      <c r="B29" s="4" t="inlineStr">
        <is>
          <t>T1M</t>
        </is>
      </c>
      <c r="C29" s="4" t="inlineStr">
        <is>
          <t>Magic</t>
        </is>
      </c>
      <c r="D29" s="5" t="n">
        <v>20</v>
      </c>
      <c r="E29" s="5" t="n">
        <v>100</v>
      </c>
      <c r="F29" s="5" t="n">
        <v>1</v>
      </c>
      <c r="G29" s="5" t="n">
        <v>0.1</v>
      </c>
      <c r="H29" s="13">
        <f>IF(OR(D29="",E29=""),"",IF(IFERROR(INDEX(Stats!$D:$D,MATCH($C29,Stats!$A:$A,0)),FALSE),ROUND(D29+(E29-D29)*(1+G29)*((1-1)/(MaxLevel-1))^(2^F29),0),D29+(E29-D29)*(1+G29)*((1-1)/(MaxLevel-1))^(2^F29)))</f>
        <v/>
      </c>
      <c r="I29" s="13">
        <f>IF(OR(D29="",E29=""),"",IF(IFERROR(INDEX(Stats!$D:$D,MATCH($C29,Stats!$A:$A,0)),FALSE),ROUND(D29+(E29-D29)*(1+G29)*((2-1)/(MaxLevel-1))^(2^F29),0),D29+(E29-D29)*(1+G29)*((2-1)/(MaxLevel-1))^(2^F29)))</f>
        <v/>
      </c>
      <c r="J29" s="13">
        <f>IF(OR(D29="",E29=""),"",IF(IFERROR(INDEX(Stats!$D:$D,MATCH($C29,Stats!$A:$A,0)),FALSE),ROUND(D29+(E29-D29)*(1+G29)*((3-1)/(MaxLevel-1))^(2^F29),0),D29+(E29-D29)*(1+G29)*((3-1)/(MaxLevel-1))^(2^F29)))</f>
        <v/>
      </c>
      <c r="K29" s="13">
        <f>IF(OR(D29="",E29=""),"",IF(IFERROR(INDEX(Stats!$D:$D,MATCH($C29,Stats!$A:$A,0)),FALSE),ROUND(D29+(E29-D29)*(1+G29)*((4-1)/(MaxLevel-1))^(2^F29),0),D29+(E29-D29)*(1+G29)*((4-1)/(MaxLevel-1))^(2^F29)))</f>
        <v/>
      </c>
      <c r="L29" s="13">
        <f>IF(OR(D29="",E29=""),"",IF(IFERROR(INDEX(Stats!$D:$D,MATCH($C29,Stats!$A:$A,0)),FALSE),ROUND(D29+(E29-D29)*(1+G29)*((5-1)/(MaxLevel-1))^(2^F29),0),D29+(E29-D29)*(1+G29)*((5-1)/(MaxLevel-1))^(2^F29)))</f>
        <v/>
      </c>
      <c r="M29" s="13">
        <f>IF(OR(D29="",E29=""),"",IF(IFERROR(INDEX(Stats!$D:$D,MATCH($C29,Stats!$A:$A,0)),FALSE),ROUND(D29+(E29-D29)*(1+G29)*((6-1)/(MaxLevel-1))^(2^F29),0),D29+(E29-D29)*(1+G29)*((6-1)/(MaxLevel-1))^(2^F29)))</f>
        <v/>
      </c>
      <c r="N29" s="13">
        <f>IF(OR(D29="",E29=""),"",IF(IFERROR(INDEX(Stats!$D:$D,MATCH($C29,Stats!$A:$A,0)),FALSE),ROUND(D29+(E29-D29)*(1+G29)*((7-1)/(MaxLevel-1))^(2^F29),0),D29+(E29-D29)*(1+G29)*((7-1)/(MaxLevel-1))^(2^F29)))</f>
        <v/>
      </c>
      <c r="O29" s="13">
        <f>IF(OR(D29="",E29=""),"",IF(IFERROR(INDEX(Stats!$D:$D,MATCH($C29,Stats!$A:$A,0)),FALSE),ROUND(D29+(E29-D29)*(1+G29)*((8-1)/(MaxLevel-1))^(2^F29),0),D29+(E29-D29)*(1+G29)*((8-1)/(MaxLevel-1))^(2^F29)))</f>
        <v/>
      </c>
      <c r="P29" s="13">
        <f>IF(OR(D29="",E29=""),"",IF(IFERROR(INDEX(Stats!$D:$D,MATCH($C29,Stats!$A:$A,0)),FALSE),ROUND(D29+(E29-D29)*(1+G29)*((9-1)/(MaxLevel-1))^(2^F29),0),D29+(E29-D29)*(1+G29)*((9-1)/(MaxLevel-1))^(2^F29)))</f>
        <v/>
      </c>
      <c r="Q29" s="13">
        <f>IF(OR(D29="",E29=""),"",IF(IFERROR(INDEX(Stats!$D:$D,MATCH($C29,Stats!$A:$A,0)),FALSE),ROUND(D29+(E29-D29)*(1+G29)*((10-1)/(MaxLevel-1))^(2^F29),0),D29+(E29-D29)*(1+G29)*((10-1)/(MaxLevel-1))^(2^F29)))</f>
        <v/>
      </c>
    </row>
    <row r="30">
      <c r="A30" s="4" t="inlineStr">
        <is>
          <t>01U</t>
        </is>
      </c>
      <c r="B30" s="4" t="inlineStr">
        <is>
          <t>T1M</t>
        </is>
      </c>
      <c r="C30" s="4" t="inlineStr">
        <is>
          <t>Resistance</t>
        </is>
      </c>
      <c r="D30" s="5" t="n"/>
      <c r="E30" s="5" t="n"/>
      <c r="F30" s="5" t="n"/>
      <c r="G30" s="5" t="n"/>
      <c r="H30" s="13">
        <f>IF(OR(D30="",E30=""),"",IF(IFERROR(INDEX(Stats!$D:$D,MATCH($C30,Stats!$A:$A,0)),FALSE),ROUND(D30+(E30-D30)*(1+G30)*((1-1)/(MaxLevel-1))^(2^F30),0),D30+(E30-D30)*(1+G30)*((1-1)/(MaxLevel-1))^(2^F30)))</f>
        <v/>
      </c>
      <c r="I30" s="13">
        <f>IF(OR(D30="",E30=""),"",IF(IFERROR(INDEX(Stats!$D:$D,MATCH($C30,Stats!$A:$A,0)),FALSE),ROUND(D30+(E30-D30)*(1+G30)*((2-1)/(MaxLevel-1))^(2^F30),0),D30+(E30-D30)*(1+G30)*((2-1)/(MaxLevel-1))^(2^F30)))</f>
        <v/>
      </c>
      <c r="J30" s="13">
        <f>IF(OR(D30="",E30=""),"",IF(IFERROR(INDEX(Stats!$D:$D,MATCH($C30,Stats!$A:$A,0)),FALSE),ROUND(D30+(E30-D30)*(1+G30)*((3-1)/(MaxLevel-1))^(2^F30),0),D30+(E30-D30)*(1+G30)*((3-1)/(MaxLevel-1))^(2^F30)))</f>
        <v/>
      </c>
      <c r="K30" s="13">
        <f>IF(OR(D30="",E30=""),"",IF(IFERROR(INDEX(Stats!$D:$D,MATCH($C30,Stats!$A:$A,0)),FALSE),ROUND(D30+(E30-D30)*(1+G30)*((4-1)/(MaxLevel-1))^(2^F30),0),D30+(E30-D30)*(1+G30)*((4-1)/(MaxLevel-1))^(2^F30)))</f>
        <v/>
      </c>
      <c r="L30" s="13">
        <f>IF(OR(D30="",E30=""),"",IF(IFERROR(INDEX(Stats!$D:$D,MATCH($C30,Stats!$A:$A,0)),FALSE),ROUND(D30+(E30-D30)*(1+G30)*((5-1)/(MaxLevel-1))^(2^F30),0),D30+(E30-D30)*(1+G30)*((5-1)/(MaxLevel-1))^(2^F30)))</f>
        <v/>
      </c>
      <c r="M30" s="13">
        <f>IF(OR(D30="",E30=""),"",IF(IFERROR(INDEX(Stats!$D:$D,MATCH($C30,Stats!$A:$A,0)),FALSE),ROUND(D30+(E30-D30)*(1+G30)*((6-1)/(MaxLevel-1))^(2^F30),0),D30+(E30-D30)*(1+G30)*((6-1)/(MaxLevel-1))^(2^F30)))</f>
        <v/>
      </c>
      <c r="N30" s="13">
        <f>IF(OR(D30="",E30=""),"",IF(IFERROR(INDEX(Stats!$D:$D,MATCH($C30,Stats!$A:$A,0)),FALSE),ROUND(D30+(E30-D30)*(1+G30)*((7-1)/(MaxLevel-1))^(2^F30),0),D30+(E30-D30)*(1+G30)*((7-1)/(MaxLevel-1))^(2^F30)))</f>
        <v/>
      </c>
      <c r="O30" s="13">
        <f>IF(OR(D30="",E30=""),"",IF(IFERROR(INDEX(Stats!$D:$D,MATCH($C30,Stats!$A:$A,0)),FALSE),ROUND(D30+(E30-D30)*(1+G30)*((8-1)/(MaxLevel-1))^(2^F30),0),D30+(E30-D30)*(1+G30)*((8-1)/(MaxLevel-1))^(2^F30)))</f>
        <v/>
      </c>
      <c r="P30" s="13">
        <f>IF(OR(D30="",E30=""),"",IF(IFERROR(INDEX(Stats!$D:$D,MATCH($C30,Stats!$A:$A,0)),FALSE),ROUND(D30+(E30-D30)*(1+G30)*((9-1)/(MaxLevel-1))^(2^F30),0),D30+(E30-D30)*(1+G30)*((9-1)/(MaxLevel-1))^(2^F30)))</f>
        <v/>
      </c>
      <c r="Q30" s="13">
        <f>IF(OR(D30="",E30=""),"",IF(IFERROR(INDEX(Stats!$D:$D,MATCH($C30,Stats!$A:$A,0)),FALSE),ROUND(D30+(E30-D30)*(1+G30)*((10-1)/(MaxLevel-1))^(2^F30),0),D30+(E30-D30)*(1+G30)*((10-1)/(MaxLevel-1))^(2^F30)))</f>
        <v/>
      </c>
    </row>
    <row r="31">
      <c r="A31" s="4" t="inlineStr">
        <is>
          <t>01U</t>
        </is>
      </c>
      <c r="B31" s="4" t="inlineStr">
        <is>
          <t>T1M</t>
        </is>
      </c>
      <c r="C31" s="4" t="inlineStr">
        <is>
          <t>Luck</t>
        </is>
      </c>
      <c r="D31" s="5" t="n"/>
      <c r="E31" s="5" t="n"/>
      <c r="F31" s="5" t="n"/>
      <c r="G31" s="5" t="n"/>
      <c r="H31" s="13">
        <f>IF(OR(D31="",E31=""),"",IF(IFERROR(INDEX(Stats!$D:$D,MATCH($C31,Stats!$A:$A,0)),FALSE),ROUND(D31+(E31-D31)*(1+G31)*((1-1)/(MaxLevel-1))^(2^F31),0),D31+(E31-D31)*(1+G31)*((1-1)/(MaxLevel-1))^(2^F31)))</f>
        <v/>
      </c>
      <c r="I31" s="13">
        <f>IF(OR(D31="",E31=""),"",IF(IFERROR(INDEX(Stats!$D:$D,MATCH($C31,Stats!$A:$A,0)),FALSE),ROUND(D31+(E31-D31)*(1+G31)*((2-1)/(MaxLevel-1))^(2^F31),0),D31+(E31-D31)*(1+G31)*((2-1)/(MaxLevel-1))^(2^F31)))</f>
        <v/>
      </c>
      <c r="J31" s="13">
        <f>IF(OR(D31="",E31=""),"",IF(IFERROR(INDEX(Stats!$D:$D,MATCH($C31,Stats!$A:$A,0)),FALSE),ROUND(D31+(E31-D31)*(1+G31)*((3-1)/(MaxLevel-1))^(2^F31),0),D31+(E31-D31)*(1+G31)*((3-1)/(MaxLevel-1))^(2^F31)))</f>
        <v/>
      </c>
      <c r="K31" s="13">
        <f>IF(OR(D31="",E31=""),"",IF(IFERROR(INDEX(Stats!$D:$D,MATCH($C31,Stats!$A:$A,0)),FALSE),ROUND(D31+(E31-D31)*(1+G31)*((4-1)/(MaxLevel-1))^(2^F31),0),D31+(E31-D31)*(1+G31)*((4-1)/(MaxLevel-1))^(2^F31)))</f>
        <v/>
      </c>
      <c r="L31" s="13">
        <f>IF(OR(D31="",E31=""),"",IF(IFERROR(INDEX(Stats!$D:$D,MATCH($C31,Stats!$A:$A,0)),FALSE),ROUND(D31+(E31-D31)*(1+G31)*((5-1)/(MaxLevel-1))^(2^F31),0),D31+(E31-D31)*(1+G31)*((5-1)/(MaxLevel-1))^(2^F31)))</f>
        <v/>
      </c>
      <c r="M31" s="13">
        <f>IF(OR(D31="",E31=""),"",IF(IFERROR(INDEX(Stats!$D:$D,MATCH($C31,Stats!$A:$A,0)),FALSE),ROUND(D31+(E31-D31)*(1+G31)*((6-1)/(MaxLevel-1))^(2^F31),0),D31+(E31-D31)*(1+G31)*((6-1)/(MaxLevel-1))^(2^F31)))</f>
        <v/>
      </c>
      <c r="N31" s="13">
        <f>IF(OR(D31="",E31=""),"",IF(IFERROR(INDEX(Stats!$D:$D,MATCH($C31,Stats!$A:$A,0)),FALSE),ROUND(D31+(E31-D31)*(1+G31)*((7-1)/(MaxLevel-1))^(2^F31),0),D31+(E31-D31)*(1+G31)*((7-1)/(MaxLevel-1))^(2^F31)))</f>
        <v/>
      </c>
      <c r="O31" s="13">
        <f>IF(OR(D31="",E31=""),"",IF(IFERROR(INDEX(Stats!$D:$D,MATCH($C31,Stats!$A:$A,0)),FALSE),ROUND(D31+(E31-D31)*(1+G31)*((8-1)/(MaxLevel-1))^(2^F31),0),D31+(E31-D31)*(1+G31)*((8-1)/(MaxLevel-1))^(2^F31)))</f>
        <v/>
      </c>
      <c r="P31" s="13">
        <f>IF(OR(D31="",E31=""),"",IF(IFERROR(INDEX(Stats!$D:$D,MATCH($C31,Stats!$A:$A,0)),FALSE),ROUND(D31+(E31-D31)*(1+G31)*((9-1)/(MaxLevel-1))^(2^F31),0),D31+(E31-D31)*(1+G31)*((9-1)/(MaxLevel-1))^(2^F31)))</f>
        <v/>
      </c>
      <c r="Q31" s="13">
        <f>IF(OR(D31="",E31=""),"",IF(IFERROR(INDEX(Stats!$D:$D,MATCH($C31,Stats!$A:$A,0)),FALSE),ROUND(D31+(E31-D31)*(1+G31)*((10-1)/(MaxLevel-1))^(2^F31),0),D31+(E31-D31)*(1+G31)*((10-1)/(MaxLevel-1))^(2^F31)))</f>
        <v/>
      </c>
    </row>
    <row r="32">
      <c r="A32" s="4" t="inlineStr">
        <is>
          <t>01U</t>
        </is>
      </c>
      <c r="B32" s="4" t="inlineStr">
        <is>
          <t>T1M</t>
        </is>
      </c>
      <c r="C32" s="4" t="inlineStr">
        <is>
          <t>Weight</t>
        </is>
      </c>
      <c r="D32" s="5" t="n"/>
      <c r="E32" s="5" t="n"/>
      <c r="F32" s="5" t="n"/>
      <c r="G32" s="5" t="n"/>
      <c r="H32" s="13">
        <f>IF(OR(D32="",E32=""),"",IF(IFERROR(INDEX(Stats!$D:$D,MATCH($C32,Stats!$A:$A,0)),FALSE),ROUND(D32+(E32-D32)*(1+G32)*((1-1)/(MaxLevel-1))^(2^F32),0),D32+(E32-D32)*(1+G32)*((1-1)/(MaxLevel-1))^(2^F32)))</f>
        <v/>
      </c>
      <c r="I32" s="13">
        <f>IF(OR(D32="",E32=""),"",IF(IFERROR(INDEX(Stats!$D:$D,MATCH($C32,Stats!$A:$A,0)),FALSE),ROUND(D32+(E32-D32)*(1+G32)*((2-1)/(MaxLevel-1))^(2^F32),0),D32+(E32-D32)*(1+G32)*((2-1)/(MaxLevel-1))^(2^F32)))</f>
        <v/>
      </c>
      <c r="J32" s="13">
        <f>IF(OR(D32="",E32=""),"",IF(IFERROR(INDEX(Stats!$D:$D,MATCH($C32,Stats!$A:$A,0)),FALSE),ROUND(D32+(E32-D32)*(1+G32)*((3-1)/(MaxLevel-1))^(2^F32),0),D32+(E32-D32)*(1+G32)*((3-1)/(MaxLevel-1))^(2^F32)))</f>
        <v/>
      </c>
      <c r="K32" s="13">
        <f>IF(OR(D32="",E32=""),"",IF(IFERROR(INDEX(Stats!$D:$D,MATCH($C32,Stats!$A:$A,0)),FALSE),ROUND(D32+(E32-D32)*(1+G32)*((4-1)/(MaxLevel-1))^(2^F32),0),D32+(E32-D32)*(1+G32)*((4-1)/(MaxLevel-1))^(2^F32)))</f>
        <v/>
      </c>
      <c r="L32" s="13">
        <f>IF(OR(D32="",E32=""),"",IF(IFERROR(INDEX(Stats!$D:$D,MATCH($C32,Stats!$A:$A,0)),FALSE),ROUND(D32+(E32-D32)*(1+G32)*((5-1)/(MaxLevel-1))^(2^F32),0),D32+(E32-D32)*(1+G32)*((5-1)/(MaxLevel-1))^(2^F32)))</f>
        <v/>
      </c>
      <c r="M32" s="13">
        <f>IF(OR(D32="",E32=""),"",IF(IFERROR(INDEX(Stats!$D:$D,MATCH($C32,Stats!$A:$A,0)),FALSE),ROUND(D32+(E32-D32)*(1+G32)*((6-1)/(MaxLevel-1))^(2^F32),0),D32+(E32-D32)*(1+G32)*((6-1)/(MaxLevel-1))^(2^F32)))</f>
        <v/>
      </c>
      <c r="N32" s="13">
        <f>IF(OR(D32="",E32=""),"",IF(IFERROR(INDEX(Stats!$D:$D,MATCH($C32,Stats!$A:$A,0)),FALSE),ROUND(D32+(E32-D32)*(1+G32)*((7-1)/(MaxLevel-1))^(2^F32),0),D32+(E32-D32)*(1+G32)*((7-1)/(MaxLevel-1))^(2^F32)))</f>
        <v/>
      </c>
      <c r="O32" s="13">
        <f>IF(OR(D32="",E32=""),"",IF(IFERROR(INDEX(Stats!$D:$D,MATCH($C32,Stats!$A:$A,0)),FALSE),ROUND(D32+(E32-D32)*(1+G32)*((8-1)/(MaxLevel-1))^(2^F32),0),D32+(E32-D32)*(1+G32)*((8-1)/(MaxLevel-1))^(2^F32)))</f>
        <v/>
      </c>
      <c r="P32" s="13">
        <f>IF(OR(D32="",E32=""),"",IF(IFERROR(INDEX(Stats!$D:$D,MATCH($C32,Stats!$A:$A,0)),FALSE),ROUND(D32+(E32-D32)*(1+G32)*((9-1)/(MaxLevel-1))^(2^F32),0),D32+(E32-D32)*(1+G32)*((9-1)/(MaxLevel-1))^(2^F32)))</f>
        <v/>
      </c>
      <c r="Q32" s="13">
        <f>IF(OR(D32="",E32=""),"",IF(IFERROR(INDEX(Stats!$D:$D,MATCH($C32,Stats!$A:$A,0)),FALSE),ROUND(D32+(E32-D32)*(1+G32)*((10-1)/(MaxLevel-1))^(2^F32),0),D32+(E32-D32)*(1+G32)*((10-1)/(MaxLevel-1))^(2^F32)))</f>
        <v/>
      </c>
    </row>
    <row r="33">
      <c r="A33" s="4" t="inlineStr">
        <is>
          <t>01U</t>
        </is>
      </c>
      <c r="B33" s="4" t="inlineStr">
        <is>
          <t>T1M</t>
        </is>
      </c>
      <c r="C33" s="4" t="inlineStr">
        <is>
          <t>WorkingCost</t>
        </is>
      </c>
      <c r="D33" s="5" t="n"/>
      <c r="E33" s="5" t="n"/>
      <c r="F33" s="5" t="n"/>
      <c r="G33" s="5" t="n"/>
      <c r="H33" s="13">
        <f>IF(OR(D33="",E33=""),"",IF(IFERROR(INDEX(Stats!$D:$D,MATCH($C33,Stats!$A:$A,0)),FALSE),ROUND(D33+(E33-D33)*(1+G33)*((1-1)/(MaxLevel-1))^(2^F33),0),D33+(E33-D33)*(1+G33)*((1-1)/(MaxLevel-1))^(2^F33)))</f>
        <v/>
      </c>
      <c r="I33" s="13">
        <f>IF(OR(D33="",E33=""),"",IF(IFERROR(INDEX(Stats!$D:$D,MATCH($C33,Stats!$A:$A,0)),FALSE),ROUND(D33+(E33-D33)*(1+G33)*((2-1)/(MaxLevel-1))^(2^F33),0),D33+(E33-D33)*(1+G33)*((2-1)/(MaxLevel-1))^(2^F33)))</f>
        <v/>
      </c>
      <c r="J33" s="13">
        <f>IF(OR(D33="",E33=""),"",IF(IFERROR(INDEX(Stats!$D:$D,MATCH($C33,Stats!$A:$A,0)),FALSE),ROUND(D33+(E33-D33)*(1+G33)*((3-1)/(MaxLevel-1))^(2^F33),0),D33+(E33-D33)*(1+G33)*((3-1)/(MaxLevel-1))^(2^F33)))</f>
        <v/>
      </c>
      <c r="K33" s="13">
        <f>IF(OR(D33="",E33=""),"",IF(IFERROR(INDEX(Stats!$D:$D,MATCH($C33,Stats!$A:$A,0)),FALSE),ROUND(D33+(E33-D33)*(1+G33)*((4-1)/(MaxLevel-1))^(2^F33),0),D33+(E33-D33)*(1+G33)*((4-1)/(MaxLevel-1))^(2^F33)))</f>
        <v/>
      </c>
      <c r="L33" s="13">
        <f>IF(OR(D33="",E33=""),"",IF(IFERROR(INDEX(Stats!$D:$D,MATCH($C33,Stats!$A:$A,0)),FALSE),ROUND(D33+(E33-D33)*(1+G33)*((5-1)/(MaxLevel-1))^(2^F33),0),D33+(E33-D33)*(1+G33)*((5-1)/(MaxLevel-1))^(2^F33)))</f>
        <v/>
      </c>
      <c r="M33" s="13">
        <f>IF(OR(D33="",E33=""),"",IF(IFERROR(INDEX(Stats!$D:$D,MATCH($C33,Stats!$A:$A,0)),FALSE),ROUND(D33+(E33-D33)*(1+G33)*((6-1)/(MaxLevel-1))^(2^F33),0),D33+(E33-D33)*(1+G33)*((6-1)/(MaxLevel-1))^(2^F33)))</f>
        <v/>
      </c>
      <c r="N33" s="13">
        <f>IF(OR(D33="",E33=""),"",IF(IFERROR(INDEX(Stats!$D:$D,MATCH($C33,Stats!$A:$A,0)),FALSE),ROUND(D33+(E33-D33)*(1+G33)*((7-1)/(MaxLevel-1))^(2^F33),0),D33+(E33-D33)*(1+G33)*((7-1)/(MaxLevel-1))^(2^F33)))</f>
        <v/>
      </c>
      <c r="O33" s="13">
        <f>IF(OR(D33="",E33=""),"",IF(IFERROR(INDEX(Stats!$D:$D,MATCH($C33,Stats!$A:$A,0)),FALSE),ROUND(D33+(E33-D33)*(1+G33)*((8-1)/(MaxLevel-1))^(2^F33),0),D33+(E33-D33)*(1+G33)*((8-1)/(MaxLevel-1))^(2^F33)))</f>
        <v/>
      </c>
      <c r="P33" s="13">
        <f>IF(OR(D33="",E33=""),"",IF(IFERROR(INDEX(Stats!$D:$D,MATCH($C33,Stats!$A:$A,0)),FALSE),ROUND(D33+(E33-D33)*(1+G33)*((9-1)/(MaxLevel-1))^(2^F33),0),D33+(E33-D33)*(1+G33)*((9-1)/(MaxLevel-1))^(2^F33)))</f>
        <v/>
      </c>
      <c r="Q33" s="13">
        <f>IF(OR(D33="",E33=""),"",IF(IFERROR(INDEX(Stats!$D:$D,MATCH($C33,Stats!$A:$A,0)),FALSE),ROUND(D33+(E33-D33)*(1+G33)*((10-1)/(MaxLevel-1))^(2^F33),0),D33+(E33-D33)*(1+G33)*((10-1)/(MaxLevel-1))^(2^F33)))</f>
        <v/>
      </c>
    </row>
    <row r="34">
      <c r="A34" s="4" t="inlineStr">
        <is>
          <t>01U</t>
        </is>
      </c>
      <c r="B34" s="4" t="inlineStr">
        <is>
          <t>T1M</t>
        </is>
      </c>
      <c r="C34" s="4" t="inlineStr">
        <is>
          <t>SkillResearch</t>
        </is>
      </c>
      <c r="D34" s="5" t="n"/>
      <c r="E34" s="5" t="n"/>
      <c r="F34" s="5" t="n"/>
      <c r="G34" s="5" t="n"/>
      <c r="H34" s="13">
        <f>IF(OR(D34="",E34=""),"",IF(IFERROR(INDEX(Stats!$D:$D,MATCH($C34,Stats!$A:$A,0)),FALSE),ROUND(D34+(E34-D34)*(1+G34)*((1-1)/(MaxLevel-1))^(2^F34),0),D34+(E34-D34)*(1+G34)*((1-1)/(MaxLevel-1))^(2^F34)))</f>
        <v/>
      </c>
      <c r="I34" s="13">
        <f>IF(OR(D34="",E34=""),"",IF(IFERROR(INDEX(Stats!$D:$D,MATCH($C34,Stats!$A:$A,0)),FALSE),ROUND(D34+(E34-D34)*(1+G34)*((2-1)/(MaxLevel-1))^(2^F34),0),D34+(E34-D34)*(1+G34)*((2-1)/(MaxLevel-1))^(2^F34)))</f>
        <v/>
      </c>
      <c r="J34" s="13">
        <f>IF(OR(D34="",E34=""),"",IF(IFERROR(INDEX(Stats!$D:$D,MATCH($C34,Stats!$A:$A,0)),FALSE),ROUND(D34+(E34-D34)*(1+G34)*((3-1)/(MaxLevel-1))^(2^F34),0),D34+(E34-D34)*(1+G34)*((3-1)/(MaxLevel-1))^(2^F34)))</f>
        <v/>
      </c>
      <c r="K34" s="13">
        <f>IF(OR(D34="",E34=""),"",IF(IFERROR(INDEX(Stats!$D:$D,MATCH($C34,Stats!$A:$A,0)),FALSE),ROUND(D34+(E34-D34)*(1+G34)*((4-1)/(MaxLevel-1))^(2^F34),0),D34+(E34-D34)*(1+G34)*((4-1)/(MaxLevel-1))^(2^F34)))</f>
        <v/>
      </c>
      <c r="L34" s="13">
        <f>IF(OR(D34="",E34=""),"",IF(IFERROR(INDEX(Stats!$D:$D,MATCH($C34,Stats!$A:$A,0)),FALSE),ROUND(D34+(E34-D34)*(1+G34)*((5-1)/(MaxLevel-1))^(2^F34),0),D34+(E34-D34)*(1+G34)*((5-1)/(MaxLevel-1))^(2^F34)))</f>
        <v/>
      </c>
      <c r="M34" s="13">
        <f>IF(OR(D34="",E34=""),"",IF(IFERROR(INDEX(Stats!$D:$D,MATCH($C34,Stats!$A:$A,0)),FALSE),ROUND(D34+(E34-D34)*(1+G34)*((6-1)/(MaxLevel-1))^(2^F34),0),D34+(E34-D34)*(1+G34)*((6-1)/(MaxLevel-1))^(2^F34)))</f>
        <v/>
      </c>
      <c r="N34" s="13">
        <f>IF(OR(D34="",E34=""),"",IF(IFERROR(INDEX(Stats!$D:$D,MATCH($C34,Stats!$A:$A,0)),FALSE),ROUND(D34+(E34-D34)*(1+G34)*((7-1)/(MaxLevel-1))^(2^F34),0),D34+(E34-D34)*(1+G34)*((7-1)/(MaxLevel-1))^(2^F34)))</f>
        <v/>
      </c>
      <c r="O34" s="13">
        <f>IF(OR(D34="",E34=""),"",IF(IFERROR(INDEX(Stats!$D:$D,MATCH($C34,Stats!$A:$A,0)),FALSE),ROUND(D34+(E34-D34)*(1+G34)*((8-1)/(MaxLevel-1))^(2^F34),0),D34+(E34-D34)*(1+G34)*((8-1)/(MaxLevel-1))^(2^F34)))</f>
        <v/>
      </c>
      <c r="P34" s="13">
        <f>IF(OR(D34="",E34=""),"",IF(IFERROR(INDEX(Stats!$D:$D,MATCH($C34,Stats!$A:$A,0)),FALSE),ROUND(D34+(E34-D34)*(1+G34)*((9-1)/(MaxLevel-1))^(2^F34),0),D34+(E34-D34)*(1+G34)*((9-1)/(MaxLevel-1))^(2^F34)))</f>
        <v/>
      </c>
      <c r="Q34" s="13">
        <f>IF(OR(D34="",E34=""),"",IF(IFERROR(INDEX(Stats!$D:$D,MATCH($C34,Stats!$A:$A,0)),FALSE),ROUND(D34+(E34-D34)*(1+G34)*((10-1)/(MaxLevel-1))^(2^F34),0),D34+(E34-D34)*(1+G34)*((10-1)/(MaxLevel-1))^(2^F34)))</f>
        <v/>
      </c>
    </row>
    <row r="35">
      <c r="A35" s="4" t="inlineStr">
        <is>
          <t>01U</t>
        </is>
      </c>
      <c r="B35" s="4" t="inlineStr">
        <is>
          <t>T1M</t>
        </is>
      </c>
      <c r="C35" s="4" t="inlineStr">
        <is>
          <t>SkillTrain</t>
        </is>
      </c>
      <c r="D35" s="5" t="n"/>
      <c r="E35" s="5" t="n"/>
      <c r="F35" s="5" t="n"/>
      <c r="G35" s="5" t="n"/>
      <c r="H35" s="13">
        <f>IF(OR(D35="",E35=""),"",IF(IFERROR(INDEX(Stats!$D:$D,MATCH($C35,Stats!$A:$A,0)),FALSE),ROUND(D35+(E35-D35)*(1+G35)*((1-1)/(MaxLevel-1))^(2^F35),0),D35+(E35-D35)*(1+G35)*((1-1)/(MaxLevel-1))^(2^F35)))</f>
        <v/>
      </c>
      <c r="I35" s="13">
        <f>IF(OR(D35="",E35=""),"",IF(IFERROR(INDEX(Stats!$D:$D,MATCH($C35,Stats!$A:$A,0)),FALSE),ROUND(D35+(E35-D35)*(1+G35)*((2-1)/(MaxLevel-1))^(2^F35),0),D35+(E35-D35)*(1+G35)*((2-1)/(MaxLevel-1))^(2^F35)))</f>
        <v/>
      </c>
      <c r="J35" s="13">
        <f>IF(OR(D35="",E35=""),"",IF(IFERROR(INDEX(Stats!$D:$D,MATCH($C35,Stats!$A:$A,0)),FALSE),ROUND(D35+(E35-D35)*(1+G35)*((3-1)/(MaxLevel-1))^(2^F35),0),D35+(E35-D35)*(1+G35)*((3-1)/(MaxLevel-1))^(2^F35)))</f>
        <v/>
      </c>
      <c r="K35" s="13">
        <f>IF(OR(D35="",E35=""),"",IF(IFERROR(INDEX(Stats!$D:$D,MATCH($C35,Stats!$A:$A,0)),FALSE),ROUND(D35+(E35-D35)*(1+G35)*((4-1)/(MaxLevel-1))^(2^F35),0),D35+(E35-D35)*(1+G35)*((4-1)/(MaxLevel-1))^(2^F35)))</f>
        <v/>
      </c>
      <c r="L35" s="13">
        <f>IF(OR(D35="",E35=""),"",IF(IFERROR(INDEX(Stats!$D:$D,MATCH($C35,Stats!$A:$A,0)),FALSE),ROUND(D35+(E35-D35)*(1+G35)*((5-1)/(MaxLevel-1))^(2^F35),0),D35+(E35-D35)*(1+G35)*((5-1)/(MaxLevel-1))^(2^F35)))</f>
        <v/>
      </c>
      <c r="M35" s="13">
        <f>IF(OR(D35="",E35=""),"",IF(IFERROR(INDEX(Stats!$D:$D,MATCH($C35,Stats!$A:$A,0)),FALSE),ROUND(D35+(E35-D35)*(1+G35)*((6-1)/(MaxLevel-1))^(2^F35),0),D35+(E35-D35)*(1+G35)*((6-1)/(MaxLevel-1))^(2^F35)))</f>
        <v/>
      </c>
      <c r="N35" s="13">
        <f>IF(OR(D35="",E35=""),"",IF(IFERROR(INDEX(Stats!$D:$D,MATCH($C35,Stats!$A:$A,0)),FALSE),ROUND(D35+(E35-D35)*(1+G35)*((7-1)/(MaxLevel-1))^(2^F35),0),D35+(E35-D35)*(1+G35)*((7-1)/(MaxLevel-1))^(2^F35)))</f>
        <v/>
      </c>
      <c r="O35" s="13">
        <f>IF(OR(D35="",E35=""),"",IF(IFERROR(INDEX(Stats!$D:$D,MATCH($C35,Stats!$A:$A,0)),FALSE),ROUND(D35+(E35-D35)*(1+G35)*((8-1)/(MaxLevel-1))^(2^F35),0),D35+(E35-D35)*(1+G35)*((8-1)/(MaxLevel-1))^(2^F35)))</f>
        <v/>
      </c>
      <c r="P35" s="13">
        <f>IF(OR(D35="",E35=""),"",IF(IFERROR(INDEX(Stats!$D:$D,MATCH($C35,Stats!$A:$A,0)),FALSE),ROUND(D35+(E35-D35)*(1+G35)*((9-1)/(MaxLevel-1))^(2^F35),0),D35+(E35-D35)*(1+G35)*((9-1)/(MaxLevel-1))^(2^F35)))</f>
        <v/>
      </c>
      <c r="Q35" s="13">
        <f>IF(OR(D35="",E35=""),"",IF(IFERROR(INDEX(Stats!$D:$D,MATCH($C35,Stats!$A:$A,0)),FALSE),ROUND(D35+(E35-D35)*(1+G35)*((10-1)/(MaxLevel-1))^(2^F35),0),D35+(E35-D35)*(1+G35)*((10-1)/(MaxLevel-1))^(2^F35)))</f>
        <v/>
      </c>
    </row>
    <row r="36">
      <c r="A36" s="4" t="inlineStr">
        <is>
          <t>01U</t>
        </is>
      </c>
      <c r="B36" s="4" t="inlineStr">
        <is>
          <t>T1M</t>
        </is>
      </c>
      <c r="C36" s="4" t="inlineStr">
        <is>
          <t>SkillBuild</t>
        </is>
      </c>
      <c r="D36" s="5" t="n"/>
      <c r="E36" s="5" t="n"/>
      <c r="F36" s="5" t="n"/>
      <c r="G36" s="5" t="n"/>
      <c r="H36" s="13">
        <f>IF(OR(D36="",E36=""),"",IF(IFERROR(INDEX(Stats!$D:$D,MATCH($C36,Stats!$A:$A,0)),FALSE),ROUND(D36+(E36-D36)*(1+G36)*((1-1)/(MaxLevel-1))^(2^F36),0),D36+(E36-D36)*(1+G36)*((1-1)/(MaxLevel-1))^(2^F36)))</f>
        <v/>
      </c>
      <c r="I36" s="13">
        <f>IF(OR(D36="",E36=""),"",IF(IFERROR(INDEX(Stats!$D:$D,MATCH($C36,Stats!$A:$A,0)),FALSE),ROUND(D36+(E36-D36)*(1+G36)*((2-1)/(MaxLevel-1))^(2^F36),0),D36+(E36-D36)*(1+G36)*((2-1)/(MaxLevel-1))^(2^F36)))</f>
        <v/>
      </c>
      <c r="J36" s="13">
        <f>IF(OR(D36="",E36=""),"",IF(IFERROR(INDEX(Stats!$D:$D,MATCH($C36,Stats!$A:$A,0)),FALSE),ROUND(D36+(E36-D36)*(1+G36)*((3-1)/(MaxLevel-1))^(2^F36),0),D36+(E36-D36)*(1+G36)*((3-1)/(MaxLevel-1))^(2^F36)))</f>
        <v/>
      </c>
      <c r="K36" s="13">
        <f>IF(OR(D36="",E36=""),"",IF(IFERROR(INDEX(Stats!$D:$D,MATCH($C36,Stats!$A:$A,0)),FALSE),ROUND(D36+(E36-D36)*(1+G36)*((4-1)/(MaxLevel-1))^(2^F36),0),D36+(E36-D36)*(1+G36)*((4-1)/(MaxLevel-1))^(2^F36)))</f>
        <v/>
      </c>
      <c r="L36" s="13">
        <f>IF(OR(D36="",E36=""),"",IF(IFERROR(INDEX(Stats!$D:$D,MATCH($C36,Stats!$A:$A,0)),FALSE),ROUND(D36+(E36-D36)*(1+G36)*((5-1)/(MaxLevel-1))^(2^F36),0),D36+(E36-D36)*(1+G36)*((5-1)/(MaxLevel-1))^(2^F36)))</f>
        <v/>
      </c>
      <c r="M36" s="13">
        <f>IF(OR(D36="",E36=""),"",IF(IFERROR(INDEX(Stats!$D:$D,MATCH($C36,Stats!$A:$A,0)),FALSE),ROUND(D36+(E36-D36)*(1+G36)*((6-1)/(MaxLevel-1))^(2^F36),0),D36+(E36-D36)*(1+G36)*((6-1)/(MaxLevel-1))^(2^F36)))</f>
        <v/>
      </c>
      <c r="N36" s="13">
        <f>IF(OR(D36="",E36=""),"",IF(IFERROR(INDEX(Stats!$D:$D,MATCH($C36,Stats!$A:$A,0)),FALSE),ROUND(D36+(E36-D36)*(1+G36)*((7-1)/(MaxLevel-1))^(2^F36),0),D36+(E36-D36)*(1+G36)*((7-1)/(MaxLevel-1))^(2^F36)))</f>
        <v/>
      </c>
      <c r="O36" s="13">
        <f>IF(OR(D36="",E36=""),"",IF(IFERROR(INDEX(Stats!$D:$D,MATCH($C36,Stats!$A:$A,0)),FALSE),ROUND(D36+(E36-D36)*(1+G36)*((8-1)/(MaxLevel-1))^(2^F36),0),D36+(E36-D36)*(1+G36)*((8-1)/(MaxLevel-1))^(2^F36)))</f>
        <v/>
      </c>
      <c r="P36" s="13">
        <f>IF(OR(D36="",E36=""),"",IF(IFERROR(INDEX(Stats!$D:$D,MATCH($C36,Stats!$A:$A,0)),FALSE),ROUND(D36+(E36-D36)*(1+G36)*((9-1)/(MaxLevel-1))^(2^F36),0),D36+(E36-D36)*(1+G36)*((9-1)/(MaxLevel-1))^(2^F36)))</f>
        <v/>
      </c>
      <c r="Q36" s="13">
        <f>IF(OR(D36="",E36=""),"",IF(IFERROR(INDEX(Stats!$D:$D,MATCH($C36,Stats!$A:$A,0)),FALSE),ROUND(D36+(E36-D36)*(1+G36)*((10-1)/(MaxLevel-1))^(2^F36),0),D36+(E36-D36)*(1+G36)*((10-1)/(MaxLevel-1))^(2^F36)))</f>
        <v/>
      </c>
    </row>
    <row r="37">
      <c r="A37" s="4" t="inlineStr">
        <is>
          <t>01U</t>
        </is>
      </c>
      <c r="B37" s="4" t="inlineStr">
        <is>
          <t>T1M</t>
        </is>
      </c>
      <c r="C37" s="4" t="inlineStr">
        <is>
          <t>SkillPray</t>
        </is>
      </c>
      <c r="D37" s="5" t="n"/>
      <c r="E37" s="5" t="n"/>
      <c r="F37" s="5" t="n"/>
      <c r="G37" s="5" t="n"/>
      <c r="H37" s="13">
        <f>IF(OR(D37="",E37=""),"",IF(IFERROR(INDEX(Stats!$D:$D,MATCH($C37,Stats!$A:$A,0)),FALSE),ROUND(D37+(E37-D37)*(1+G37)*((1-1)/(MaxLevel-1))^(2^F37),0),D37+(E37-D37)*(1+G37)*((1-1)/(MaxLevel-1))^(2^F37)))</f>
        <v/>
      </c>
      <c r="I37" s="13">
        <f>IF(OR(D37="",E37=""),"",IF(IFERROR(INDEX(Stats!$D:$D,MATCH($C37,Stats!$A:$A,0)),FALSE),ROUND(D37+(E37-D37)*(1+G37)*((2-1)/(MaxLevel-1))^(2^F37),0),D37+(E37-D37)*(1+G37)*((2-1)/(MaxLevel-1))^(2^F37)))</f>
        <v/>
      </c>
      <c r="J37" s="13">
        <f>IF(OR(D37="",E37=""),"",IF(IFERROR(INDEX(Stats!$D:$D,MATCH($C37,Stats!$A:$A,0)),FALSE),ROUND(D37+(E37-D37)*(1+G37)*((3-1)/(MaxLevel-1))^(2^F37),0),D37+(E37-D37)*(1+G37)*((3-1)/(MaxLevel-1))^(2^F37)))</f>
        <v/>
      </c>
      <c r="K37" s="13">
        <f>IF(OR(D37="",E37=""),"",IF(IFERROR(INDEX(Stats!$D:$D,MATCH($C37,Stats!$A:$A,0)),FALSE),ROUND(D37+(E37-D37)*(1+G37)*((4-1)/(MaxLevel-1))^(2^F37),0),D37+(E37-D37)*(1+G37)*((4-1)/(MaxLevel-1))^(2^F37)))</f>
        <v/>
      </c>
      <c r="L37" s="13">
        <f>IF(OR(D37="",E37=""),"",IF(IFERROR(INDEX(Stats!$D:$D,MATCH($C37,Stats!$A:$A,0)),FALSE),ROUND(D37+(E37-D37)*(1+G37)*((5-1)/(MaxLevel-1))^(2^F37),0),D37+(E37-D37)*(1+G37)*((5-1)/(MaxLevel-1))^(2^F37)))</f>
        <v/>
      </c>
      <c r="M37" s="13">
        <f>IF(OR(D37="",E37=""),"",IF(IFERROR(INDEX(Stats!$D:$D,MATCH($C37,Stats!$A:$A,0)),FALSE),ROUND(D37+(E37-D37)*(1+G37)*((6-1)/(MaxLevel-1))^(2^F37),0),D37+(E37-D37)*(1+G37)*((6-1)/(MaxLevel-1))^(2^F37)))</f>
        <v/>
      </c>
      <c r="N37" s="13">
        <f>IF(OR(D37="",E37=""),"",IF(IFERROR(INDEX(Stats!$D:$D,MATCH($C37,Stats!$A:$A,0)),FALSE),ROUND(D37+(E37-D37)*(1+G37)*((7-1)/(MaxLevel-1))^(2^F37),0),D37+(E37-D37)*(1+G37)*((7-1)/(MaxLevel-1))^(2^F37)))</f>
        <v/>
      </c>
      <c r="O37" s="13">
        <f>IF(OR(D37="",E37=""),"",IF(IFERROR(INDEX(Stats!$D:$D,MATCH($C37,Stats!$A:$A,0)),FALSE),ROUND(D37+(E37-D37)*(1+G37)*((8-1)/(MaxLevel-1))^(2^F37),0),D37+(E37-D37)*(1+G37)*((8-1)/(MaxLevel-1))^(2^F37)))</f>
        <v/>
      </c>
      <c r="P37" s="13">
        <f>IF(OR(D37="",E37=""),"",IF(IFERROR(INDEX(Stats!$D:$D,MATCH($C37,Stats!$A:$A,0)),FALSE),ROUND(D37+(E37-D37)*(1+G37)*((9-1)/(MaxLevel-1))^(2^F37),0),D37+(E37-D37)*(1+G37)*((9-1)/(MaxLevel-1))^(2^F37)))</f>
        <v/>
      </c>
      <c r="Q37" s="13">
        <f>IF(OR(D37="",E37=""),"",IF(IFERROR(INDEX(Stats!$D:$D,MATCH($C37,Stats!$A:$A,0)),FALSE),ROUND(D37+(E37-D37)*(1+G37)*((10-1)/(MaxLevel-1))^(2^F37),0),D37+(E37-D37)*(1+G37)*((10-1)/(MaxLevel-1))^(2^F37)))</f>
        <v/>
      </c>
    </row>
    <row r="38">
      <c r="A38" s="4" t="inlineStr">
        <is>
          <t>01U</t>
        </is>
      </c>
      <c r="B38" s="4" t="inlineStr">
        <is>
          <t>T1M</t>
        </is>
      </c>
      <c r="C38" s="4" t="inlineStr">
        <is>
          <t>SkillTorture</t>
        </is>
      </c>
      <c r="D38" s="5" t="n"/>
      <c r="E38" s="5" t="n"/>
      <c r="F38" s="5" t="n"/>
      <c r="G38" s="5" t="n"/>
      <c r="H38" s="13">
        <f>IF(OR(D38="",E38=""),"",IF(IFERROR(INDEX(Stats!$D:$D,MATCH($C38,Stats!$A:$A,0)),FALSE),ROUND(D38+(E38-D38)*(1+G38)*((1-1)/(MaxLevel-1))^(2^F38),0),D38+(E38-D38)*(1+G38)*((1-1)/(MaxLevel-1))^(2^F38)))</f>
        <v/>
      </c>
      <c r="I38" s="13">
        <f>IF(OR(D38="",E38=""),"",IF(IFERROR(INDEX(Stats!$D:$D,MATCH($C38,Stats!$A:$A,0)),FALSE),ROUND(D38+(E38-D38)*(1+G38)*((2-1)/(MaxLevel-1))^(2^F38),0),D38+(E38-D38)*(1+G38)*((2-1)/(MaxLevel-1))^(2^F38)))</f>
        <v/>
      </c>
      <c r="J38" s="13">
        <f>IF(OR(D38="",E38=""),"",IF(IFERROR(INDEX(Stats!$D:$D,MATCH($C38,Stats!$A:$A,0)),FALSE),ROUND(D38+(E38-D38)*(1+G38)*((3-1)/(MaxLevel-1))^(2^F38),0),D38+(E38-D38)*(1+G38)*((3-1)/(MaxLevel-1))^(2^F38)))</f>
        <v/>
      </c>
      <c r="K38" s="13">
        <f>IF(OR(D38="",E38=""),"",IF(IFERROR(INDEX(Stats!$D:$D,MATCH($C38,Stats!$A:$A,0)),FALSE),ROUND(D38+(E38-D38)*(1+G38)*((4-1)/(MaxLevel-1))^(2^F38),0),D38+(E38-D38)*(1+G38)*((4-1)/(MaxLevel-1))^(2^F38)))</f>
        <v/>
      </c>
      <c r="L38" s="13">
        <f>IF(OR(D38="",E38=""),"",IF(IFERROR(INDEX(Stats!$D:$D,MATCH($C38,Stats!$A:$A,0)),FALSE),ROUND(D38+(E38-D38)*(1+G38)*((5-1)/(MaxLevel-1))^(2^F38),0),D38+(E38-D38)*(1+G38)*((5-1)/(MaxLevel-1))^(2^F38)))</f>
        <v/>
      </c>
      <c r="M38" s="13">
        <f>IF(OR(D38="",E38=""),"",IF(IFERROR(INDEX(Stats!$D:$D,MATCH($C38,Stats!$A:$A,0)),FALSE),ROUND(D38+(E38-D38)*(1+G38)*((6-1)/(MaxLevel-1))^(2^F38),0),D38+(E38-D38)*(1+G38)*((6-1)/(MaxLevel-1))^(2^F38)))</f>
        <v/>
      </c>
      <c r="N38" s="13">
        <f>IF(OR(D38="",E38=""),"",IF(IFERROR(INDEX(Stats!$D:$D,MATCH($C38,Stats!$A:$A,0)),FALSE),ROUND(D38+(E38-D38)*(1+G38)*((7-1)/(MaxLevel-1))^(2^F38),0),D38+(E38-D38)*(1+G38)*((7-1)/(MaxLevel-1))^(2^F38)))</f>
        <v/>
      </c>
      <c r="O38" s="13">
        <f>IF(OR(D38="",E38=""),"",IF(IFERROR(INDEX(Stats!$D:$D,MATCH($C38,Stats!$A:$A,0)),FALSE),ROUND(D38+(E38-D38)*(1+G38)*((8-1)/(MaxLevel-1))^(2^F38),0),D38+(E38-D38)*(1+G38)*((8-1)/(MaxLevel-1))^(2^F38)))</f>
        <v/>
      </c>
      <c r="P38" s="13">
        <f>IF(OR(D38="",E38=""),"",IF(IFERROR(INDEX(Stats!$D:$D,MATCH($C38,Stats!$A:$A,0)),FALSE),ROUND(D38+(E38-D38)*(1+G38)*((9-1)/(MaxLevel-1))^(2^F38),0),D38+(E38-D38)*(1+G38)*((9-1)/(MaxLevel-1))^(2^F38)))</f>
        <v/>
      </c>
      <c r="Q38" s="13">
        <f>IF(OR(D38="",E38=""),"",IF(IFERROR(INDEX(Stats!$D:$D,MATCH($C38,Stats!$A:$A,0)),FALSE),ROUND(D38+(E38-D38)*(1+G38)*((10-1)/(MaxLevel-1))^(2^F38),0),D38+(E38-D38)*(1+G38)*((10-1)/(MaxLevel-1))^(2^F38)))</f>
        <v/>
      </c>
    </row>
    <row r="39">
      <c r="A39" s="4" t="inlineStr">
        <is>
          <t>01U</t>
        </is>
      </c>
      <c r="B39" s="4" t="inlineStr">
        <is>
          <t>T1M</t>
        </is>
      </c>
      <c r="C39" s="4" t="inlineStr">
        <is>
          <t>Anger</t>
        </is>
      </c>
      <c r="D39" s="5" t="n"/>
      <c r="E39" s="5" t="n"/>
      <c r="F39" s="5" t="n"/>
      <c r="G39" s="5" t="n"/>
      <c r="H39" s="13">
        <f>IF(OR(D39="",E39=""),"",IF(IFERROR(INDEX(Stats!$D:$D,MATCH($C39,Stats!$A:$A,0)),FALSE),ROUND(D39+(E39-D39)*(1+G39)*((1-1)/(MaxLevel-1))^(2^F39),0),D39+(E39-D39)*(1+G39)*((1-1)/(MaxLevel-1))^(2^F39)))</f>
        <v/>
      </c>
      <c r="I39" s="13">
        <f>IF(OR(D39="",E39=""),"",IF(IFERROR(INDEX(Stats!$D:$D,MATCH($C39,Stats!$A:$A,0)),FALSE),ROUND(D39+(E39-D39)*(1+G39)*((2-1)/(MaxLevel-1))^(2^F39),0),D39+(E39-D39)*(1+G39)*((2-1)/(MaxLevel-1))^(2^F39)))</f>
        <v/>
      </c>
      <c r="J39" s="13">
        <f>IF(OR(D39="",E39=""),"",IF(IFERROR(INDEX(Stats!$D:$D,MATCH($C39,Stats!$A:$A,0)),FALSE),ROUND(D39+(E39-D39)*(1+G39)*((3-1)/(MaxLevel-1))^(2^F39),0),D39+(E39-D39)*(1+G39)*((3-1)/(MaxLevel-1))^(2^F39)))</f>
        <v/>
      </c>
      <c r="K39" s="13">
        <f>IF(OR(D39="",E39=""),"",IF(IFERROR(INDEX(Stats!$D:$D,MATCH($C39,Stats!$A:$A,0)),FALSE),ROUND(D39+(E39-D39)*(1+G39)*((4-1)/(MaxLevel-1))^(2^F39),0),D39+(E39-D39)*(1+G39)*((4-1)/(MaxLevel-1))^(2^F39)))</f>
        <v/>
      </c>
      <c r="L39" s="13">
        <f>IF(OR(D39="",E39=""),"",IF(IFERROR(INDEX(Stats!$D:$D,MATCH($C39,Stats!$A:$A,0)),FALSE),ROUND(D39+(E39-D39)*(1+G39)*((5-1)/(MaxLevel-1))^(2^F39),0),D39+(E39-D39)*(1+G39)*((5-1)/(MaxLevel-1))^(2^F39)))</f>
        <v/>
      </c>
      <c r="M39" s="13">
        <f>IF(OR(D39="",E39=""),"",IF(IFERROR(INDEX(Stats!$D:$D,MATCH($C39,Stats!$A:$A,0)),FALSE),ROUND(D39+(E39-D39)*(1+G39)*((6-1)/(MaxLevel-1))^(2^F39),0),D39+(E39-D39)*(1+G39)*((6-1)/(MaxLevel-1))^(2^F39)))</f>
        <v/>
      </c>
      <c r="N39" s="13">
        <f>IF(OR(D39="",E39=""),"",IF(IFERROR(INDEX(Stats!$D:$D,MATCH($C39,Stats!$A:$A,0)),FALSE),ROUND(D39+(E39-D39)*(1+G39)*((7-1)/(MaxLevel-1))^(2^F39),0),D39+(E39-D39)*(1+G39)*((7-1)/(MaxLevel-1))^(2^F39)))</f>
        <v/>
      </c>
      <c r="O39" s="13">
        <f>IF(OR(D39="",E39=""),"",IF(IFERROR(INDEX(Stats!$D:$D,MATCH($C39,Stats!$A:$A,0)),FALSE),ROUND(D39+(E39-D39)*(1+G39)*((8-1)/(MaxLevel-1))^(2^F39),0),D39+(E39-D39)*(1+G39)*((8-1)/(MaxLevel-1))^(2^F39)))</f>
        <v/>
      </c>
      <c r="P39" s="13">
        <f>IF(OR(D39="",E39=""),"",IF(IFERROR(INDEX(Stats!$D:$D,MATCH($C39,Stats!$A:$A,0)),FALSE),ROUND(D39+(E39-D39)*(1+G39)*((9-1)/(MaxLevel-1))^(2^F39),0),D39+(E39-D39)*(1+G39)*((9-1)/(MaxLevel-1))^(2^F39)))</f>
        <v/>
      </c>
      <c r="Q39" s="13">
        <f>IF(OR(D39="",E39=""),"",IF(IFERROR(INDEX(Stats!$D:$D,MATCH($C39,Stats!$A:$A,0)),FALSE),ROUND(D39+(E39-D39)*(1+G39)*((10-1)/(MaxLevel-1))^(2^F39),0),D39+(E39-D39)*(1+G39)*((10-1)/(MaxLevel-1))^(2^F39)))</f>
        <v/>
      </c>
    </row>
    <row r="40">
      <c r="A40" s="4" t="inlineStr">
        <is>
          <t>01U</t>
        </is>
      </c>
      <c r="B40" s="4" t="inlineStr">
        <is>
          <t>T2F</t>
        </is>
      </c>
      <c r="C40" s="4" t="inlineStr">
        <is>
          <t>Experience</t>
        </is>
      </c>
      <c r="D40" s="5" t="n">
        <v>0</v>
      </c>
      <c r="E40" s="5" t="n">
        <v>10000</v>
      </c>
      <c r="F40" s="5" t="n">
        <v>1</v>
      </c>
      <c r="G40" s="5" t="n">
        <v>0</v>
      </c>
      <c r="H40" s="13">
        <f>IF(OR(D40="",E40=""),"",IF(IFERROR(INDEX(Stats!$D:$D,MATCH($C40,Stats!$A:$A,0)),FALSE),ROUND(D40+(E40-D40)*(1+G40)*((1-1)/(MaxLevel-1))^(2^F40),0),D40+(E40-D40)*(1+G40)*((1-1)/(MaxLevel-1))^(2^F40)))</f>
        <v/>
      </c>
      <c r="I40" s="13">
        <f>IF(OR(D40="",E40=""),"",IF(IFERROR(INDEX(Stats!$D:$D,MATCH($C40,Stats!$A:$A,0)),FALSE),ROUND(D40+(E40-D40)*(1+G40)*((2-1)/(MaxLevel-1))^(2^F40),0),D40+(E40-D40)*(1+G40)*((2-1)/(MaxLevel-1))^(2^F40)))</f>
        <v/>
      </c>
      <c r="J40" s="13">
        <f>IF(OR(D40="",E40=""),"",IF(IFERROR(INDEX(Stats!$D:$D,MATCH($C40,Stats!$A:$A,0)),FALSE),ROUND(D40+(E40-D40)*(1+G40)*((3-1)/(MaxLevel-1))^(2^F40),0),D40+(E40-D40)*(1+G40)*((3-1)/(MaxLevel-1))^(2^F40)))</f>
        <v/>
      </c>
      <c r="K40" s="13">
        <f>IF(OR(D40="",E40=""),"",IF(IFERROR(INDEX(Stats!$D:$D,MATCH($C40,Stats!$A:$A,0)),FALSE),ROUND(D40+(E40-D40)*(1+G40)*((4-1)/(MaxLevel-1))^(2^F40),0),D40+(E40-D40)*(1+G40)*((4-1)/(MaxLevel-1))^(2^F40)))</f>
        <v/>
      </c>
      <c r="L40" s="13">
        <f>IF(OR(D40="",E40=""),"",IF(IFERROR(INDEX(Stats!$D:$D,MATCH($C40,Stats!$A:$A,0)),FALSE),ROUND(D40+(E40-D40)*(1+G40)*((5-1)/(MaxLevel-1))^(2^F40),0),D40+(E40-D40)*(1+G40)*((5-1)/(MaxLevel-1))^(2^F40)))</f>
        <v/>
      </c>
      <c r="M40" s="13">
        <f>IF(OR(D40="",E40=""),"",IF(IFERROR(INDEX(Stats!$D:$D,MATCH($C40,Stats!$A:$A,0)),FALSE),ROUND(D40+(E40-D40)*(1+G40)*((6-1)/(MaxLevel-1))^(2^F40),0),D40+(E40-D40)*(1+G40)*((6-1)/(MaxLevel-1))^(2^F40)))</f>
        <v/>
      </c>
      <c r="N40" s="13">
        <f>IF(OR(D40="",E40=""),"",IF(IFERROR(INDEX(Stats!$D:$D,MATCH($C40,Stats!$A:$A,0)),FALSE),ROUND(D40+(E40-D40)*(1+G40)*((7-1)/(MaxLevel-1))^(2^F40),0),D40+(E40-D40)*(1+G40)*((7-1)/(MaxLevel-1))^(2^F40)))</f>
        <v/>
      </c>
      <c r="O40" s="13">
        <f>IF(OR(D40="",E40=""),"",IF(IFERROR(INDEX(Stats!$D:$D,MATCH($C40,Stats!$A:$A,0)),FALSE),ROUND(D40+(E40-D40)*(1+G40)*((8-1)/(MaxLevel-1))^(2^F40),0),D40+(E40-D40)*(1+G40)*((8-1)/(MaxLevel-1))^(2^F40)))</f>
        <v/>
      </c>
      <c r="P40" s="13">
        <f>IF(OR(D40="",E40=""),"",IF(IFERROR(INDEX(Stats!$D:$D,MATCH($C40,Stats!$A:$A,0)),FALSE),ROUND(D40+(E40-D40)*(1+G40)*((9-1)/(MaxLevel-1))^(2^F40),0),D40+(E40-D40)*(1+G40)*((9-1)/(MaxLevel-1))^(2^F40)))</f>
        <v/>
      </c>
      <c r="Q40" s="13">
        <f>IF(OR(D40="",E40=""),"",IF(IFERROR(INDEX(Stats!$D:$D,MATCH($C40,Stats!$A:$A,0)),FALSE),ROUND(D40+(E40-D40)*(1+G40)*((10-1)/(MaxLevel-1))^(2^F40),0),D40+(E40-D40)*(1+G40)*((10-1)/(MaxLevel-1))^(2^F40)))</f>
        <v/>
      </c>
    </row>
    <row r="41">
      <c r="A41" s="4" t="inlineStr">
        <is>
          <t>01U</t>
        </is>
      </c>
      <c r="B41" s="4" t="inlineStr">
        <is>
          <t>T2F</t>
        </is>
      </c>
      <c r="C41" s="4" t="inlineStr">
        <is>
          <t>Salary</t>
        </is>
      </c>
      <c r="D41" s="5" t="n">
        <v>25</v>
      </c>
      <c r="E41" s="5" t="n">
        <v>150</v>
      </c>
      <c r="F41" s="5" t="n">
        <v>0</v>
      </c>
      <c r="G41" s="5" t="n">
        <v>0</v>
      </c>
      <c r="H41" s="13">
        <f>IF(OR(D41="",E41=""),"",IF(IFERROR(INDEX(Stats!$D:$D,MATCH($C41,Stats!$A:$A,0)),FALSE),ROUND(D41+(E41-D41)*(1+G41)*((1-1)/(MaxLevel-1))^(2^F41),0),D41+(E41-D41)*(1+G41)*((1-1)/(MaxLevel-1))^(2^F41)))</f>
        <v/>
      </c>
      <c r="I41" s="13">
        <f>IF(OR(D41="",E41=""),"",IF(IFERROR(INDEX(Stats!$D:$D,MATCH($C41,Stats!$A:$A,0)),FALSE),ROUND(D41+(E41-D41)*(1+G41)*((2-1)/(MaxLevel-1))^(2^F41),0),D41+(E41-D41)*(1+G41)*((2-1)/(MaxLevel-1))^(2^F41)))</f>
        <v/>
      </c>
      <c r="J41" s="13">
        <f>IF(OR(D41="",E41=""),"",IF(IFERROR(INDEX(Stats!$D:$D,MATCH($C41,Stats!$A:$A,0)),FALSE),ROUND(D41+(E41-D41)*(1+G41)*((3-1)/(MaxLevel-1))^(2^F41),0),D41+(E41-D41)*(1+G41)*((3-1)/(MaxLevel-1))^(2^F41)))</f>
        <v/>
      </c>
      <c r="K41" s="13">
        <f>IF(OR(D41="",E41=""),"",IF(IFERROR(INDEX(Stats!$D:$D,MATCH($C41,Stats!$A:$A,0)),FALSE),ROUND(D41+(E41-D41)*(1+G41)*((4-1)/(MaxLevel-1))^(2^F41),0),D41+(E41-D41)*(1+G41)*((4-1)/(MaxLevel-1))^(2^F41)))</f>
        <v/>
      </c>
      <c r="L41" s="13">
        <f>IF(OR(D41="",E41=""),"",IF(IFERROR(INDEX(Stats!$D:$D,MATCH($C41,Stats!$A:$A,0)),FALSE),ROUND(D41+(E41-D41)*(1+G41)*((5-1)/(MaxLevel-1))^(2^F41),0),D41+(E41-D41)*(1+G41)*((5-1)/(MaxLevel-1))^(2^F41)))</f>
        <v/>
      </c>
      <c r="M41" s="13">
        <f>IF(OR(D41="",E41=""),"",IF(IFERROR(INDEX(Stats!$D:$D,MATCH($C41,Stats!$A:$A,0)),FALSE),ROUND(D41+(E41-D41)*(1+G41)*((6-1)/(MaxLevel-1))^(2^F41),0),D41+(E41-D41)*(1+G41)*((6-1)/(MaxLevel-1))^(2^F41)))</f>
        <v/>
      </c>
      <c r="N41" s="13">
        <f>IF(OR(D41="",E41=""),"",IF(IFERROR(INDEX(Stats!$D:$D,MATCH($C41,Stats!$A:$A,0)),FALSE),ROUND(D41+(E41-D41)*(1+G41)*((7-1)/(MaxLevel-1))^(2^F41),0),D41+(E41-D41)*(1+G41)*((7-1)/(MaxLevel-1))^(2^F41)))</f>
        <v/>
      </c>
      <c r="O41" s="13">
        <f>IF(OR(D41="",E41=""),"",IF(IFERROR(INDEX(Stats!$D:$D,MATCH($C41,Stats!$A:$A,0)),FALSE),ROUND(D41+(E41-D41)*(1+G41)*((8-1)/(MaxLevel-1))^(2^F41),0),D41+(E41-D41)*(1+G41)*((8-1)/(MaxLevel-1))^(2^F41)))</f>
        <v/>
      </c>
      <c r="P41" s="13">
        <f>IF(OR(D41="",E41=""),"",IF(IFERROR(INDEX(Stats!$D:$D,MATCH($C41,Stats!$A:$A,0)),FALSE),ROUND(D41+(E41-D41)*(1+G41)*((9-1)/(MaxLevel-1))^(2^F41),0),D41+(E41-D41)*(1+G41)*((9-1)/(MaxLevel-1))^(2^F41)))</f>
        <v/>
      </c>
      <c r="Q41" s="13">
        <f>IF(OR(D41="",E41=""),"",IF(IFERROR(INDEX(Stats!$D:$D,MATCH($C41,Stats!$A:$A,0)),FALSE),ROUND(D41+(E41-D41)*(1+G41)*((10-1)/(MaxLevel-1))^(2^F41),0),D41+(E41-D41)*(1+G41)*((10-1)/(MaxLevel-1))^(2^F41)))</f>
        <v/>
      </c>
    </row>
    <row r="42">
      <c r="A42" s="4" t="inlineStr">
        <is>
          <t>01U</t>
        </is>
      </c>
      <c r="B42" s="4" t="inlineStr">
        <is>
          <t>T2F</t>
        </is>
      </c>
      <c r="C42" s="4" t="inlineStr">
        <is>
          <t>Health</t>
        </is>
      </c>
      <c r="D42" s="5" t="n">
        <v>300</v>
      </c>
      <c r="E42" s="5" t="n">
        <v>1200</v>
      </c>
      <c r="F42" s="5" t="n">
        <v>0</v>
      </c>
      <c r="G42" s="5" t="n">
        <v>-0.1</v>
      </c>
      <c r="H42" s="13">
        <f>IF(OR(D42="",E42=""),"",IF(IFERROR(INDEX(Stats!$D:$D,MATCH($C42,Stats!$A:$A,0)),FALSE),ROUND(D42+(E42-D42)*(1+G42)*((1-1)/(MaxLevel-1))^(2^F42),0),D42+(E42-D42)*(1+G42)*((1-1)/(MaxLevel-1))^(2^F42)))</f>
        <v/>
      </c>
      <c r="I42" s="13">
        <f>IF(OR(D42="",E42=""),"",IF(IFERROR(INDEX(Stats!$D:$D,MATCH($C42,Stats!$A:$A,0)),FALSE),ROUND(D42+(E42-D42)*(1+G42)*((2-1)/(MaxLevel-1))^(2^F42),0),D42+(E42-D42)*(1+G42)*((2-1)/(MaxLevel-1))^(2^F42)))</f>
        <v/>
      </c>
      <c r="J42" s="13">
        <f>IF(OR(D42="",E42=""),"",IF(IFERROR(INDEX(Stats!$D:$D,MATCH($C42,Stats!$A:$A,0)),FALSE),ROUND(D42+(E42-D42)*(1+G42)*((3-1)/(MaxLevel-1))^(2^F42),0),D42+(E42-D42)*(1+G42)*((3-1)/(MaxLevel-1))^(2^F42)))</f>
        <v/>
      </c>
      <c r="K42" s="13">
        <f>IF(OR(D42="",E42=""),"",IF(IFERROR(INDEX(Stats!$D:$D,MATCH($C42,Stats!$A:$A,0)),FALSE),ROUND(D42+(E42-D42)*(1+G42)*((4-1)/(MaxLevel-1))^(2^F42),0),D42+(E42-D42)*(1+G42)*((4-1)/(MaxLevel-1))^(2^F42)))</f>
        <v/>
      </c>
      <c r="L42" s="13">
        <f>IF(OR(D42="",E42=""),"",IF(IFERROR(INDEX(Stats!$D:$D,MATCH($C42,Stats!$A:$A,0)),FALSE),ROUND(D42+(E42-D42)*(1+G42)*((5-1)/(MaxLevel-1))^(2^F42),0),D42+(E42-D42)*(1+G42)*((5-1)/(MaxLevel-1))^(2^F42)))</f>
        <v/>
      </c>
      <c r="M42" s="13">
        <f>IF(OR(D42="",E42=""),"",IF(IFERROR(INDEX(Stats!$D:$D,MATCH($C42,Stats!$A:$A,0)),FALSE),ROUND(D42+(E42-D42)*(1+G42)*((6-1)/(MaxLevel-1))^(2^F42),0),D42+(E42-D42)*(1+G42)*((6-1)/(MaxLevel-1))^(2^F42)))</f>
        <v/>
      </c>
      <c r="N42" s="13">
        <f>IF(OR(D42="",E42=""),"",IF(IFERROR(INDEX(Stats!$D:$D,MATCH($C42,Stats!$A:$A,0)),FALSE),ROUND(D42+(E42-D42)*(1+G42)*((7-1)/(MaxLevel-1))^(2^F42),0),D42+(E42-D42)*(1+G42)*((7-1)/(MaxLevel-1))^(2^F42)))</f>
        <v/>
      </c>
      <c r="O42" s="13">
        <f>IF(OR(D42="",E42=""),"",IF(IFERROR(INDEX(Stats!$D:$D,MATCH($C42,Stats!$A:$A,0)),FALSE),ROUND(D42+(E42-D42)*(1+G42)*((8-1)/(MaxLevel-1))^(2^F42),0),D42+(E42-D42)*(1+G42)*((8-1)/(MaxLevel-1))^(2^F42)))</f>
        <v/>
      </c>
      <c r="P42" s="13">
        <f>IF(OR(D42="",E42=""),"",IF(IFERROR(INDEX(Stats!$D:$D,MATCH($C42,Stats!$A:$A,0)),FALSE),ROUND(D42+(E42-D42)*(1+G42)*((9-1)/(MaxLevel-1))^(2^F42),0),D42+(E42-D42)*(1+G42)*((9-1)/(MaxLevel-1))^(2^F42)))</f>
        <v/>
      </c>
      <c r="Q42" s="13">
        <f>IF(OR(D42="",E42=""),"",IF(IFERROR(INDEX(Stats!$D:$D,MATCH($C42,Stats!$A:$A,0)),FALSE),ROUND(D42+(E42-D42)*(1+G42)*((10-1)/(MaxLevel-1))^(2^F42),0),D42+(E42-D42)*(1+G42)*((10-1)/(MaxLevel-1))^(2^F42)))</f>
        <v/>
      </c>
    </row>
    <row r="43">
      <c r="A43" s="4" t="inlineStr">
        <is>
          <t>01U</t>
        </is>
      </c>
      <c r="B43" s="4" t="inlineStr">
        <is>
          <t>T2F</t>
        </is>
      </c>
      <c r="C43" s="4" t="inlineStr">
        <is>
          <t>Strength</t>
        </is>
      </c>
      <c r="D43" s="5" t="n">
        <v>25</v>
      </c>
      <c r="E43" s="5" t="n">
        <v>110</v>
      </c>
      <c r="F43" s="5" t="n">
        <v>0.5</v>
      </c>
      <c r="G43" s="5" t="n">
        <v>0</v>
      </c>
      <c r="H43" s="13">
        <f>IF(OR(D43="",E43=""),"",IF(IFERROR(INDEX(Stats!$D:$D,MATCH($C43,Stats!$A:$A,0)),FALSE),ROUND(D43+(E43-D43)*(1+G43)*((1-1)/(MaxLevel-1))^(2^F43),0),D43+(E43-D43)*(1+G43)*((1-1)/(MaxLevel-1))^(2^F43)))</f>
        <v/>
      </c>
      <c r="I43" s="13">
        <f>IF(OR(D43="",E43=""),"",IF(IFERROR(INDEX(Stats!$D:$D,MATCH($C43,Stats!$A:$A,0)),FALSE),ROUND(D43+(E43-D43)*(1+G43)*((2-1)/(MaxLevel-1))^(2^F43),0),D43+(E43-D43)*(1+G43)*((2-1)/(MaxLevel-1))^(2^F43)))</f>
        <v/>
      </c>
      <c r="J43" s="13">
        <f>IF(OR(D43="",E43=""),"",IF(IFERROR(INDEX(Stats!$D:$D,MATCH($C43,Stats!$A:$A,0)),FALSE),ROUND(D43+(E43-D43)*(1+G43)*((3-1)/(MaxLevel-1))^(2^F43),0),D43+(E43-D43)*(1+G43)*((3-1)/(MaxLevel-1))^(2^F43)))</f>
        <v/>
      </c>
      <c r="K43" s="13">
        <f>IF(OR(D43="",E43=""),"",IF(IFERROR(INDEX(Stats!$D:$D,MATCH($C43,Stats!$A:$A,0)),FALSE),ROUND(D43+(E43-D43)*(1+G43)*((4-1)/(MaxLevel-1))^(2^F43),0),D43+(E43-D43)*(1+G43)*((4-1)/(MaxLevel-1))^(2^F43)))</f>
        <v/>
      </c>
      <c r="L43" s="13">
        <f>IF(OR(D43="",E43=""),"",IF(IFERROR(INDEX(Stats!$D:$D,MATCH($C43,Stats!$A:$A,0)),FALSE),ROUND(D43+(E43-D43)*(1+G43)*((5-1)/(MaxLevel-1))^(2^F43),0),D43+(E43-D43)*(1+G43)*((5-1)/(MaxLevel-1))^(2^F43)))</f>
        <v/>
      </c>
      <c r="M43" s="13">
        <f>IF(OR(D43="",E43=""),"",IF(IFERROR(INDEX(Stats!$D:$D,MATCH($C43,Stats!$A:$A,0)),FALSE),ROUND(D43+(E43-D43)*(1+G43)*((6-1)/(MaxLevel-1))^(2^F43),0),D43+(E43-D43)*(1+G43)*((6-1)/(MaxLevel-1))^(2^F43)))</f>
        <v/>
      </c>
      <c r="N43" s="13">
        <f>IF(OR(D43="",E43=""),"",IF(IFERROR(INDEX(Stats!$D:$D,MATCH($C43,Stats!$A:$A,0)),FALSE),ROUND(D43+(E43-D43)*(1+G43)*((7-1)/(MaxLevel-1))^(2^F43),0),D43+(E43-D43)*(1+G43)*((7-1)/(MaxLevel-1))^(2^F43)))</f>
        <v/>
      </c>
      <c r="O43" s="13">
        <f>IF(OR(D43="",E43=""),"",IF(IFERROR(INDEX(Stats!$D:$D,MATCH($C43,Stats!$A:$A,0)),FALSE),ROUND(D43+(E43-D43)*(1+G43)*((8-1)/(MaxLevel-1))^(2^F43),0),D43+(E43-D43)*(1+G43)*((8-1)/(MaxLevel-1))^(2^F43)))</f>
        <v/>
      </c>
      <c r="P43" s="13">
        <f>IF(OR(D43="",E43=""),"",IF(IFERROR(INDEX(Stats!$D:$D,MATCH($C43,Stats!$A:$A,0)),FALSE),ROUND(D43+(E43-D43)*(1+G43)*((9-1)/(MaxLevel-1))^(2^F43),0),D43+(E43-D43)*(1+G43)*((9-1)/(MaxLevel-1))^(2^F43)))</f>
        <v/>
      </c>
      <c r="Q43" s="13">
        <f>IF(OR(D43="",E43=""),"",IF(IFERROR(INDEX(Stats!$D:$D,MATCH($C43,Stats!$A:$A,0)),FALSE),ROUND(D43+(E43-D43)*(1+G43)*((10-1)/(MaxLevel-1))^(2^F43),0),D43+(E43-D43)*(1+G43)*((10-1)/(MaxLevel-1))^(2^F43)))</f>
        <v/>
      </c>
    </row>
    <row r="44">
      <c r="A44" s="4" t="inlineStr">
        <is>
          <t>01U</t>
        </is>
      </c>
      <c r="B44" s="4" t="inlineStr">
        <is>
          <t>T2F</t>
        </is>
      </c>
      <c r="C44" s="4" t="inlineStr">
        <is>
          <t>Accuracy</t>
        </is>
      </c>
      <c r="D44" s="5" t="n"/>
      <c r="E44" s="5" t="n"/>
      <c r="F44" s="5" t="n"/>
      <c r="G44" s="5" t="n"/>
      <c r="H44" s="13">
        <f>IF(OR(D44="",E44=""),"",IF(IFERROR(INDEX(Stats!$D:$D,MATCH($C44,Stats!$A:$A,0)),FALSE),ROUND(D44+(E44-D44)*(1+G44)*((1-1)/(MaxLevel-1))^(2^F44),0),D44+(E44-D44)*(1+G44)*((1-1)/(MaxLevel-1))^(2^F44)))</f>
        <v/>
      </c>
      <c r="I44" s="13">
        <f>IF(OR(D44="",E44=""),"",IF(IFERROR(INDEX(Stats!$D:$D,MATCH($C44,Stats!$A:$A,0)),FALSE),ROUND(D44+(E44-D44)*(1+G44)*((2-1)/(MaxLevel-1))^(2^F44),0),D44+(E44-D44)*(1+G44)*((2-1)/(MaxLevel-1))^(2^F44)))</f>
        <v/>
      </c>
      <c r="J44" s="13">
        <f>IF(OR(D44="",E44=""),"",IF(IFERROR(INDEX(Stats!$D:$D,MATCH($C44,Stats!$A:$A,0)),FALSE),ROUND(D44+(E44-D44)*(1+G44)*((3-1)/(MaxLevel-1))^(2^F44),0),D44+(E44-D44)*(1+G44)*((3-1)/(MaxLevel-1))^(2^F44)))</f>
        <v/>
      </c>
      <c r="K44" s="13">
        <f>IF(OR(D44="",E44=""),"",IF(IFERROR(INDEX(Stats!$D:$D,MATCH($C44,Stats!$A:$A,0)),FALSE),ROUND(D44+(E44-D44)*(1+G44)*((4-1)/(MaxLevel-1))^(2^F44),0),D44+(E44-D44)*(1+G44)*((4-1)/(MaxLevel-1))^(2^F44)))</f>
        <v/>
      </c>
      <c r="L44" s="13">
        <f>IF(OR(D44="",E44=""),"",IF(IFERROR(INDEX(Stats!$D:$D,MATCH($C44,Stats!$A:$A,0)),FALSE),ROUND(D44+(E44-D44)*(1+G44)*((5-1)/(MaxLevel-1))^(2^F44),0),D44+(E44-D44)*(1+G44)*((5-1)/(MaxLevel-1))^(2^F44)))</f>
        <v/>
      </c>
      <c r="M44" s="13">
        <f>IF(OR(D44="",E44=""),"",IF(IFERROR(INDEX(Stats!$D:$D,MATCH($C44,Stats!$A:$A,0)),FALSE),ROUND(D44+(E44-D44)*(1+G44)*((6-1)/(MaxLevel-1))^(2^F44),0),D44+(E44-D44)*(1+G44)*((6-1)/(MaxLevel-1))^(2^F44)))</f>
        <v/>
      </c>
      <c r="N44" s="13">
        <f>IF(OR(D44="",E44=""),"",IF(IFERROR(INDEX(Stats!$D:$D,MATCH($C44,Stats!$A:$A,0)),FALSE),ROUND(D44+(E44-D44)*(1+G44)*((7-1)/(MaxLevel-1))^(2^F44),0),D44+(E44-D44)*(1+G44)*((7-1)/(MaxLevel-1))^(2^F44)))</f>
        <v/>
      </c>
      <c r="O44" s="13">
        <f>IF(OR(D44="",E44=""),"",IF(IFERROR(INDEX(Stats!$D:$D,MATCH($C44,Stats!$A:$A,0)),FALSE),ROUND(D44+(E44-D44)*(1+G44)*((8-1)/(MaxLevel-1))^(2^F44),0),D44+(E44-D44)*(1+G44)*((8-1)/(MaxLevel-1))^(2^F44)))</f>
        <v/>
      </c>
      <c r="P44" s="13">
        <f>IF(OR(D44="",E44=""),"",IF(IFERROR(INDEX(Stats!$D:$D,MATCH($C44,Stats!$A:$A,0)),FALSE),ROUND(D44+(E44-D44)*(1+G44)*((9-1)/(MaxLevel-1))^(2^F44),0),D44+(E44-D44)*(1+G44)*((9-1)/(MaxLevel-1))^(2^F44)))</f>
        <v/>
      </c>
      <c r="Q44" s="13">
        <f>IF(OR(D44="",E44=""),"",IF(IFERROR(INDEX(Stats!$D:$D,MATCH($C44,Stats!$A:$A,0)),FALSE),ROUND(D44+(E44-D44)*(1+G44)*((10-1)/(MaxLevel-1))^(2^F44),0),D44+(E44-D44)*(1+G44)*((10-1)/(MaxLevel-1))^(2^F44)))</f>
        <v/>
      </c>
    </row>
    <row r="45">
      <c r="A45" s="4" t="inlineStr">
        <is>
          <t>01U</t>
        </is>
      </c>
      <c r="B45" s="4" t="inlineStr">
        <is>
          <t>T2F</t>
        </is>
      </c>
      <c r="C45" s="4" t="inlineStr">
        <is>
          <t>Dexterity</t>
        </is>
      </c>
      <c r="D45" s="5" t="n"/>
      <c r="E45" s="5" t="n"/>
      <c r="F45" s="5" t="n"/>
      <c r="G45" s="5" t="n"/>
      <c r="H45" s="13">
        <f>IF(OR(D45="",E45=""),"",IF(IFERROR(INDEX(Stats!$D:$D,MATCH($C45,Stats!$A:$A,0)),FALSE),ROUND(D45+(E45-D45)*(1+G45)*((1-1)/(MaxLevel-1))^(2^F45),0),D45+(E45-D45)*(1+G45)*((1-1)/(MaxLevel-1))^(2^F45)))</f>
        <v/>
      </c>
      <c r="I45" s="13">
        <f>IF(OR(D45="",E45=""),"",IF(IFERROR(INDEX(Stats!$D:$D,MATCH($C45,Stats!$A:$A,0)),FALSE),ROUND(D45+(E45-D45)*(1+G45)*((2-1)/(MaxLevel-1))^(2^F45),0),D45+(E45-D45)*(1+G45)*((2-1)/(MaxLevel-1))^(2^F45)))</f>
        <v/>
      </c>
      <c r="J45" s="13">
        <f>IF(OR(D45="",E45=""),"",IF(IFERROR(INDEX(Stats!$D:$D,MATCH($C45,Stats!$A:$A,0)),FALSE),ROUND(D45+(E45-D45)*(1+G45)*((3-1)/(MaxLevel-1))^(2^F45),0),D45+(E45-D45)*(1+G45)*((3-1)/(MaxLevel-1))^(2^F45)))</f>
        <v/>
      </c>
      <c r="K45" s="13">
        <f>IF(OR(D45="",E45=""),"",IF(IFERROR(INDEX(Stats!$D:$D,MATCH($C45,Stats!$A:$A,0)),FALSE),ROUND(D45+(E45-D45)*(1+G45)*((4-1)/(MaxLevel-1))^(2^F45),0),D45+(E45-D45)*(1+G45)*((4-1)/(MaxLevel-1))^(2^F45)))</f>
        <v/>
      </c>
      <c r="L45" s="13">
        <f>IF(OR(D45="",E45=""),"",IF(IFERROR(INDEX(Stats!$D:$D,MATCH($C45,Stats!$A:$A,0)),FALSE),ROUND(D45+(E45-D45)*(1+G45)*((5-1)/(MaxLevel-1))^(2^F45),0),D45+(E45-D45)*(1+G45)*((5-1)/(MaxLevel-1))^(2^F45)))</f>
        <v/>
      </c>
      <c r="M45" s="13">
        <f>IF(OR(D45="",E45=""),"",IF(IFERROR(INDEX(Stats!$D:$D,MATCH($C45,Stats!$A:$A,0)),FALSE),ROUND(D45+(E45-D45)*(1+G45)*((6-1)/(MaxLevel-1))^(2^F45),0),D45+(E45-D45)*(1+G45)*((6-1)/(MaxLevel-1))^(2^F45)))</f>
        <v/>
      </c>
      <c r="N45" s="13">
        <f>IF(OR(D45="",E45=""),"",IF(IFERROR(INDEX(Stats!$D:$D,MATCH($C45,Stats!$A:$A,0)),FALSE),ROUND(D45+(E45-D45)*(1+G45)*((7-1)/(MaxLevel-1))^(2^F45),0),D45+(E45-D45)*(1+G45)*((7-1)/(MaxLevel-1))^(2^F45)))</f>
        <v/>
      </c>
      <c r="O45" s="13">
        <f>IF(OR(D45="",E45=""),"",IF(IFERROR(INDEX(Stats!$D:$D,MATCH($C45,Stats!$A:$A,0)),FALSE),ROUND(D45+(E45-D45)*(1+G45)*((8-1)/(MaxLevel-1))^(2^F45),0),D45+(E45-D45)*(1+G45)*((8-1)/(MaxLevel-1))^(2^F45)))</f>
        <v/>
      </c>
      <c r="P45" s="13">
        <f>IF(OR(D45="",E45=""),"",IF(IFERROR(INDEX(Stats!$D:$D,MATCH($C45,Stats!$A:$A,0)),FALSE),ROUND(D45+(E45-D45)*(1+G45)*((9-1)/(MaxLevel-1))^(2^F45),0),D45+(E45-D45)*(1+G45)*((9-1)/(MaxLevel-1))^(2^F45)))</f>
        <v/>
      </c>
      <c r="Q45" s="13">
        <f>IF(OR(D45="",E45=""),"",IF(IFERROR(INDEX(Stats!$D:$D,MATCH($C45,Stats!$A:$A,0)),FALSE),ROUND(D45+(E45-D45)*(1+G45)*((10-1)/(MaxLevel-1))^(2^F45),0),D45+(E45-D45)*(1+G45)*((10-1)/(MaxLevel-1))^(2^F45)))</f>
        <v/>
      </c>
    </row>
    <row r="46">
      <c r="A46" s="4" t="inlineStr">
        <is>
          <t>01U</t>
        </is>
      </c>
      <c r="B46" s="4" t="inlineStr">
        <is>
          <t>T2F</t>
        </is>
      </c>
      <c r="C46" s="4" t="inlineStr">
        <is>
          <t>Fortitude</t>
        </is>
      </c>
      <c r="D46" s="5" t="n"/>
      <c r="E46" s="5" t="n"/>
      <c r="F46" s="5" t="n"/>
      <c r="G46" s="5" t="n"/>
      <c r="H46" s="13">
        <f>IF(OR(D46="",E46=""),"",IF(IFERROR(INDEX(Stats!$D:$D,MATCH($C46,Stats!$A:$A,0)),FALSE),ROUND(D46+(E46-D46)*(1+G46)*((1-1)/(MaxLevel-1))^(2^F46),0),D46+(E46-D46)*(1+G46)*((1-1)/(MaxLevel-1))^(2^F46)))</f>
        <v/>
      </c>
      <c r="I46" s="13">
        <f>IF(OR(D46="",E46=""),"",IF(IFERROR(INDEX(Stats!$D:$D,MATCH($C46,Stats!$A:$A,0)),FALSE),ROUND(D46+(E46-D46)*(1+G46)*((2-1)/(MaxLevel-1))^(2^F46),0),D46+(E46-D46)*(1+G46)*((2-1)/(MaxLevel-1))^(2^F46)))</f>
        <v/>
      </c>
      <c r="J46" s="13">
        <f>IF(OR(D46="",E46=""),"",IF(IFERROR(INDEX(Stats!$D:$D,MATCH($C46,Stats!$A:$A,0)),FALSE),ROUND(D46+(E46-D46)*(1+G46)*((3-1)/(MaxLevel-1))^(2^F46),0),D46+(E46-D46)*(1+G46)*((3-1)/(MaxLevel-1))^(2^F46)))</f>
        <v/>
      </c>
      <c r="K46" s="13">
        <f>IF(OR(D46="",E46=""),"",IF(IFERROR(INDEX(Stats!$D:$D,MATCH($C46,Stats!$A:$A,0)),FALSE),ROUND(D46+(E46-D46)*(1+G46)*((4-1)/(MaxLevel-1))^(2^F46),0),D46+(E46-D46)*(1+G46)*((4-1)/(MaxLevel-1))^(2^F46)))</f>
        <v/>
      </c>
      <c r="L46" s="13">
        <f>IF(OR(D46="",E46=""),"",IF(IFERROR(INDEX(Stats!$D:$D,MATCH($C46,Stats!$A:$A,0)),FALSE),ROUND(D46+(E46-D46)*(1+G46)*((5-1)/(MaxLevel-1))^(2^F46),0),D46+(E46-D46)*(1+G46)*((5-1)/(MaxLevel-1))^(2^F46)))</f>
        <v/>
      </c>
      <c r="M46" s="13">
        <f>IF(OR(D46="",E46=""),"",IF(IFERROR(INDEX(Stats!$D:$D,MATCH($C46,Stats!$A:$A,0)),FALSE),ROUND(D46+(E46-D46)*(1+G46)*((6-1)/(MaxLevel-1))^(2^F46),0),D46+(E46-D46)*(1+G46)*((6-1)/(MaxLevel-1))^(2^F46)))</f>
        <v/>
      </c>
      <c r="N46" s="13">
        <f>IF(OR(D46="",E46=""),"",IF(IFERROR(INDEX(Stats!$D:$D,MATCH($C46,Stats!$A:$A,0)),FALSE),ROUND(D46+(E46-D46)*(1+G46)*((7-1)/(MaxLevel-1))^(2^F46),0),D46+(E46-D46)*(1+G46)*((7-1)/(MaxLevel-1))^(2^F46)))</f>
        <v/>
      </c>
      <c r="O46" s="13">
        <f>IF(OR(D46="",E46=""),"",IF(IFERROR(INDEX(Stats!$D:$D,MATCH($C46,Stats!$A:$A,0)),FALSE),ROUND(D46+(E46-D46)*(1+G46)*((8-1)/(MaxLevel-1))^(2^F46),0),D46+(E46-D46)*(1+G46)*((8-1)/(MaxLevel-1))^(2^F46)))</f>
        <v/>
      </c>
      <c r="P46" s="13">
        <f>IF(OR(D46="",E46=""),"",IF(IFERROR(INDEX(Stats!$D:$D,MATCH($C46,Stats!$A:$A,0)),FALSE),ROUND(D46+(E46-D46)*(1+G46)*((9-1)/(MaxLevel-1))^(2^F46),0),D46+(E46-D46)*(1+G46)*((9-1)/(MaxLevel-1))^(2^F46)))</f>
        <v/>
      </c>
      <c r="Q46" s="13">
        <f>IF(OR(D46="",E46=""),"",IF(IFERROR(INDEX(Stats!$D:$D,MATCH($C46,Stats!$A:$A,0)),FALSE),ROUND(D46+(E46-D46)*(1+G46)*((10-1)/(MaxLevel-1))^(2^F46),0),D46+(E46-D46)*(1+G46)*((10-1)/(MaxLevel-1))^(2^F46)))</f>
        <v/>
      </c>
    </row>
    <row r="47">
      <c r="A47" s="4" t="inlineStr">
        <is>
          <t>01U</t>
        </is>
      </c>
      <c r="B47" s="4" t="inlineStr">
        <is>
          <t>T2F</t>
        </is>
      </c>
      <c r="C47" s="4" t="inlineStr">
        <is>
          <t>Speed</t>
        </is>
      </c>
      <c r="D47" s="5" t="n"/>
      <c r="E47" s="5" t="n"/>
      <c r="F47" s="5" t="n"/>
      <c r="G47" s="5" t="n"/>
      <c r="H47" s="13">
        <f>IF(OR(D47="",E47=""),"",IF(IFERROR(INDEX(Stats!$D:$D,MATCH($C47,Stats!$A:$A,0)),FALSE),ROUND(D47+(E47-D47)*(1+G47)*((1-1)/(MaxLevel-1))^(2^F47),0),D47+(E47-D47)*(1+G47)*((1-1)/(MaxLevel-1))^(2^F47)))</f>
        <v/>
      </c>
      <c r="I47" s="13">
        <f>IF(OR(D47="",E47=""),"",IF(IFERROR(INDEX(Stats!$D:$D,MATCH($C47,Stats!$A:$A,0)),FALSE),ROUND(D47+(E47-D47)*(1+G47)*((2-1)/(MaxLevel-1))^(2^F47),0),D47+(E47-D47)*(1+G47)*((2-1)/(MaxLevel-1))^(2^F47)))</f>
        <v/>
      </c>
      <c r="J47" s="13">
        <f>IF(OR(D47="",E47=""),"",IF(IFERROR(INDEX(Stats!$D:$D,MATCH($C47,Stats!$A:$A,0)),FALSE),ROUND(D47+(E47-D47)*(1+G47)*((3-1)/(MaxLevel-1))^(2^F47),0),D47+(E47-D47)*(1+G47)*((3-1)/(MaxLevel-1))^(2^F47)))</f>
        <v/>
      </c>
      <c r="K47" s="13">
        <f>IF(OR(D47="",E47=""),"",IF(IFERROR(INDEX(Stats!$D:$D,MATCH($C47,Stats!$A:$A,0)),FALSE),ROUND(D47+(E47-D47)*(1+G47)*((4-1)/(MaxLevel-1))^(2^F47),0),D47+(E47-D47)*(1+G47)*((4-1)/(MaxLevel-1))^(2^F47)))</f>
        <v/>
      </c>
      <c r="L47" s="13">
        <f>IF(OR(D47="",E47=""),"",IF(IFERROR(INDEX(Stats!$D:$D,MATCH($C47,Stats!$A:$A,0)),FALSE),ROUND(D47+(E47-D47)*(1+G47)*((5-1)/(MaxLevel-1))^(2^F47),0),D47+(E47-D47)*(1+G47)*((5-1)/(MaxLevel-1))^(2^F47)))</f>
        <v/>
      </c>
      <c r="M47" s="13">
        <f>IF(OR(D47="",E47=""),"",IF(IFERROR(INDEX(Stats!$D:$D,MATCH($C47,Stats!$A:$A,0)),FALSE),ROUND(D47+(E47-D47)*(1+G47)*((6-1)/(MaxLevel-1))^(2^F47),0),D47+(E47-D47)*(1+G47)*((6-1)/(MaxLevel-1))^(2^F47)))</f>
        <v/>
      </c>
      <c r="N47" s="13">
        <f>IF(OR(D47="",E47=""),"",IF(IFERROR(INDEX(Stats!$D:$D,MATCH($C47,Stats!$A:$A,0)),FALSE),ROUND(D47+(E47-D47)*(1+G47)*((7-1)/(MaxLevel-1))^(2^F47),0),D47+(E47-D47)*(1+G47)*((7-1)/(MaxLevel-1))^(2^F47)))</f>
        <v/>
      </c>
      <c r="O47" s="13">
        <f>IF(OR(D47="",E47=""),"",IF(IFERROR(INDEX(Stats!$D:$D,MATCH($C47,Stats!$A:$A,0)),FALSE),ROUND(D47+(E47-D47)*(1+G47)*((8-1)/(MaxLevel-1))^(2^F47),0),D47+(E47-D47)*(1+G47)*((8-1)/(MaxLevel-1))^(2^F47)))</f>
        <v/>
      </c>
      <c r="P47" s="13">
        <f>IF(OR(D47="",E47=""),"",IF(IFERROR(INDEX(Stats!$D:$D,MATCH($C47,Stats!$A:$A,0)),FALSE),ROUND(D47+(E47-D47)*(1+G47)*((9-1)/(MaxLevel-1))^(2^F47),0),D47+(E47-D47)*(1+G47)*((9-1)/(MaxLevel-1))^(2^F47)))</f>
        <v/>
      </c>
      <c r="Q47" s="13">
        <f>IF(OR(D47="",E47=""),"",IF(IFERROR(INDEX(Stats!$D:$D,MATCH($C47,Stats!$A:$A,0)),FALSE),ROUND(D47+(E47-D47)*(1+G47)*((10-1)/(MaxLevel-1))^(2^F47),0),D47+(E47-D47)*(1+G47)*((10-1)/(MaxLevel-1))^(2^F47)))</f>
        <v/>
      </c>
    </row>
    <row r="48">
      <c r="A48" s="4" t="inlineStr">
        <is>
          <t>01U</t>
        </is>
      </c>
      <c r="B48" s="4" t="inlineStr">
        <is>
          <t>T2F</t>
        </is>
      </c>
      <c r="C48" s="4" t="inlineStr">
        <is>
          <t>Magic</t>
        </is>
      </c>
      <c r="D48" s="5" t="n"/>
      <c r="E48" s="5" t="n"/>
      <c r="F48" s="5" t="n"/>
      <c r="G48" s="5" t="n"/>
      <c r="H48" s="13">
        <f>IF(OR(D48="",E48=""),"",IF(IFERROR(INDEX(Stats!$D:$D,MATCH($C48,Stats!$A:$A,0)),FALSE),ROUND(D48+(E48-D48)*(1+G48)*((1-1)/(MaxLevel-1))^(2^F48),0),D48+(E48-D48)*(1+G48)*((1-1)/(MaxLevel-1))^(2^F48)))</f>
        <v/>
      </c>
      <c r="I48" s="13">
        <f>IF(OR(D48="",E48=""),"",IF(IFERROR(INDEX(Stats!$D:$D,MATCH($C48,Stats!$A:$A,0)),FALSE),ROUND(D48+(E48-D48)*(1+G48)*((2-1)/(MaxLevel-1))^(2^F48),0),D48+(E48-D48)*(1+G48)*((2-1)/(MaxLevel-1))^(2^F48)))</f>
        <v/>
      </c>
      <c r="J48" s="13">
        <f>IF(OR(D48="",E48=""),"",IF(IFERROR(INDEX(Stats!$D:$D,MATCH($C48,Stats!$A:$A,0)),FALSE),ROUND(D48+(E48-D48)*(1+G48)*((3-1)/(MaxLevel-1))^(2^F48),0),D48+(E48-D48)*(1+G48)*((3-1)/(MaxLevel-1))^(2^F48)))</f>
        <v/>
      </c>
      <c r="K48" s="13">
        <f>IF(OR(D48="",E48=""),"",IF(IFERROR(INDEX(Stats!$D:$D,MATCH($C48,Stats!$A:$A,0)),FALSE),ROUND(D48+(E48-D48)*(1+G48)*((4-1)/(MaxLevel-1))^(2^F48),0),D48+(E48-D48)*(1+G48)*((4-1)/(MaxLevel-1))^(2^F48)))</f>
        <v/>
      </c>
      <c r="L48" s="13">
        <f>IF(OR(D48="",E48=""),"",IF(IFERROR(INDEX(Stats!$D:$D,MATCH($C48,Stats!$A:$A,0)),FALSE),ROUND(D48+(E48-D48)*(1+G48)*((5-1)/(MaxLevel-1))^(2^F48),0),D48+(E48-D48)*(1+G48)*((5-1)/(MaxLevel-1))^(2^F48)))</f>
        <v/>
      </c>
      <c r="M48" s="13">
        <f>IF(OR(D48="",E48=""),"",IF(IFERROR(INDEX(Stats!$D:$D,MATCH($C48,Stats!$A:$A,0)),FALSE),ROUND(D48+(E48-D48)*(1+G48)*((6-1)/(MaxLevel-1))^(2^F48),0),D48+(E48-D48)*(1+G48)*((6-1)/(MaxLevel-1))^(2^F48)))</f>
        <v/>
      </c>
      <c r="N48" s="13">
        <f>IF(OR(D48="",E48=""),"",IF(IFERROR(INDEX(Stats!$D:$D,MATCH($C48,Stats!$A:$A,0)),FALSE),ROUND(D48+(E48-D48)*(1+G48)*((7-1)/(MaxLevel-1))^(2^F48),0),D48+(E48-D48)*(1+G48)*((7-1)/(MaxLevel-1))^(2^F48)))</f>
        <v/>
      </c>
      <c r="O48" s="13">
        <f>IF(OR(D48="",E48=""),"",IF(IFERROR(INDEX(Stats!$D:$D,MATCH($C48,Stats!$A:$A,0)),FALSE),ROUND(D48+(E48-D48)*(1+G48)*((8-1)/(MaxLevel-1))^(2^F48),0),D48+(E48-D48)*(1+G48)*((8-1)/(MaxLevel-1))^(2^F48)))</f>
        <v/>
      </c>
      <c r="P48" s="13">
        <f>IF(OR(D48="",E48=""),"",IF(IFERROR(INDEX(Stats!$D:$D,MATCH($C48,Stats!$A:$A,0)),FALSE),ROUND(D48+(E48-D48)*(1+G48)*((9-1)/(MaxLevel-1))^(2^F48),0),D48+(E48-D48)*(1+G48)*((9-1)/(MaxLevel-1))^(2^F48)))</f>
        <v/>
      </c>
      <c r="Q48" s="13">
        <f>IF(OR(D48="",E48=""),"",IF(IFERROR(INDEX(Stats!$D:$D,MATCH($C48,Stats!$A:$A,0)),FALSE),ROUND(D48+(E48-D48)*(1+G48)*((10-1)/(MaxLevel-1))^(2^F48),0),D48+(E48-D48)*(1+G48)*((10-1)/(MaxLevel-1))^(2^F48)))</f>
        <v/>
      </c>
    </row>
    <row r="49">
      <c r="A49" s="4" t="inlineStr">
        <is>
          <t>01U</t>
        </is>
      </c>
      <c r="B49" s="4" t="inlineStr">
        <is>
          <t>T2F</t>
        </is>
      </c>
      <c r="C49" s="4" t="inlineStr">
        <is>
          <t>Resistance</t>
        </is>
      </c>
      <c r="D49" s="5" t="n"/>
      <c r="E49" s="5" t="n"/>
      <c r="F49" s="5" t="n"/>
      <c r="G49" s="5" t="n"/>
      <c r="H49" s="13">
        <f>IF(OR(D49="",E49=""),"",IF(IFERROR(INDEX(Stats!$D:$D,MATCH($C49,Stats!$A:$A,0)),FALSE),ROUND(D49+(E49-D49)*(1+G49)*((1-1)/(MaxLevel-1))^(2^F49),0),D49+(E49-D49)*(1+G49)*((1-1)/(MaxLevel-1))^(2^F49)))</f>
        <v/>
      </c>
      <c r="I49" s="13">
        <f>IF(OR(D49="",E49=""),"",IF(IFERROR(INDEX(Stats!$D:$D,MATCH($C49,Stats!$A:$A,0)),FALSE),ROUND(D49+(E49-D49)*(1+G49)*((2-1)/(MaxLevel-1))^(2^F49),0),D49+(E49-D49)*(1+G49)*((2-1)/(MaxLevel-1))^(2^F49)))</f>
        <v/>
      </c>
      <c r="J49" s="13">
        <f>IF(OR(D49="",E49=""),"",IF(IFERROR(INDEX(Stats!$D:$D,MATCH($C49,Stats!$A:$A,0)),FALSE),ROUND(D49+(E49-D49)*(1+G49)*((3-1)/(MaxLevel-1))^(2^F49),0),D49+(E49-D49)*(1+G49)*((3-1)/(MaxLevel-1))^(2^F49)))</f>
        <v/>
      </c>
      <c r="K49" s="13">
        <f>IF(OR(D49="",E49=""),"",IF(IFERROR(INDEX(Stats!$D:$D,MATCH($C49,Stats!$A:$A,0)),FALSE),ROUND(D49+(E49-D49)*(1+G49)*((4-1)/(MaxLevel-1))^(2^F49),0),D49+(E49-D49)*(1+G49)*((4-1)/(MaxLevel-1))^(2^F49)))</f>
        <v/>
      </c>
      <c r="L49" s="13">
        <f>IF(OR(D49="",E49=""),"",IF(IFERROR(INDEX(Stats!$D:$D,MATCH($C49,Stats!$A:$A,0)),FALSE),ROUND(D49+(E49-D49)*(1+G49)*((5-1)/(MaxLevel-1))^(2^F49),0),D49+(E49-D49)*(1+G49)*((5-1)/(MaxLevel-1))^(2^F49)))</f>
        <v/>
      </c>
      <c r="M49" s="13">
        <f>IF(OR(D49="",E49=""),"",IF(IFERROR(INDEX(Stats!$D:$D,MATCH($C49,Stats!$A:$A,0)),FALSE),ROUND(D49+(E49-D49)*(1+G49)*((6-1)/(MaxLevel-1))^(2^F49),0),D49+(E49-D49)*(1+G49)*((6-1)/(MaxLevel-1))^(2^F49)))</f>
        <v/>
      </c>
      <c r="N49" s="13">
        <f>IF(OR(D49="",E49=""),"",IF(IFERROR(INDEX(Stats!$D:$D,MATCH($C49,Stats!$A:$A,0)),FALSE),ROUND(D49+(E49-D49)*(1+G49)*((7-1)/(MaxLevel-1))^(2^F49),0),D49+(E49-D49)*(1+G49)*((7-1)/(MaxLevel-1))^(2^F49)))</f>
        <v/>
      </c>
      <c r="O49" s="13">
        <f>IF(OR(D49="",E49=""),"",IF(IFERROR(INDEX(Stats!$D:$D,MATCH($C49,Stats!$A:$A,0)),FALSE),ROUND(D49+(E49-D49)*(1+G49)*((8-1)/(MaxLevel-1))^(2^F49),0),D49+(E49-D49)*(1+G49)*((8-1)/(MaxLevel-1))^(2^F49)))</f>
        <v/>
      </c>
      <c r="P49" s="13">
        <f>IF(OR(D49="",E49=""),"",IF(IFERROR(INDEX(Stats!$D:$D,MATCH($C49,Stats!$A:$A,0)),FALSE),ROUND(D49+(E49-D49)*(1+G49)*((9-1)/(MaxLevel-1))^(2^F49),0),D49+(E49-D49)*(1+G49)*((9-1)/(MaxLevel-1))^(2^F49)))</f>
        <v/>
      </c>
      <c r="Q49" s="13">
        <f>IF(OR(D49="",E49=""),"",IF(IFERROR(INDEX(Stats!$D:$D,MATCH($C49,Stats!$A:$A,0)),FALSE),ROUND(D49+(E49-D49)*(1+G49)*((10-1)/(MaxLevel-1))^(2^F49),0),D49+(E49-D49)*(1+G49)*((10-1)/(MaxLevel-1))^(2^F49)))</f>
        <v/>
      </c>
    </row>
    <row r="50">
      <c r="A50" s="4" t="inlineStr">
        <is>
          <t>01U</t>
        </is>
      </c>
      <c r="B50" s="4" t="inlineStr">
        <is>
          <t>T2F</t>
        </is>
      </c>
      <c r="C50" s="4" t="inlineStr">
        <is>
          <t>Luck</t>
        </is>
      </c>
      <c r="D50" s="5" t="n"/>
      <c r="E50" s="5" t="n"/>
      <c r="F50" s="5" t="n"/>
      <c r="G50" s="5" t="n"/>
      <c r="H50" s="13">
        <f>IF(OR(D50="",E50=""),"",IF(IFERROR(INDEX(Stats!$D:$D,MATCH($C50,Stats!$A:$A,0)),FALSE),ROUND(D50+(E50-D50)*(1+G50)*((1-1)/(MaxLevel-1))^(2^F50),0),D50+(E50-D50)*(1+G50)*((1-1)/(MaxLevel-1))^(2^F50)))</f>
        <v/>
      </c>
      <c r="I50" s="13">
        <f>IF(OR(D50="",E50=""),"",IF(IFERROR(INDEX(Stats!$D:$D,MATCH($C50,Stats!$A:$A,0)),FALSE),ROUND(D50+(E50-D50)*(1+G50)*((2-1)/(MaxLevel-1))^(2^F50),0),D50+(E50-D50)*(1+G50)*((2-1)/(MaxLevel-1))^(2^F50)))</f>
        <v/>
      </c>
      <c r="J50" s="13">
        <f>IF(OR(D50="",E50=""),"",IF(IFERROR(INDEX(Stats!$D:$D,MATCH($C50,Stats!$A:$A,0)),FALSE),ROUND(D50+(E50-D50)*(1+G50)*((3-1)/(MaxLevel-1))^(2^F50),0),D50+(E50-D50)*(1+G50)*((3-1)/(MaxLevel-1))^(2^F50)))</f>
        <v/>
      </c>
      <c r="K50" s="13">
        <f>IF(OR(D50="",E50=""),"",IF(IFERROR(INDEX(Stats!$D:$D,MATCH($C50,Stats!$A:$A,0)),FALSE),ROUND(D50+(E50-D50)*(1+G50)*((4-1)/(MaxLevel-1))^(2^F50),0),D50+(E50-D50)*(1+G50)*((4-1)/(MaxLevel-1))^(2^F50)))</f>
        <v/>
      </c>
      <c r="L50" s="13">
        <f>IF(OR(D50="",E50=""),"",IF(IFERROR(INDEX(Stats!$D:$D,MATCH($C50,Stats!$A:$A,0)),FALSE),ROUND(D50+(E50-D50)*(1+G50)*((5-1)/(MaxLevel-1))^(2^F50),0),D50+(E50-D50)*(1+G50)*((5-1)/(MaxLevel-1))^(2^F50)))</f>
        <v/>
      </c>
      <c r="M50" s="13">
        <f>IF(OR(D50="",E50=""),"",IF(IFERROR(INDEX(Stats!$D:$D,MATCH($C50,Stats!$A:$A,0)),FALSE),ROUND(D50+(E50-D50)*(1+G50)*((6-1)/(MaxLevel-1))^(2^F50),0),D50+(E50-D50)*(1+G50)*((6-1)/(MaxLevel-1))^(2^F50)))</f>
        <v/>
      </c>
      <c r="N50" s="13">
        <f>IF(OR(D50="",E50=""),"",IF(IFERROR(INDEX(Stats!$D:$D,MATCH($C50,Stats!$A:$A,0)),FALSE),ROUND(D50+(E50-D50)*(1+G50)*((7-1)/(MaxLevel-1))^(2^F50),0),D50+(E50-D50)*(1+G50)*((7-1)/(MaxLevel-1))^(2^F50)))</f>
        <v/>
      </c>
      <c r="O50" s="13">
        <f>IF(OR(D50="",E50=""),"",IF(IFERROR(INDEX(Stats!$D:$D,MATCH($C50,Stats!$A:$A,0)),FALSE),ROUND(D50+(E50-D50)*(1+G50)*((8-1)/(MaxLevel-1))^(2^F50),0),D50+(E50-D50)*(1+G50)*((8-1)/(MaxLevel-1))^(2^F50)))</f>
        <v/>
      </c>
      <c r="P50" s="13">
        <f>IF(OR(D50="",E50=""),"",IF(IFERROR(INDEX(Stats!$D:$D,MATCH($C50,Stats!$A:$A,0)),FALSE),ROUND(D50+(E50-D50)*(1+G50)*((9-1)/(MaxLevel-1))^(2^F50),0),D50+(E50-D50)*(1+G50)*((9-1)/(MaxLevel-1))^(2^F50)))</f>
        <v/>
      </c>
      <c r="Q50" s="13">
        <f>IF(OR(D50="",E50=""),"",IF(IFERROR(INDEX(Stats!$D:$D,MATCH($C50,Stats!$A:$A,0)),FALSE),ROUND(D50+(E50-D50)*(1+G50)*((10-1)/(MaxLevel-1))^(2^F50),0),D50+(E50-D50)*(1+G50)*((10-1)/(MaxLevel-1))^(2^F50)))</f>
        <v/>
      </c>
    </row>
    <row r="51">
      <c r="A51" s="4" t="inlineStr">
        <is>
          <t>01U</t>
        </is>
      </c>
      <c r="B51" s="4" t="inlineStr">
        <is>
          <t>T2F</t>
        </is>
      </c>
      <c r="C51" s="4" t="inlineStr">
        <is>
          <t>Weight</t>
        </is>
      </c>
      <c r="D51" s="5" t="n">
        <v>300</v>
      </c>
      <c r="E51" s="5" t="n">
        <v>320</v>
      </c>
      <c r="F51" s="5" t="n">
        <v>0</v>
      </c>
      <c r="G51" s="5" t="n">
        <v>0</v>
      </c>
      <c r="H51" s="13">
        <f>IF(OR(D51="",E51=""),"",IF(IFERROR(INDEX(Stats!$D:$D,MATCH($C51,Stats!$A:$A,0)),FALSE),ROUND(D51+(E51-D51)*(1+G51)*((1-1)/(MaxLevel-1))^(2^F51),0),D51+(E51-D51)*(1+G51)*((1-1)/(MaxLevel-1))^(2^F51)))</f>
        <v/>
      </c>
      <c r="I51" s="13">
        <f>IF(OR(D51="",E51=""),"",IF(IFERROR(INDEX(Stats!$D:$D,MATCH($C51,Stats!$A:$A,0)),FALSE),ROUND(D51+(E51-D51)*(1+G51)*((2-1)/(MaxLevel-1))^(2^F51),0),D51+(E51-D51)*(1+G51)*((2-1)/(MaxLevel-1))^(2^F51)))</f>
        <v/>
      </c>
      <c r="J51" s="13">
        <f>IF(OR(D51="",E51=""),"",IF(IFERROR(INDEX(Stats!$D:$D,MATCH($C51,Stats!$A:$A,0)),FALSE),ROUND(D51+(E51-D51)*(1+G51)*((3-1)/(MaxLevel-1))^(2^F51),0),D51+(E51-D51)*(1+G51)*((3-1)/(MaxLevel-1))^(2^F51)))</f>
        <v/>
      </c>
      <c r="K51" s="13">
        <f>IF(OR(D51="",E51=""),"",IF(IFERROR(INDEX(Stats!$D:$D,MATCH($C51,Stats!$A:$A,0)),FALSE),ROUND(D51+(E51-D51)*(1+G51)*((4-1)/(MaxLevel-1))^(2^F51),0),D51+(E51-D51)*(1+G51)*((4-1)/(MaxLevel-1))^(2^F51)))</f>
        <v/>
      </c>
      <c r="L51" s="13">
        <f>IF(OR(D51="",E51=""),"",IF(IFERROR(INDEX(Stats!$D:$D,MATCH($C51,Stats!$A:$A,0)),FALSE),ROUND(D51+(E51-D51)*(1+G51)*((5-1)/(MaxLevel-1))^(2^F51),0),D51+(E51-D51)*(1+G51)*((5-1)/(MaxLevel-1))^(2^F51)))</f>
        <v/>
      </c>
      <c r="M51" s="13">
        <f>IF(OR(D51="",E51=""),"",IF(IFERROR(INDEX(Stats!$D:$D,MATCH($C51,Stats!$A:$A,0)),FALSE),ROUND(D51+(E51-D51)*(1+G51)*((6-1)/(MaxLevel-1))^(2^F51),0),D51+(E51-D51)*(1+G51)*((6-1)/(MaxLevel-1))^(2^F51)))</f>
        <v/>
      </c>
      <c r="N51" s="13">
        <f>IF(OR(D51="",E51=""),"",IF(IFERROR(INDEX(Stats!$D:$D,MATCH($C51,Stats!$A:$A,0)),FALSE),ROUND(D51+(E51-D51)*(1+G51)*((7-1)/(MaxLevel-1))^(2^F51),0),D51+(E51-D51)*(1+G51)*((7-1)/(MaxLevel-1))^(2^F51)))</f>
        <v/>
      </c>
      <c r="O51" s="13">
        <f>IF(OR(D51="",E51=""),"",IF(IFERROR(INDEX(Stats!$D:$D,MATCH($C51,Stats!$A:$A,0)),FALSE),ROUND(D51+(E51-D51)*(1+G51)*((8-1)/(MaxLevel-1))^(2^F51),0),D51+(E51-D51)*(1+G51)*((8-1)/(MaxLevel-1))^(2^F51)))</f>
        <v/>
      </c>
      <c r="P51" s="13">
        <f>IF(OR(D51="",E51=""),"",IF(IFERROR(INDEX(Stats!$D:$D,MATCH($C51,Stats!$A:$A,0)),FALSE),ROUND(D51+(E51-D51)*(1+G51)*((9-1)/(MaxLevel-1))^(2^F51),0),D51+(E51-D51)*(1+G51)*((9-1)/(MaxLevel-1))^(2^F51)))</f>
        <v/>
      </c>
      <c r="Q51" s="13">
        <f>IF(OR(D51="",E51=""),"",IF(IFERROR(INDEX(Stats!$D:$D,MATCH($C51,Stats!$A:$A,0)),FALSE),ROUND(D51+(E51-D51)*(1+G51)*((10-1)/(MaxLevel-1))^(2^F51),0),D51+(E51-D51)*(1+G51)*((10-1)/(MaxLevel-1))^(2^F51)))</f>
        <v/>
      </c>
    </row>
    <row r="52">
      <c r="A52" s="4" t="inlineStr">
        <is>
          <t>01U</t>
        </is>
      </c>
      <c r="B52" s="4" t="inlineStr">
        <is>
          <t>T2F</t>
        </is>
      </c>
      <c r="C52" s="4" t="inlineStr">
        <is>
          <t>WorkingCost</t>
        </is>
      </c>
      <c r="D52" s="5" t="n"/>
      <c r="E52" s="5" t="n"/>
      <c r="F52" s="5" t="n"/>
      <c r="G52" s="5" t="n"/>
      <c r="H52" s="13">
        <f>IF(OR(D52="",E52=""),"",IF(IFERROR(INDEX(Stats!$D:$D,MATCH($C52,Stats!$A:$A,0)),FALSE),ROUND(D52+(E52-D52)*(1+G52)*((1-1)/(MaxLevel-1))^(2^F52),0),D52+(E52-D52)*(1+G52)*((1-1)/(MaxLevel-1))^(2^F52)))</f>
        <v/>
      </c>
      <c r="I52" s="13">
        <f>IF(OR(D52="",E52=""),"",IF(IFERROR(INDEX(Stats!$D:$D,MATCH($C52,Stats!$A:$A,0)),FALSE),ROUND(D52+(E52-D52)*(1+G52)*((2-1)/(MaxLevel-1))^(2^F52),0),D52+(E52-D52)*(1+G52)*((2-1)/(MaxLevel-1))^(2^F52)))</f>
        <v/>
      </c>
      <c r="J52" s="13">
        <f>IF(OR(D52="",E52=""),"",IF(IFERROR(INDEX(Stats!$D:$D,MATCH($C52,Stats!$A:$A,0)),FALSE),ROUND(D52+(E52-D52)*(1+G52)*((3-1)/(MaxLevel-1))^(2^F52),0),D52+(E52-D52)*(1+G52)*((3-1)/(MaxLevel-1))^(2^F52)))</f>
        <v/>
      </c>
      <c r="K52" s="13">
        <f>IF(OR(D52="",E52=""),"",IF(IFERROR(INDEX(Stats!$D:$D,MATCH($C52,Stats!$A:$A,0)),FALSE),ROUND(D52+(E52-D52)*(1+G52)*((4-1)/(MaxLevel-1))^(2^F52),0),D52+(E52-D52)*(1+G52)*((4-1)/(MaxLevel-1))^(2^F52)))</f>
        <v/>
      </c>
      <c r="L52" s="13">
        <f>IF(OR(D52="",E52=""),"",IF(IFERROR(INDEX(Stats!$D:$D,MATCH($C52,Stats!$A:$A,0)),FALSE),ROUND(D52+(E52-D52)*(1+G52)*((5-1)/(MaxLevel-1))^(2^F52),0),D52+(E52-D52)*(1+G52)*((5-1)/(MaxLevel-1))^(2^F52)))</f>
        <v/>
      </c>
      <c r="M52" s="13">
        <f>IF(OR(D52="",E52=""),"",IF(IFERROR(INDEX(Stats!$D:$D,MATCH($C52,Stats!$A:$A,0)),FALSE),ROUND(D52+(E52-D52)*(1+G52)*((6-1)/(MaxLevel-1))^(2^F52),0),D52+(E52-D52)*(1+G52)*((6-1)/(MaxLevel-1))^(2^F52)))</f>
        <v/>
      </c>
      <c r="N52" s="13">
        <f>IF(OR(D52="",E52=""),"",IF(IFERROR(INDEX(Stats!$D:$D,MATCH($C52,Stats!$A:$A,0)),FALSE),ROUND(D52+(E52-D52)*(1+G52)*((7-1)/(MaxLevel-1))^(2^F52),0),D52+(E52-D52)*(1+G52)*((7-1)/(MaxLevel-1))^(2^F52)))</f>
        <v/>
      </c>
      <c r="O52" s="13">
        <f>IF(OR(D52="",E52=""),"",IF(IFERROR(INDEX(Stats!$D:$D,MATCH($C52,Stats!$A:$A,0)),FALSE),ROUND(D52+(E52-D52)*(1+G52)*((8-1)/(MaxLevel-1))^(2^F52),0),D52+(E52-D52)*(1+G52)*((8-1)/(MaxLevel-1))^(2^F52)))</f>
        <v/>
      </c>
      <c r="P52" s="13">
        <f>IF(OR(D52="",E52=""),"",IF(IFERROR(INDEX(Stats!$D:$D,MATCH($C52,Stats!$A:$A,0)),FALSE),ROUND(D52+(E52-D52)*(1+G52)*((9-1)/(MaxLevel-1))^(2^F52),0),D52+(E52-D52)*(1+G52)*((9-1)/(MaxLevel-1))^(2^F52)))</f>
        <v/>
      </c>
      <c r="Q52" s="13">
        <f>IF(OR(D52="",E52=""),"",IF(IFERROR(INDEX(Stats!$D:$D,MATCH($C52,Stats!$A:$A,0)),FALSE),ROUND(D52+(E52-D52)*(1+G52)*((10-1)/(MaxLevel-1))^(2^F52),0),D52+(E52-D52)*(1+G52)*((10-1)/(MaxLevel-1))^(2^F52)))</f>
        <v/>
      </c>
    </row>
    <row r="53">
      <c r="A53" s="4" t="inlineStr">
        <is>
          <t>01U</t>
        </is>
      </c>
      <c r="B53" s="4" t="inlineStr">
        <is>
          <t>T2F</t>
        </is>
      </c>
      <c r="C53" s="4" t="inlineStr">
        <is>
          <t>SkillResearch</t>
        </is>
      </c>
      <c r="D53" s="5" t="n"/>
      <c r="E53" s="5" t="n"/>
      <c r="F53" s="5" t="n"/>
      <c r="G53" s="5" t="n"/>
      <c r="H53" s="13">
        <f>IF(OR(D53="",E53=""),"",IF(IFERROR(INDEX(Stats!$D:$D,MATCH($C53,Stats!$A:$A,0)),FALSE),ROUND(D53+(E53-D53)*(1+G53)*((1-1)/(MaxLevel-1))^(2^F53),0),D53+(E53-D53)*(1+G53)*((1-1)/(MaxLevel-1))^(2^F53)))</f>
        <v/>
      </c>
      <c r="I53" s="13">
        <f>IF(OR(D53="",E53=""),"",IF(IFERROR(INDEX(Stats!$D:$D,MATCH($C53,Stats!$A:$A,0)),FALSE),ROUND(D53+(E53-D53)*(1+G53)*((2-1)/(MaxLevel-1))^(2^F53),0),D53+(E53-D53)*(1+G53)*((2-1)/(MaxLevel-1))^(2^F53)))</f>
        <v/>
      </c>
      <c r="J53" s="13">
        <f>IF(OR(D53="",E53=""),"",IF(IFERROR(INDEX(Stats!$D:$D,MATCH($C53,Stats!$A:$A,0)),FALSE),ROUND(D53+(E53-D53)*(1+G53)*((3-1)/(MaxLevel-1))^(2^F53),0),D53+(E53-D53)*(1+G53)*((3-1)/(MaxLevel-1))^(2^F53)))</f>
        <v/>
      </c>
      <c r="K53" s="13">
        <f>IF(OR(D53="",E53=""),"",IF(IFERROR(INDEX(Stats!$D:$D,MATCH($C53,Stats!$A:$A,0)),FALSE),ROUND(D53+(E53-D53)*(1+G53)*((4-1)/(MaxLevel-1))^(2^F53),0),D53+(E53-D53)*(1+G53)*((4-1)/(MaxLevel-1))^(2^F53)))</f>
        <v/>
      </c>
      <c r="L53" s="13">
        <f>IF(OR(D53="",E53=""),"",IF(IFERROR(INDEX(Stats!$D:$D,MATCH($C53,Stats!$A:$A,0)),FALSE),ROUND(D53+(E53-D53)*(1+G53)*((5-1)/(MaxLevel-1))^(2^F53),0),D53+(E53-D53)*(1+G53)*((5-1)/(MaxLevel-1))^(2^F53)))</f>
        <v/>
      </c>
      <c r="M53" s="13">
        <f>IF(OR(D53="",E53=""),"",IF(IFERROR(INDEX(Stats!$D:$D,MATCH($C53,Stats!$A:$A,0)),FALSE),ROUND(D53+(E53-D53)*(1+G53)*((6-1)/(MaxLevel-1))^(2^F53),0),D53+(E53-D53)*(1+G53)*((6-1)/(MaxLevel-1))^(2^F53)))</f>
        <v/>
      </c>
      <c r="N53" s="13">
        <f>IF(OR(D53="",E53=""),"",IF(IFERROR(INDEX(Stats!$D:$D,MATCH($C53,Stats!$A:$A,0)),FALSE),ROUND(D53+(E53-D53)*(1+G53)*((7-1)/(MaxLevel-1))^(2^F53),0),D53+(E53-D53)*(1+G53)*((7-1)/(MaxLevel-1))^(2^F53)))</f>
        <v/>
      </c>
      <c r="O53" s="13">
        <f>IF(OR(D53="",E53=""),"",IF(IFERROR(INDEX(Stats!$D:$D,MATCH($C53,Stats!$A:$A,0)),FALSE),ROUND(D53+(E53-D53)*(1+G53)*((8-1)/(MaxLevel-1))^(2^F53),0),D53+(E53-D53)*(1+G53)*((8-1)/(MaxLevel-1))^(2^F53)))</f>
        <v/>
      </c>
      <c r="P53" s="13">
        <f>IF(OR(D53="",E53=""),"",IF(IFERROR(INDEX(Stats!$D:$D,MATCH($C53,Stats!$A:$A,0)),FALSE),ROUND(D53+(E53-D53)*(1+G53)*((9-1)/(MaxLevel-1))^(2^F53),0),D53+(E53-D53)*(1+G53)*((9-1)/(MaxLevel-1))^(2^F53)))</f>
        <v/>
      </c>
      <c r="Q53" s="13">
        <f>IF(OR(D53="",E53=""),"",IF(IFERROR(INDEX(Stats!$D:$D,MATCH($C53,Stats!$A:$A,0)),FALSE),ROUND(D53+(E53-D53)*(1+G53)*((10-1)/(MaxLevel-1))^(2^F53),0),D53+(E53-D53)*(1+G53)*((10-1)/(MaxLevel-1))^(2^F53)))</f>
        <v/>
      </c>
    </row>
    <row r="54">
      <c r="A54" s="4" t="inlineStr">
        <is>
          <t>01U</t>
        </is>
      </c>
      <c r="B54" s="4" t="inlineStr">
        <is>
          <t>T2F</t>
        </is>
      </c>
      <c r="C54" s="4" t="inlineStr">
        <is>
          <t>SkillTrain</t>
        </is>
      </c>
      <c r="D54" s="5" t="n"/>
      <c r="E54" s="5" t="n"/>
      <c r="F54" s="5" t="n"/>
      <c r="G54" s="5" t="n"/>
      <c r="H54" s="13">
        <f>IF(OR(D54="",E54=""),"",IF(IFERROR(INDEX(Stats!$D:$D,MATCH($C54,Stats!$A:$A,0)),FALSE),ROUND(D54+(E54-D54)*(1+G54)*((1-1)/(MaxLevel-1))^(2^F54),0),D54+(E54-D54)*(1+G54)*((1-1)/(MaxLevel-1))^(2^F54)))</f>
        <v/>
      </c>
      <c r="I54" s="13">
        <f>IF(OR(D54="",E54=""),"",IF(IFERROR(INDEX(Stats!$D:$D,MATCH($C54,Stats!$A:$A,0)),FALSE),ROUND(D54+(E54-D54)*(1+G54)*((2-1)/(MaxLevel-1))^(2^F54),0),D54+(E54-D54)*(1+G54)*((2-1)/(MaxLevel-1))^(2^F54)))</f>
        <v/>
      </c>
      <c r="J54" s="13">
        <f>IF(OR(D54="",E54=""),"",IF(IFERROR(INDEX(Stats!$D:$D,MATCH($C54,Stats!$A:$A,0)),FALSE),ROUND(D54+(E54-D54)*(1+G54)*((3-1)/(MaxLevel-1))^(2^F54),0),D54+(E54-D54)*(1+G54)*((3-1)/(MaxLevel-1))^(2^F54)))</f>
        <v/>
      </c>
      <c r="K54" s="13">
        <f>IF(OR(D54="",E54=""),"",IF(IFERROR(INDEX(Stats!$D:$D,MATCH($C54,Stats!$A:$A,0)),FALSE),ROUND(D54+(E54-D54)*(1+G54)*((4-1)/(MaxLevel-1))^(2^F54),0),D54+(E54-D54)*(1+G54)*((4-1)/(MaxLevel-1))^(2^F54)))</f>
        <v/>
      </c>
      <c r="L54" s="13">
        <f>IF(OR(D54="",E54=""),"",IF(IFERROR(INDEX(Stats!$D:$D,MATCH($C54,Stats!$A:$A,0)),FALSE),ROUND(D54+(E54-D54)*(1+G54)*((5-1)/(MaxLevel-1))^(2^F54),0),D54+(E54-D54)*(1+G54)*((5-1)/(MaxLevel-1))^(2^F54)))</f>
        <v/>
      </c>
      <c r="M54" s="13">
        <f>IF(OR(D54="",E54=""),"",IF(IFERROR(INDEX(Stats!$D:$D,MATCH($C54,Stats!$A:$A,0)),FALSE),ROUND(D54+(E54-D54)*(1+G54)*((6-1)/(MaxLevel-1))^(2^F54),0),D54+(E54-D54)*(1+G54)*((6-1)/(MaxLevel-1))^(2^F54)))</f>
        <v/>
      </c>
      <c r="N54" s="13">
        <f>IF(OR(D54="",E54=""),"",IF(IFERROR(INDEX(Stats!$D:$D,MATCH($C54,Stats!$A:$A,0)),FALSE),ROUND(D54+(E54-D54)*(1+G54)*((7-1)/(MaxLevel-1))^(2^F54),0),D54+(E54-D54)*(1+G54)*((7-1)/(MaxLevel-1))^(2^F54)))</f>
        <v/>
      </c>
      <c r="O54" s="13">
        <f>IF(OR(D54="",E54=""),"",IF(IFERROR(INDEX(Stats!$D:$D,MATCH($C54,Stats!$A:$A,0)),FALSE),ROUND(D54+(E54-D54)*(1+G54)*((8-1)/(MaxLevel-1))^(2^F54),0),D54+(E54-D54)*(1+G54)*((8-1)/(MaxLevel-1))^(2^F54)))</f>
        <v/>
      </c>
      <c r="P54" s="13">
        <f>IF(OR(D54="",E54=""),"",IF(IFERROR(INDEX(Stats!$D:$D,MATCH($C54,Stats!$A:$A,0)),FALSE),ROUND(D54+(E54-D54)*(1+G54)*((9-1)/(MaxLevel-1))^(2^F54),0),D54+(E54-D54)*(1+G54)*((9-1)/(MaxLevel-1))^(2^F54)))</f>
        <v/>
      </c>
      <c r="Q54" s="13">
        <f>IF(OR(D54="",E54=""),"",IF(IFERROR(INDEX(Stats!$D:$D,MATCH($C54,Stats!$A:$A,0)),FALSE),ROUND(D54+(E54-D54)*(1+G54)*((10-1)/(MaxLevel-1))^(2^F54),0),D54+(E54-D54)*(1+G54)*((10-1)/(MaxLevel-1))^(2^F54)))</f>
        <v/>
      </c>
    </row>
    <row r="55">
      <c r="A55" s="4" t="inlineStr">
        <is>
          <t>01U</t>
        </is>
      </c>
      <c r="B55" s="4" t="inlineStr">
        <is>
          <t>T2F</t>
        </is>
      </c>
      <c r="C55" s="4" t="inlineStr">
        <is>
          <t>SkillBuild</t>
        </is>
      </c>
      <c r="D55" s="5" t="n"/>
      <c r="E55" s="5" t="n"/>
      <c r="F55" s="5" t="n"/>
      <c r="G55" s="5" t="n"/>
      <c r="H55" s="13">
        <f>IF(OR(D55="",E55=""),"",IF(IFERROR(INDEX(Stats!$D:$D,MATCH($C55,Stats!$A:$A,0)),FALSE),ROUND(D55+(E55-D55)*(1+G55)*((1-1)/(MaxLevel-1))^(2^F55),0),D55+(E55-D55)*(1+G55)*((1-1)/(MaxLevel-1))^(2^F55)))</f>
        <v/>
      </c>
      <c r="I55" s="13">
        <f>IF(OR(D55="",E55=""),"",IF(IFERROR(INDEX(Stats!$D:$D,MATCH($C55,Stats!$A:$A,0)),FALSE),ROUND(D55+(E55-D55)*(1+G55)*((2-1)/(MaxLevel-1))^(2^F55),0),D55+(E55-D55)*(1+G55)*((2-1)/(MaxLevel-1))^(2^F55)))</f>
        <v/>
      </c>
      <c r="J55" s="13">
        <f>IF(OR(D55="",E55=""),"",IF(IFERROR(INDEX(Stats!$D:$D,MATCH($C55,Stats!$A:$A,0)),FALSE),ROUND(D55+(E55-D55)*(1+G55)*((3-1)/(MaxLevel-1))^(2^F55),0),D55+(E55-D55)*(1+G55)*((3-1)/(MaxLevel-1))^(2^F55)))</f>
        <v/>
      </c>
      <c r="K55" s="13">
        <f>IF(OR(D55="",E55=""),"",IF(IFERROR(INDEX(Stats!$D:$D,MATCH($C55,Stats!$A:$A,0)),FALSE),ROUND(D55+(E55-D55)*(1+G55)*((4-1)/(MaxLevel-1))^(2^F55),0),D55+(E55-D55)*(1+G55)*((4-1)/(MaxLevel-1))^(2^F55)))</f>
        <v/>
      </c>
      <c r="L55" s="13">
        <f>IF(OR(D55="",E55=""),"",IF(IFERROR(INDEX(Stats!$D:$D,MATCH($C55,Stats!$A:$A,0)),FALSE),ROUND(D55+(E55-D55)*(1+G55)*((5-1)/(MaxLevel-1))^(2^F55),0),D55+(E55-D55)*(1+G55)*((5-1)/(MaxLevel-1))^(2^F55)))</f>
        <v/>
      </c>
      <c r="M55" s="13">
        <f>IF(OR(D55="",E55=""),"",IF(IFERROR(INDEX(Stats!$D:$D,MATCH($C55,Stats!$A:$A,0)),FALSE),ROUND(D55+(E55-D55)*(1+G55)*((6-1)/(MaxLevel-1))^(2^F55),0),D55+(E55-D55)*(1+G55)*((6-1)/(MaxLevel-1))^(2^F55)))</f>
        <v/>
      </c>
      <c r="N55" s="13">
        <f>IF(OR(D55="",E55=""),"",IF(IFERROR(INDEX(Stats!$D:$D,MATCH($C55,Stats!$A:$A,0)),FALSE),ROUND(D55+(E55-D55)*(1+G55)*((7-1)/(MaxLevel-1))^(2^F55),0),D55+(E55-D55)*(1+G55)*((7-1)/(MaxLevel-1))^(2^F55)))</f>
        <v/>
      </c>
      <c r="O55" s="13">
        <f>IF(OR(D55="",E55=""),"",IF(IFERROR(INDEX(Stats!$D:$D,MATCH($C55,Stats!$A:$A,0)),FALSE),ROUND(D55+(E55-D55)*(1+G55)*((8-1)/(MaxLevel-1))^(2^F55),0),D55+(E55-D55)*(1+G55)*((8-1)/(MaxLevel-1))^(2^F55)))</f>
        <v/>
      </c>
      <c r="P55" s="13">
        <f>IF(OR(D55="",E55=""),"",IF(IFERROR(INDEX(Stats!$D:$D,MATCH($C55,Stats!$A:$A,0)),FALSE),ROUND(D55+(E55-D55)*(1+G55)*((9-1)/(MaxLevel-1))^(2^F55),0),D55+(E55-D55)*(1+G55)*((9-1)/(MaxLevel-1))^(2^F55)))</f>
        <v/>
      </c>
      <c r="Q55" s="13">
        <f>IF(OR(D55="",E55=""),"",IF(IFERROR(INDEX(Stats!$D:$D,MATCH($C55,Stats!$A:$A,0)),FALSE),ROUND(D55+(E55-D55)*(1+G55)*((10-1)/(MaxLevel-1))^(2^F55),0),D55+(E55-D55)*(1+G55)*((10-1)/(MaxLevel-1))^(2^F55)))</f>
        <v/>
      </c>
    </row>
    <row r="56">
      <c r="A56" s="4" t="inlineStr">
        <is>
          <t>01U</t>
        </is>
      </c>
      <c r="B56" s="4" t="inlineStr">
        <is>
          <t>T2F</t>
        </is>
      </c>
      <c r="C56" s="4" t="inlineStr">
        <is>
          <t>SkillPray</t>
        </is>
      </c>
      <c r="D56" s="5" t="n"/>
      <c r="E56" s="5" t="n"/>
      <c r="F56" s="5" t="n"/>
      <c r="G56" s="5" t="n"/>
      <c r="H56" s="13">
        <f>IF(OR(D56="",E56=""),"",IF(IFERROR(INDEX(Stats!$D:$D,MATCH($C56,Stats!$A:$A,0)),FALSE),ROUND(D56+(E56-D56)*(1+G56)*((1-1)/(MaxLevel-1))^(2^F56),0),D56+(E56-D56)*(1+G56)*((1-1)/(MaxLevel-1))^(2^F56)))</f>
        <v/>
      </c>
      <c r="I56" s="13">
        <f>IF(OR(D56="",E56=""),"",IF(IFERROR(INDEX(Stats!$D:$D,MATCH($C56,Stats!$A:$A,0)),FALSE),ROUND(D56+(E56-D56)*(1+G56)*((2-1)/(MaxLevel-1))^(2^F56),0),D56+(E56-D56)*(1+G56)*((2-1)/(MaxLevel-1))^(2^F56)))</f>
        <v/>
      </c>
      <c r="J56" s="13">
        <f>IF(OR(D56="",E56=""),"",IF(IFERROR(INDEX(Stats!$D:$D,MATCH($C56,Stats!$A:$A,0)),FALSE),ROUND(D56+(E56-D56)*(1+G56)*((3-1)/(MaxLevel-1))^(2^F56),0),D56+(E56-D56)*(1+G56)*((3-1)/(MaxLevel-1))^(2^F56)))</f>
        <v/>
      </c>
      <c r="K56" s="13">
        <f>IF(OR(D56="",E56=""),"",IF(IFERROR(INDEX(Stats!$D:$D,MATCH($C56,Stats!$A:$A,0)),FALSE),ROUND(D56+(E56-D56)*(1+G56)*((4-1)/(MaxLevel-1))^(2^F56),0),D56+(E56-D56)*(1+G56)*((4-1)/(MaxLevel-1))^(2^F56)))</f>
        <v/>
      </c>
      <c r="L56" s="13">
        <f>IF(OR(D56="",E56=""),"",IF(IFERROR(INDEX(Stats!$D:$D,MATCH($C56,Stats!$A:$A,0)),FALSE),ROUND(D56+(E56-D56)*(1+G56)*((5-1)/(MaxLevel-1))^(2^F56),0),D56+(E56-D56)*(1+G56)*((5-1)/(MaxLevel-1))^(2^F56)))</f>
        <v/>
      </c>
      <c r="M56" s="13">
        <f>IF(OR(D56="",E56=""),"",IF(IFERROR(INDEX(Stats!$D:$D,MATCH($C56,Stats!$A:$A,0)),FALSE),ROUND(D56+(E56-D56)*(1+G56)*((6-1)/(MaxLevel-1))^(2^F56),0),D56+(E56-D56)*(1+G56)*((6-1)/(MaxLevel-1))^(2^F56)))</f>
        <v/>
      </c>
      <c r="N56" s="13">
        <f>IF(OR(D56="",E56=""),"",IF(IFERROR(INDEX(Stats!$D:$D,MATCH($C56,Stats!$A:$A,0)),FALSE),ROUND(D56+(E56-D56)*(1+G56)*((7-1)/(MaxLevel-1))^(2^F56),0),D56+(E56-D56)*(1+G56)*((7-1)/(MaxLevel-1))^(2^F56)))</f>
        <v/>
      </c>
      <c r="O56" s="13">
        <f>IF(OR(D56="",E56=""),"",IF(IFERROR(INDEX(Stats!$D:$D,MATCH($C56,Stats!$A:$A,0)),FALSE),ROUND(D56+(E56-D56)*(1+G56)*((8-1)/(MaxLevel-1))^(2^F56),0),D56+(E56-D56)*(1+G56)*((8-1)/(MaxLevel-1))^(2^F56)))</f>
        <v/>
      </c>
      <c r="P56" s="13">
        <f>IF(OR(D56="",E56=""),"",IF(IFERROR(INDEX(Stats!$D:$D,MATCH($C56,Stats!$A:$A,0)),FALSE),ROUND(D56+(E56-D56)*(1+G56)*((9-1)/(MaxLevel-1))^(2^F56),0),D56+(E56-D56)*(1+G56)*((9-1)/(MaxLevel-1))^(2^F56)))</f>
        <v/>
      </c>
      <c r="Q56" s="13">
        <f>IF(OR(D56="",E56=""),"",IF(IFERROR(INDEX(Stats!$D:$D,MATCH($C56,Stats!$A:$A,0)),FALSE),ROUND(D56+(E56-D56)*(1+G56)*((10-1)/(MaxLevel-1))^(2^F56),0),D56+(E56-D56)*(1+G56)*((10-1)/(MaxLevel-1))^(2^F56)))</f>
        <v/>
      </c>
    </row>
    <row r="57">
      <c r="A57" s="4" t="inlineStr">
        <is>
          <t>01U</t>
        </is>
      </c>
      <c r="B57" s="4" t="inlineStr">
        <is>
          <t>T2F</t>
        </is>
      </c>
      <c r="C57" s="4" t="inlineStr">
        <is>
          <t>SkillTorture</t>
        </is>
      </c>
      <c r="D57" s="5" t="n"/>
      <c r="E57" s="5" t="n"/>
      <c r="F57" s="5" t="n"/>
      <c r="G57" s="5" t="n"/>
      <c r="H57" s="13">
        <f>IF(OR(D57="",E57=""),"",IF(IFERROR(INDEX(Stats!$D:$D,MATCH($C57,Stats!$A:$A,0)),FALSE),ROUND(D57+(E57-D57)*(1+G57)*((1-1)/(MaxLevel-1))^(2^F57),0),D57+(E57-D57)*(1+G57)*((1-1)/(MaxLevel-1))^(2^F57)))</f>
        <v/>
      </c>
      <c r="I57" s="13">
        <f>IF(OR(D57="",E57=""),"",IF(IFERROR(INDEX(Stats!$D:$D,MATCH($C57,Stats!$A:$A,0)),FALSE),ROUND(D57+(E57-D57)*(1+G57)*((2-1)/(MaxLevel-1))^(2^F57),0),D57+(E57-D57)*(1+G57)*((2-1)/(MaxLevel-1))^(2^F57)))</f>
        <v/>
      </c>
      <c r="J57" s="13">
        <f>IF(OR(D57="",E57=""),"",IF(IFERROR(INDEX(Stats!$D:$D,MATCH($C57,Stats!$A:$A,0)),FALSE),ROUND(D57+(E57-D57)*(1+G57)*((3-1)/(MaxLevel-1))^(2^F57),0),D57+(E57-D57)*(1+G57)*((3-1)/(MaxLevel-1))^(2^F57)))</f>
        <v/>
      </c>
      <c r="K57" s="13">
        <f>IF(OR(D57="",E57=""),"",IF(IFERROR(INDEX(Stats!$D:$D,MATCH($C57,Stats!$A:$A,0)),FALSE),ROUND(D57+(E57-D57)*(1+G57)*((4-1)/(MaxLevel-1))^(2^F57),0),D57+(E57-D57)*(1+G57)*((4-1)/(MaxLevel-1))^(2^F57)))</f>
        <v/>
      </c>
      <c r="L57" s="13">
        <f>IF(OR(D57="",E57=""),"",IF(IFERROR(INDEX(Stats!$D:$D,MATCH($C57,Stats!$A:$A,0)),FALSE),ROUND(D57+(E57-D57)*(1+G57)*((5-1)/(MaxLevel-1))^(2^F57),0),D57+(E57-D57)*(1+G57)*((5-1)/(MaxLevel-1))^(2^F57)))</f>
        <v/>
      </c>
      <c r="M57" s="13">
        <f>IF(OR(D57="",E57=""),"",IF(IFERROR(INDEX(Stats!$D:$D,MATCH($C57,Stats!$A:$A,0)),FALSE),ROUND(D57+(E57-D57)*(1+G57)*((6-1)/(MaxLevel-1))^(2^F57),0),D57+(E57-D57)*(1+G57)*((6-1)/(MaxLevel-1))^(2^F57)))</f>
        <v/>
      </c>
      <c r="N57" s="13">
        <f>IF(OR(D57="",E57=""),"",IF(IFERROR(INDEX(Stats!$D:$D,MATCH($C57,Stats!$A:$A,0)),FALSE),ROUND(D57+(E57-D57)*(1+G57)*((7-1)/(MaxLevel-1))^(2^F57),0),D57+(E57-D57)*(1+G57)*((7-1)/(MaxLevel-1))^(2^F57)))</f>
        <v/>
      </c>
      <c r="O57" s="13">
        <f>IF(OR(D57="",E57=""),"",IF(IFERROR(INDEX(Stats!$D:$D,MATCH($C57,Stats!$A:$A,0)),FALSE),ROUND(D57+(E57-D57)*(1+G57)*((8-1)/(MaxLevel-1))^(2^F57),0),D57+(E57-D57)*(1+G57)*((8-1)/(MaxLevel-1))^(2^F57)))</f>
        <v/>
      </c>
      <c r="P57" s="13">
        <f>IF(OR(D57="",E57=""),"",IF(IFERROR(INDEX(Stats!$D:$D,MATCH($C57,Stats!$A:$A,0)),FALSE),ROUND(D57+(E57-D57)*(1+G57)*((9-1)/(MaxLevel-1))^(2^F57),0),D57+(E57-D57)*(1+G57)*((9-1)/(MaxLevel-1))^(2^F57)))</f>
        <v/>
      </c>
      <c r="Q57" s="13">
        <f>IF(OR(D57="",E57=""),"",IF(IFERROR(INDEX(Stats!$D:$D,MATCH($C57,Stats!$A:$A,0)),FALSE),ROUND(D57+(E57-D57)*(1+G57)*((10-1)/(MaxLevel-1))^(2^F57),0),D57+(E57-D57)*(1+G57)*((10-1)/(MaxLevel-1))^(2^F57)))</f>
        <v/>
      </c>
    </row>
    <row r="58">
      <c r="A58" s="4" t="inlineStr">
        <is>
          <t>01U</t>
        </is>
      </c>
      <c r="B58" s="4" t="inlineStr">
        <is>
          <t>T2F</t>
        </is>
      </c>
      <c r="C58" s="4" t="inlineStr">
        <is>
          <t>Anger</t>
        </is>
      </c>
      <c r="D58" s="5" t="n"/>
      <c r="E58" s="5" t="n"/>
      <c r="F58" s="5" t="n"/>
      <c r="G58" s="5" t="n"/>
      <c r="H58" s="13">
        <f>IF(OR(D58="",E58=""),"",IF(IFERROR(INDEX(Stats!$D:$D,MATCH($C58,Stats!$A:$A,0)),FALSE),ROUND(D58+(E58-D58)*(1+G58)*((1-1)/(MaxLevel-1))^(2^F58),0),D58+(E58-D58)*(1+G58)*((1-1)/(MaxLevel-1))^(2^F58)))</f>
        <v/>
      </c>
      <c r="I58" s="13">
        <f>IF(OR(D58="",E58=""),"",IF(IFERROR(INDEX(Stats!$D:$D,MATCH($C58,Stats!$A:$A,0)),FALSE),ROUND(D58+(E58-D58)*(1+G58)*((2-1)/(MaxLevel-1))^(2^F58),0),D58+(E58-D58)*(1+G58)*((2-1)/(MaxLevel-1))^(2^F58)))</f>
        <v/>
      </c>
      <c r="J58" s="13">
        <f>IF(OR(D58="",E58=""),"",IF(IFERROR(INDEX(Stats!$D:$D,MATCH($C58,Stats!$A:$A,0)),FALSE),ROUND(D58+(E58-D58)*(1+G58)*((3-1)/(MaxLevel-1))^(2^F58),0),D58+(E58-D58)*(1+G58)*((3-1)/(MaxLevel-1))^(2^F58)))</f>
        <v/>
      </c>
      <c r="K58" s="13">
        <f>IF(OR(D58="",E58=""),"",IF(IFERROR(INDEX(Stats!$D:$D,MATCH($C58,Stats!$A:$A,0)),FALSE),ROUND(D58+(E58-D58)*(1+G58)*((4-1)/(MaxLevel-1))^(2^F58),0),D58+(E58-D58)*(1+G58)*((4-1)/(MaxLevel-1))^(2^F58)))</f>
        <v/>
      </c>
      <c r="L58" s="13">
        <f>IF(OR(D58="",E58=""),"",IF(IFERROR(INDEX(Stats!$D:$D,MATCH($C58,Stats!$A:$A,0)),FALSE),ROUND(D58+(E58-D58)*(1+G58)*((5-1)/(MaxLevel-1))^(2^F58),0),D58+(E58-D58)*(1+G58)*((5-1)/(MaxLevel-1))^(2^F58)))</f>
        <v/>
      </c>
      <c r="M58" s="13">
        <f>IF(OR(D58="",E58=""),"",IF(IFERROR(INDEX(Stats!$D:$D,MATCH($C58,Stats!$A:$A,0)),FALSE),ROUND(D58+(E58-D58)*(1+G58)*((6-1)/(MaxLevel-1))^(2^F58),0),D58+(E58-D58)*(1+G58)*((6-1)/(MaxLevel-1))^(2^F58)))</f>
        <v/>
      </c>
      <c r="N58" s="13">
        <f>IF(OR(D58="",E58=""),"",IF(IFERROR(INDEX(Stats!$D:$D,MATCH($C58,Stats!$A:$A,0)),FALSE),ROUND(D58+(E58-D58)*(1+G58)*((7-1)/(MaxLevel-1))^(2^F58),0),D58+(E58-D58)*(1+G58)*((7-1)/(MaxLevel-1))^(2^F58)))</f>
        <v/>
      </c>
      <c r="O58" s="13">
        <f>IF(OR(D58="",E58=""),"",IF(IFERROR(INDEX(Stats!$D:$D,MATCH($C58,Stats!$A:$A,0)),FALSE),ROUND(D58+(E58-D58)*(1+G58)*((8-1)/(MaxLevel-1))^(2^F58),0),D58+(E58-D58)*(1+G58)*((8-1)/(MaxLevel-1))^(2^F58)))</f>
        <v/>
      </c>
      <c r="P58" s="13">
        <f>IF(OR(D58="",E58=""),"",IF(IFERROR(INDEX(Stats!$D:$D,MATCH($C58,Stats!$A:$A,0)),FALSE),ROUND(D58+(E58-D58)*(1+G58)*((9-1)/(MaxLevel-1))^(2^F58),0),D58+(E58-D58)*(1+G58)*((9-1)/(MaxLevel-1))^(2^F58)))</f>
        <v/>
      </c>
      <c r="Q58" s="13">
        <f>IF(OR(D58="",E58=""),"",IF(IFERROR(INDEX(Stats!$D:$D,MATCH($C58,Stats!$A:$A,0)),FALSE),ROUND(D58+(E58-D58)*(1+G58)*((10-1)/(MaxLevel-1))^(2^F58),0),D58+(E58-D58)*(1+G58)*((10-1)/(MaxLevel-1))^(2^F58)))</f>
        <v/>
      </c>
    </row>
    <row r="59">
      <c r="A59" s="4" t="inlineStr">
        <is>
          <t>01U</t>
        </is>
      </c>
      <c r="B59" s="4" t="inlineStr">
        <is>
          <t>W</t>
        </is>
      </c>
      <c r="C59" s="4" t="inlineStr">
        <is>
          <t>Experience</t>
        </is>
      </c>
      <c r="D59" s="5" t="n"/>
      <c r="E59" s="5" t="n"/>
      <c r="F59" s="5" t="n"/>
      <c r="G59" s="5" t="n"/>
      <c r="H59" s="13">
        <f>IF(OR(D59="",E59=""),"",IF(IFERROR(INDEX(Stats!$D:$D,MATCH($C59,Stats!$A:$A,0)),FALSE),ROUND(D59+(E59-D59)*(1+G59)*((1-1)/(MaxLevel-1))^(2^F59),0),D59+(E59-D59)*(1+G59)*((1-1)/(MaxLevel-1))^(2^F59)))</f>
        <v/>
      </c>
      <c r="I59" s="13">
        <f>IF(OR(D59="",E59=""),"",IF(IFERROR(INDEX(Stats!$D:$D,MATCH($C59,Stats!$A:$A,0)),FALSE),ROUND(D59+(E59-D59)*(1+G59)*((2-1)/(MaxLevel-1))^(2^F59),0),D59+(E59-D59)*(1+G59)*((2-1)/(MaxLevel-1))^(2^F59)))</f>
        <v/>
      </c>
      <c r="J59" s="13">
        <f>IF(OR(D59="",E59=""),"",IF(IFERROR(INDEX(Stats!$D:$D,MATCH($C59,Stats!$A:$A,0)),FALSE),ROUND(D59+(E59-D59)*(1+G59)*((3-1)/(MaxLevel-1))^(2^F59),0),D59+(E59-D59)*(1+G59)*((3-1)/(MaxLevel-1))^(2^F59)))</f>
        <v/>
      </c>
      <c r="K59" s="13">
        <f>IF(OR(D59="",E59=""),"",IF(IFERROR(INDEX(Stats!$D:$D,MATCH($C59,Stats!$A:$A,0)),FALSE),ROUND(D59+(E59-D59)*(1+G59)*((4-1)/(MaxLevel-1))^(2^F59),0),D59+(E59-D59)*(1+G59)*((4-1)/(MaxLevel-1))^(2^F59)))</f>
        <v/>
      </c>
      <c r="L59" s="13">
        <f>IF(OR(D59="",E59=""),"",IF(IFERROR(INDEX(Stats!$D:$D,MATCH($C59,Stats!$A:$A,0)),FALSE),ROUND(D59+(E59-D59)*(1+G59)*((5-1)/(MaxLevel-1))^(2^F59),0),D59+(E59-D59)*(1+G59)*((5-1)/(MaxLevel-1))^(2^F59)))</f>
        <v/>
      </c>
      <c r="M59" s="13">
        <f>IF(OR(D59="",E59=""),"",IF(IFERROR(INDEX(Stats!$D:$D,MATCH($C59,Stats!$A:$A,0)),FALSE),ROUND(D59+(E59-D59)*(1+G59)*((6-1)/(MaxLevel-1))^(2^F59),0),D59+(E59-D59)*(1+G59)*((6-1)/(MaxLevel-1))^(2^F59)))</f>
        <v/>
      </c>
      <c r="N59" s="13">
        <f>IF(OR(D59="",E59=""),"",IF(IFERROR(INDEX(Stats!$D:$D,MATCH($C59,Stats!$A:$A,0)),FALSE),ROUND(D59+(E59-D59)*(1+G59)*((7-1)/(MaxLevel-1))^(2^F59),0),D59+(E59-D59)*(1+G59)*((7-1)/(MaxLevel-1))^(2^F59)))</f>
        <v/>
      </c>
      <c r="O59" s="13">
        <f>IF(OR(D59="",E59=""),"",IF(IFERROR(INDEX(Stats!$D:$D,MATCH($C59,Stats!$A:$A,0)),FALSE),ROUND(D59+(E59-D59)*(1+G59)*((8-1)/(MaxLevel-1))^(2^F59),0),D59+(E59-D59)*(1+G59)*((8-1)/(MaxLevel-1))^(2^F59)))</f>
        <v/>
      </c>
      <c r="P59" s="13">
        <f>IF(OR(D59="",E59=""),"",IF(IFERROR(INDEX(Stats!$D:$D,MATCH($C59,Stats!$A:$A,0)),FALSE),ROUND(D59+(E59-D59)*(1+G59)*((9-1)/(MaxLevel-1))^(2^F59),0),D59+(E59-D59)*(1+G59)*((9-1)/(MaxLevel-1))^(2^F59)))</f>
        <v/>
      </c>
      <c r="Q59" s="13">
        <f>IF(OR(D59="",E59=""),"",IF(IFERROR(INDEX(Stats!$D:$D,MATCH($C59,Stats!$A:$A,0)),FALSE),ROUND(D59+(E59-D59)*(1+G59)*((10-1)/(MaxLevel-1))^(2^F59),0),D59+(E59-D59)*(1+G59)*((10-1)/(MaxLevel-1))^(2^F59)))</f>
        <v/>
      </c>
    </row>
    <row r="60">
      <c r="A60" s="4" t="inlineStr">
        <is>
          <t>01U</t>
        </is>
      </c>
      <c r="B60" s="4" t="inlineStr">
        <is>
          <t>W</t>
        </is>
      </c>
      <c r="C60" s="4" t="inlineStr">
        <is>
          <t>Salary</t>
        </is>
      </c>
      <c r="D60" s="5" t="n"/>
      <c r="E60" s="5" t="n"/>
      <c r="F60" s="5" t="n"/>
      <c r="G60" s="5" t="n"/>
      <c r="H60" s="13">
        <f>IF(OR(D60="",E60=""),"",IF(IFERROR(INDEX(Stats!$D:$D,MATCH($C60,Stats!$A:$A,0)),FALSE),ROUND(D60+(E60-D60)*(1+G60)*((1-1)/(MaxLevel-1))^(2^F60),0),D60+(E60-D60)*(1+G60)*((1-1)/(MaxLevel-1))^(2^F60)))</f>
        <v/>
      </c>
      <c r="I60" s="13">
        <f>IF(OR(D60="",E60=""),"",IF(IFERROR(INDEX(Stats!$D:$D,MATCH($C60,Stats!$A:$A,0)),FALSE),ROUND(D60+(E60-D60)*(1+G60)*((2-1)/(MaxLevel-1))^(2^F60),0),D60+(E60-D60)*(1+G60)*((2-1)/(MaxLevel-1))^(2^F60)))</f>
        <v/>
      </c>
      <c r="J60" s="13">
        <f>IF(OR(D60="",E60=""),"",IF(IFERROR(INDEX(Stats!$D:$D,MATCH($C60,Stats!$A:$A,0)),FALSE),ROUND(D60+(E60-D60)*(1+G60)*((3-1)/(MaxLevel-1))^(2^F60),0),D60+(E60-D60)*(1+G60)*((3-1)/(MaxLevel-1))^(2^F60)))</f>
        <v/>
      </c>
      <c r="K60" s="13">
        <f>IF(OR(D60="",E60=""),"",IF(IFERROR(INDEX(Stats!$D:$D,MATCH($C60,Stats!$A:$A,0)),FALSE),ROUND(D60+(E60-D60)*(1+G60)*((4-1)/(MaxLevel-1))^(2^F60),0),D60+(E60-D60)*(1+G60)*((4-1)/(MaxLevel-1))^(2^F60)))</f>
        <v/>
      </c>
      <c r="L60" s="13">
        <f>IF(OR(D60="",E60=""),"",IF(IFERROR(INDEX(Stats!$D:$D,MATCH($C60,Stats!$A:$A,0)),FALSE),ROUND(D60+(E60-D60)*(1+G60)*((5-1)/(MaxLevel-1))^(2^F60),0),D60+(E60-D60)*(1+G60)*((5-1)/(MaxLevel-1))^(2^F60)))</f>
        <v/>
      </c>
      <c r="M60" s="13">
        <f>IF(OR(D60="",E60=""),"",IF(IFERROR(INDEX(Stats!$D:$D,MATCH($C60,Stats!$A:$A,0)),FALSE),ROUND(D60+(E60-D60)*(1+G60)*((6-1)/(MaxLevel-1))^(2^F60),0),D60+(E60-D60)*(1+G60)*((6-1)/(MaxLevel-1))^(2^F60)))</f>
        <v/>
      </c>
      <c r="N60" s="13">
        <f>IF(OR(D60="",E60=""),"",IF(IFERROR(INDEX(Stats!$D:$D,MATCH($C60,Stats!$A:$A,0)),FALSE),ROUND(D60+(E60-D60)*(1+G60)*((7-1)/(MaxLevel-1))^(2^F60),0),D60+(E60-D60)*(1+G60)*((7-1)/(MaxLevel-1))^(2^F60)))</f>
        <v/>
      </c>
      <c r="O60" s="13">
        <f>IF(OR(D60="",E60=""),"",IF(IFERROR(INDEX(Stats!$D:$D,MATCH($C60,Stats!$A:$A,0)),FALSE),ROUND(D60+(E60-D60)*(1+G60)*((8-1)/(MaxLevel-1))^(2^F60),0),D60+(E60-D60)*(1+G60)*((8-1)/(MaxLevel-1))^(2^F60)))</f>
        <v/>
      </c>
      <c r="P60" s="13">
        <f>IF(OR(D60="",E60=""),"",IF(IFERROR(INDEX(Stats!$D:$D,MATCH($C60,Stats!$A:$A,0)),FALSE),ROUND(D60+(E60-D60)*(1+G60)*((9-1)/(MaxLevel-1))^(2^F60),0),D60+(E60-D60)*(1+G60)*((9-1)/(MaxLevel-1))^(2^F60)))</f>
        <v/>
      </c>
      <c r="Q60" s="13">
        <f>IF(OR(D60="",E60=""),"",IF(IFERROR(INDEX(Stats!$D:$D,MATCH($C60,Stats!$A:$A,0)),FALSE),ROUND(D60+(E60-D60)*(1+G60)*((10-1)/(MaxLevel-1))^(2^F60),0),D60+(E60-D60)*(1+G60)*((10-1)/(MaxLevel-1))^(2^F60)))</f>
        <v/>
      </c>
    </row>
    <row r="61">
      <c r="A61" s="4" t="inlineStr">
        <is>
          <t>01U</t>
        </is>
      </c>
      <c r="B61" s="4" t="inlineStr">
        <is>
          <t>W</t>
        </is>
      </c>
      <c r="C61" s="4" t="inlineStr">
        <is>
          <t>Health</t>
        </is>
      </c>
      <c r="D61" s="5" t="n">
        <v>100</v>
      </c>
      <c r="E61" s="5" t="n">
        <v>250</v>
      </c>
      <c r="F61" s="5" t="n">
        <v>0</v>
      </c>
      <c r="G61" s="5" t="n">
        <v>0</v>
      </c>
      <c r="H61" s="13">
        <f>IF(OR(D61="",E61=""),"",IF(IFERROR(INDEX(Stats!$D:$D,MATCH($C61,Stats!$A:$A,0)),FALSE),ROUND(D61+(E61-D61)*(1+G61)*((1-1)/(MaxLevel-1))^(2^F61),0),D61+(E61-D61)*(1+G61)*((1-1)/(MaxLevel-1))^(2^F61)))</f>
        <v/>
      </c>
      <c r="I61" s="13">
        <f>IF(OR(D61="",E61=""),"",IF(IFERROR(INDEX(Stats!$D:$D,MATCH($C61,Stats!$A:$A,0)),FALSE),ROUND(D61+(E61-D61)*(1+G61)*((2-1)/(MaxLevel-1))^(2^F61),0),D61+(E61-D61)*(1+G61)*((2-1)/(MaxLevel-1))^(2^F61)))</f>
        <v/>
      </c>
      <c r="J61" s="13">
        <f>IF(OR(D61="",E61=""),"",IF(IFERROR(INDEX(Stats!$D:$D,MATCH($C61,Stats!$A:$A,0)),FALSE),ROUND(D61+(E61-D61)*(1+G61)*((3-1)/(MaxLevel-1))^(2^F61),0),D61+(E61-D61)*(1+G61)*((3-1)/(MaxLevel-1))^(2^F61)))</f>
        <v/>
      </c>
      <c r="K61" s="13">
        <f>IF(OR(D61="",E61=""),"",IF(IFERROR(INDEX(Stats!$D:$D,MATCH($C61,Stats!$A:$A,0)),FALSE),ROUND(D61+(E61-D61)*(1+G61)*((4-1)/(MaxLevel-1))^(2^F61),0),D61+(E61-D61)*(1+G61)*((4-1)/(MaxLevel-1))^(2^F61)))</f>
        <v/>
      </c>
      <c r="L61" s="13">
        <f>IF(OR(D61="",E61=""),"",IF(IFERROR(INDEX(Stats!$D:$D,MATCH($C61,Stats!$A:$A,0)),FALSE),ROUND(D61+(E61-D61)*(1+G61)*((5-1)/(MaxLevel-1))^(2^F61),0),D61+(E61-D61)*(1+G61)*((5-1)/(MaxLevel-1))^(2^F61)))</f>
        <v/>
      </c>
      <c r="M61" s="13">
        <f>IF(OR(D61="",E61=""),"",IF(IFERROR(INDEX(Stats!$D:$D,MATCH($C61,Stats!$A:$A,0)),FALSE),ROUND(D61+(E61-D61)*(1+G61)*((6-1)/(MaxLevel-1))^(2^F61),0),D61+(E61-D61)*(1+G61)*((6-1)/(MaxLevel-1))^(2^F61)))</f>
        <v/>
      </c>
      <c r="N61" s="13">
        <f>IF(OR(D61="",E61=""),"",IF(IFERROR(INDEX(Stats!$D:$D,MATCH($C61,Stats!$A:$A,0)),FALSE),ROUND(D61+(E61-D61)*(1+G61)*((7-1)/(MaxLevel-1))^(2^F61),0),D61+(E61-D61)*(1+G61)*((7-1)/(MaxLevel-1))^(2^F61)))</f>
        <v/>
      </c>
      <c r="O61" s="13">
        <f>IF(OR(D61="",E61=""),"",IF(IFERROR(INDEX(Stats!$D:$D,MATCH($C61,Stats!$A:$A,0)),FALSE),ROUND(D61+(E61-D61)*(1+G61)*((8-1)/(MaxLevel-1))^(2^F61),0),D61+(E61-D61)*(1+G61)*((8-1)/(MaxLevel-1))^(2^F61)))</f>
        <v/>
      </c>
      <c r="P61" s="13">
        <f>IF(OR(D61="",E61=""),"",IF(IFERROR(INDEX(Stats!$D:$D,MATCH($C61,Stats!$A:$A,0)),FALSE),ROUND(D61+(E61-D61)*(1+G61)*((9-1)/(MaxLevel-1))^(2^F61),0),D61+(E61-D61)*(1+G61)*((9-1)/(MaxLevel-1))^(2^F61)))</f>
        <v/>
      </c>
      <c r="Q61" s="13">
        <f>IF(OR(D61="",E61=""),"",IF(IFERROR(INDEX(Stats!$D:$D,MATCH($C61,Stats!$A:$A,0)),FALSE),ROUND(D61+(E61-D61)*(1+G61)*((10-1)/(MaxLevel-1))^(2^F61),0),D61+(E61-D61)*(1+G61)*((10-1)/(MaxLevel-1))^(2^F61)))</f>
        <v/>
      </c>
    </row>
    <row r="62">
      <c r="A62" s="4" t="inlineStr">
        <is>
          <t>01U</t>
        </is>
      </c>
      <c r="B62" s="4" t="inlineStr">
        <is>
          <t>W</t>
        </is>
      </c>
      <c r="C62" s="4" t="inlineStr">
        <is>
          <t>Strength</t>
        </is>
      </c>
      <c r="D62" s="5" t="n">
        <v>20</v>
      </c>
      <c r="E62" s="5" t="n">
        <v>40</v>
      </c>
      <c r="F62" s="5" t="n">
        <v>0</v>
      </c>
      <c r="G62" s="5" t="n">
        <v>0</v>
      </c>
      <c r="H62" s="13">
        <f>IF(OR(D62="",E62=""),"",IF(IFERROR(INDEX(Stats!$D:$D,MATCH($C62,Stats!$A:$A,0)),FALSE),ROUND(D62+(E62-D62)*(1+G62)*((1-1)/(MaxLevel-1))^(2^F62),0),D62+(E62-D62)*(1+G62)*((1-1)/(MaxLevel-1))^(2^F62)))</f>
        <v/>
      </c>
      <c r="I62" s="13">
        <f>IF(OR(D62="",E62=""),"",IF(IFERROR(INDEX(Stats!$D:$D,MATCH($C62,Stats!$A:$A,0)),FALSE),ROUND(D62+(E62-D62)*(1+G62)*((2-1)/(MaxLevel-1))^(2^F62),0),D62+(E62-D62)*(1+G62)*((2-1)/(MaxLevel-1))^(2^F62)))</f>
        <v/>
      </c>
      <c r="J62" s="13">
        <f>IF(OR(D62="",E62=""),"",IF(IFERROR(INDEX(Stats!$D:$D,MATCH($C62,Stats!$A:$A,0)),FALSE),ROUND(D62+(E62-D62)*(1+G62)*((3-1)/(MaxLevel-1))^(2^F62),0),D62+(E62-D62)*(1+G62)*((3-1)/(MaxLevel-1))^(2^F62)))</f>
        <v/>
      </c>
      <c r="K62" s="13">
        <f>IF(OR(D62="",E62=""),"",IF(IFERROR(INDEX(Stats!$D:$D,MATCH($C62,Stats!$A:$A,0)),FALSE),ROUND(D62+(E62-D62)*(1+G62)*((4-1)/(MaxLevel-1))^(2^F62),0),D62+(E62-D62)*(1+G62)*((4-1)/(MaxLevel-1))^(2^F62)))</f>
        <v/>
      </c>
      <c r="L62" s="13">
        <f>IF(OR(D62="",E62=""),"",IF(IFERROR(INDEX(Stats!$D:$D,MATCH($C62,Stats!$A:$A,0)),FALSE),ROUND(D62+(E62-D62)*(1+G62)*((5-1)/(MaxLevel-1))^(2^F62),0),D62+(E62-D62)*(1+G62)*((5-1)/(MaxLevel-1))^(2^F62)))</f>
        <v/>
      </c>
      <c r="M62" s="13">
        <f>IF(OR(D62="",E62=""),"",IF(IFERROR(INDEX(Stats!$D:$D,MATCH($C62,Stats!$A:$A,0)),FALSE),ROUND(D62+(E62-D62)*(1+G62)*((6-1)/(MaxLevel-1))^(2^F62),0),D62+(E62-D62)*(1+G62)*((6-1)/(MaxLevel-1))^(2^F62)))</f>
        <v/>
      </c>
      <c r="N62" s="13">
        <f>IF(OR(D62="",E62=""),"",IF(IFERROR(INDEX(Stats!$D:$D,MATCH($C62,Stats!$A:$A,0)),FALSE),ROUND(D62+(E62-D62)*(1+G62)*((7-1)/(MaxLevel-1))^(2^F62),0),D62+(E62-D62)*(1+G62)*((7-1)/(MaxLevel-1))^(2^F62)))</f>
        <v/>
      </c>
      <c r="O62" s="13">
        <f>IF(OR(D62="",E62=""),"",IF(IFERROR(INDEX(Stats!$D:$D,MATCH($C62,Stats!$A:$A,0)),FALSE),ROUND(D62+(E62-D62)*(1+G62)*((8-1)/(MaxLevel-1))^(2^F62),0),D62+(E62-D62)*(1+G62)*((8-1)/(MaxLevel-1))^(2^F62)))</f>
        <v/>
      </c>
      <c r="P62" s="13">
        <f>IF(OR(D62="",E62=""),"",IF(IFERROR(INDEX(Stats!$D:$D,MATCH($C62,Stats!$A:$A,0)),FALSE),ROUND(D62+(E62-D62)*(1+G62)*((9-1)/(MaxLevel-1))^(2^F62),0),D62+(E62-D62)*(1+G62)*((9-1)/(MaxLevel-1))^(2^F62)))</f>
        <v/>
      </c>
      <c r="Q62" s="13">
        <f>IF(OR(D62="",E62=""),"",IF(IFERROR(INDEX(Stats!$D:$D,MATCH($C62,Stats!$A:$A,0)),FALSE),ROUND(D62+(E62-D62)*(1+G62)*((10-1)/(MaxLevel-1))^(2^F62),0),D62+(E62-D62)*(1+G62)*((10-1)/(MaxLevel-1))^(2^F62)))</f>
        <v/>
      </c>
    </row>
    <row r="63">
      <c r="A63" s="4" t="inlineStr">
        <is>
          <t>01U</t>
        </is>
      </c>
      <c r="B63" s="4" t="inlineStr">
        <is>
          <t>W</t>
        </is>
      </c>
      <c r="C63" s="4" t="inlineStr">
        <is>
          <t>Accuracy</t>
        </is>
      </c>
      <c r="D63" s="5" t="n"/>
      <c r="E63" s="5" t="n"/>
      <c r="F63" s="5" t="n"/>
      <c r="G63" s="5" t="n"/>
      <c r="H63" s="13">
        <f>IF(OR(D63="",E63=""),"",IF(IFERROR(INDEX(Stats!$D:$D,MATCH($C63,Stats!$A:$A,0)),FALSE),ROUND(D63+(E63-D63)*(1+G63)*((1-1)/(MaxLevel-1))^(2^F63),0),D63+(E63-D63)*(1+G63)*((1-1)/(MaxLevel-1))^(2^F63)))</f>
        <v/>
      </c>
      <c r="I63" s="13">
        <f>IF(OR(D63="",E63=""),"",IF(IFERROR(INDEX(Stats!$D:$D,MATCH($C63,Stats!$A:$A,0)),FALSE),ROUND(D63+(E63-D63)*(1+G63)*((2-1)/(MaxLevel-1))^(2^F63),0),D63+(E63-D63)*(1+G63)*((2-1)/(MaxLevel-1))^(2^F63)))</f>
        <v/>
      </c>
      <c r="J63" s="13">
        <f>IF(OR(D63="",E63=""),"",IF(IFERROR(INDEX(Stats!$D:$D,MATCH($C63,Stats!$A:$A,0)),FALSE),ROUND(D63+(E63-D63)*(1+G63)*((3-1)/(MaxLevel-1))^(2^F63),0),D63+(E63-D63)*(1+G63)*((3-1)/(MaxLevel-1))^(2^F63)))</f>
        <v/>
      </c>
      <c r="K63" s="13">
        <f>IF(OR(D63="",E63=""),"",IF(IFERROR(INDEX(Stats!$D:$D,MATCH($C63,Stats!$A:$A,0)),FALSE),ROUND(D63+(E63-D63)*(1+G63)*((4-1)/(MaxLevel-1))^(2^F63),0),D63+(E63-D63)*(1+G63)*((4-1)/(MaxLevel-1))^(2^F63)))</f>
        <v/>
      </c>
      <c r="L63" s="13">
        <f>IF(OR(D63="",E63=""),"",IF(IFERROR(INDEX(Stats!$D:$D,MATCH($C63,Stats!$A:$A,0)),FALSE),ROUND(D63+(E63-D63)*(1+G63)*((5-1)/(MaxLevel-1))^(2^F63),0),D63+(E63-D63)*(1+G63)*((5-1)/(MaxLevel-1))^(2^F63)))</f>
        <v/>
      </c>
      <c r="M63" s="13">
        <f>IF(OR(D63="",E63=""),"",IF(IFERROR(INDEX(Stats!$D:$D,MATCH($C63,Stats!$A:$A,0)),FALSE),ROUND(D63+(E63-D63)*(1+G63)*((6-1)/(MaxLevel-1))^(2^F63),0),D63+(E63-D63)*(1+G63)*((6-1)/(MaxLevel-1))^(2^F63)))</f>
        <v/>
      </c>
      <c r="N63" s="13">
        <f>IF(OR(D63="",E63=""),"",IF(IFERROR(INDEX(Stats!$D:$D,MATCH($C63,Stats!$A:$A,0)),FALSE),ROUND(D63+(E63-D63)*(1+G63)*((7-1)/(MaxLevel-1))^(2^F63),0),D63+(E63-D63)*(1+G63)*((7-1)/(MaxLevel-1))^(2^F63)))</f>
        <v/>
      </c>
      <c r="O63" s="13">
        <f>IF(OR(D63="",E63=""),"",IF(IFERROR(INDEX(Stats!$D:$D,MATCH($C63,Stats!$A:$A,0)),FALSE),ROUND(D63+(E63-D63)*(1+G63)*((8-1)/(MaxLevel-1))^(2^F63),0),D63+(E63-D63)*(1+G63)*((8-1)/(MaxLevel-1))^(2^F63)))</f>
        <v/>
      </c>
      <c r="P63" s="13">
        <f>IF(OR(D63="",E63=""),"",IF(IFERROR(INDEX(Stats!$D:$D,MATCH($C63,Stats!$A:$A,0)),FALSE),ROUND(D63+(E63-D63)*(1+G63)*((9-1)/(MaxLevel-1))^(2^F63),0),D63+(E63-D63)*(1+G63)*((9-1)/(MaxLevel-1))^(2^F63)))</f>
        <v/>
      </c>
      <c r="Q63" s="13">
        <f>IF(OR(D63="",E63=""),"",IF(IFERROR(INDEX(Stats!$D:$D,MATCH($C63,Stats!$A:$A,0)),FALSE),ROUND(D63+(E63-D63)*(1+G63)*((10-1)/(MaxLevel-1))^(2^F63),0),D63+(E63-D63)*(1+G63)*((10-1)/(MaxLevel-1))^(2^F63)))</f>
        <v/>
      </c>
    </row>
    <row r="64">
      <c r="A64" s="4" t="inlineStr">
        <is>
          <t>01U</t>
        </is>
      </c>
      <c r="B64" s="4" t="inlineStr">
        <is>
          <t>W</t>
        </is>
      </c>
      <c r="C64" s="4" t="inlineStr">
        <is>
          <t>Dexterity</t>
        </is>
      </c>
      <c r="D64" s="5" t="n"/>
      <c r="E64" s="5" t="n"/>
      <c r="F64" s="5" t="n"/>
      <c r="G64" s="5" t="n"/>
      <c r="H64" s="13">
        <f>IF(OR(D64="",E64=""),"",IF(IFERROR(INDEX(Stats!$D:$D,MATCH($C64,Stats!$A:$A,0)),FALSE),ROUND(D64+(E64-D64)*(1+G64)*((1-1)/(MaxLevel-1))^(2^F64),0),D64+(E64-D64)*(1+G64)*((1-1)/(MaxLevel-1))^(2^F64)))</f>
        <v/>
      </c>
      <c r="I64" s="13">
        <f>IF(OR(D64="",E64=""),"",IF(IFERROR(INDEX(Stats!$D:$D,MATCH($C64,Stats!$A:$A,0)),FALSE),ROUND(D64+(E64-D64)*(1+G64)*((2-1)/(MaxLevel-1))^(2^F64),0),D64+(E64-D64)*(1+G64)*((2-1)/(MaxLevel-1))^(2^F64)))</f>
        <v/>
      </c>
      <c r="J64" s="13">
        <f>IF(OR(D64="",E64=""),"",IF(IFERROR(INDEX(Stats!$D:$D,MATCH($C64,Stats!$A:$A,0)),FALSE),ROUND(D64+(E64-D64)*(1+G64)*((3-1)/(MaxLevel-1))^(2^F64),0),D64+(E64-D64)*(1+G64)*((3-1)/(MaxLevel-1))^(2^F64)))</f>
        <v/>
      </c>
      <c r="K64" s="13">
        <f>IF(OR(D64="",E64=""),"",IF(IFERROR(INDEX(Stats!$D:$D,MATCH($C64,Stats!$A:$A,0)),FALSE),ROUND(D64+(E64-D64)*(1+G64)*((4-1)/(MaxLevel-1))^(2^F64),0),D64+(E64-D64)*(1+G64)*((4-1)/(MaxLevel-1))^(2^F64)))</f>
        <v/>
      </c>
      <c r="L64" s="13">
        <f>IF(OR(D64="",E64=""),"",IF(IFERROR(INDEX(Stats!$D:$D,MATCH($C64,Stats!$A:$A,0)),FALSE),ROUND(D64+(E64-D64)*(1+G64)*((5-1)/(MaxLevel-1))^(2^F64),0),D64+(E64-D64)*(1+G64)*((5-1)/(MaxLevel-1))^(2^F64)))</f>
        <v/>
      </c>
      <c r="M64" s="13">
        <f>IF(OR(D64="",E64=""),"",IF(IFERROR(INDEX(Stats!$D:$D,MATCH($C64,Stats!$A:$A,0)),FALSE),ROUND(D64+(E64-D64)*(1+G64)*((6-1)/(MaxLevel-1))^(2^F64),0),D64+(E64-D64)*(1+G64)*((6-1)/(MaxLevel-1))^(2^F64)))</f>
        <v/>
      </c>
      <c r="N64" s="13">
        <f>IF(OR(D64="",E64=""),"",IF(IFERROR(INDEX(Stats!$D:$D,MATCH($C64,Stats!$A:$A,0)),FALSE),ROUND(D64+(E64-D64)*(1+G64)*((7-1)/(MaxLevel-1))^(2^F64),0),D64+(E64-D64)*(1+G64)*((7-1)/(MaxLevel-1))^(2^F64)))</f>
        <v/>
      </c>
      <c r="O64" s="13">
        <f>IF(OR(D64="",E64=""),"",IF(IFERROR(INDEX(Stats!$D:$D,MATCH($C64,Stats!$A:$A,0)),FALSE),ROUND(D64+(E64-D64)*(1+G64)*((8-1)/(MaxLevel-1))^(2^F64),0),D64+(E64-D64)*(1+G64)*((8-1)/(MaxLevel-1))^(2^F64)))</f>
        <v/>
      </c>
      <c r="P64" s="13">
        <f>IF(OR(D64="",E64=""),"",IF(IFERROR(INDEX(Stats!$D:$D,MATCH($C64,Stats!$A:$A,0)),FALSE),ROUND(D64+(E64-D64)*(1+G64)*((9-1)/(MaxLevel-1))^(2^F64),0),D64+(E64-D64)*(1+G64)*((9-1)/(MaxLevel-1))^(2^F64)))</f>
        <v/>
      </c>
      <c r="Q64" s="13">
        <f>IF(OR(D64="",E64=""),"",IF(IFERROR(INDEX(Stats!$D:$D,MATCH($C64,Stats!$A:$A,0)),FALSE),ROUND(D64+(E64-D64)*(1+G64)*((10-1)/(MaxLevel-1))^(2^F64),0),D64+(E64-D64)*(1+G64)*((10-1)/(MaxLevel-1))^(2^F64)))</f>
        <v/>
      </c>
    </row>
    <row r="65">
      <c r="A65" s="4" t="inlineStr">
        <is>
          <t>01U</t>
        </is>
      </c>
      <c r="B65" s="4" t="inlineStr">
        <is>
          <t>W</t>
        </is>
      </c>
      <c r="C65" s="4" t="inlineStr">
        <is>
          <t>Fortitude</t>
        </is>
      </c>
      <c r="D65" s="5" t="n"/>
      <c r="E65" s="5" t="n"/>
      <c r="F65" s="5" t="n"/>
      <c r="G65" s="5" t="n"/>
      <c r="H65" s="13">
        <f>IF(OR(D65="",E65=""),"",IF(IFERROR(INDEX(Stats!$D:$D,MATCH($C65,Stats!$A:$A,0)),FALSE),ROUND(D65+(E65-D65)*(1+G65)*((1-1)/(MaxLevel-1))^(2^F65),0),D65+(E65-D65)*(1+G65)*((1-1)/(MaxLevel-1))^(2^F65)))</f>
        <v/>
      </c>
      <c r="I65" s="13">
        <f>IF(OR(D65="",E65=""),"",IF(IFERROR(INDEX(Stats!$D:$D,MATCH($C65,Stats!$A:$A,0)),FALSE),ROUND(D65+(E65-D65)*(1+G65)*((2-1)/(MaxLevel-1))^(2^F65),0),D65+(E65-D65)*(1+G65)*((2-1)/(MaxLevel-1))^(2^F65)))</f>
        <v/>
      </c>
      <c r="J65" s="13">
        <f>IF(OR(D65="",E65=""),"",IF(IFERROR(INDEX(Stats!$D:$D,MATCH($C65,Stats!$A:$A,0)),FALSE),ROUND(D65+(E65-D65)*(1+G65)*((3-1)/(MaxLevel-1))^(2^F65),0),D65+(E65-D65)*(1+G65)*((3-1)/(MaxLevel-1))^(2^F65)))</f>
        <v/>
      </c>
      <c r="K65" s="13">
        <f>IF(OR(D65="",E65=""),"",IF(IFERROR(INDEX(Stats!$D:$D,MATCH($C65,Stats!$A:$A,0)),FALSE),ROUND(D65+(E65-D65)*(1+G65)*((4-1)/(MaxLevel-1))^(2^F65),0),D65+(E65-D65)*(1+G65)*((4-1)/(MaxLevel-1))^(2^F65)))</f>
        <v/>
      </c>
      <c r="L65" s="13">
        <f>IF(OR(D65="",E65=""),"",IF(IFERROR(INDEX(Stats!$D:$D,MATCH($C65,Stats!$A:$A,0)),FALSE),ROUND(D65+(E65-D65)*(1+G65)*((5-1)/(MaxLevel-1))^(2^F65),0),D65+(E65-D65)*(1+G65)*((5-1)/(MaxLevel-1))^(2^F65)))</f>
        <v/>
      </c>
      <c r="M65" s="13">
        <f>IF(OR(D65="",E65=""),"",IF(IFERROR(INDEX(Stats!$D:$D,MATCH($C65,Stats!$A:$A,0)),FALSE),ROUND(D65+(E65-D65)*(1+G65)*((6-1)/(MaxLevel-1))^(2^F65),0),D65+(E65-D65)*(1+G65)*((6-1)/(MaxLevel-1))^(2^F65)))</f>
        <v/>
      </c>
      <c r="N65" s="13">
        <f>IF(OR(D65="",E65=""),"",IF(IFERROR(INDEX(Stats!$D:$D,MATCH($C65,Stats!$A:$A,0)),FALSE),ROUND(D65+(E65-D65)*(1+G65)*((7-1)/(MaxLevel-1))^(2^F65),0),D65+(E65-D65)*(1+G65)*((7-1)/(MaxLevel-1))^(2^F65)))</f>
        <v/>
      </c>
      <c r="O65" s="13">
        <f>IF(OR(D65="",E65=""),"",IF(IFERROR(INDEX(Stats!$D:$D,MATCH($C65,Stats!$A:$A,0)),FALSE),ROUND(D65+(E65-D65)*(1+G65)*((8-1)/(MaxLevel-1))^(2^F65),0),D65+(E65-D65)*(1+G65)*((8-1)/(MaxLevel-1))^(2^F65)))</f>
        <v/>
      </c>
      <c r="P65" s="13">
        <f>IF(OR(D65="",E65=""),"",IF(IFERROR(INDEX(Stats!$D:$D,MATCH($C65,Stats!$A:$A,0)),FALSE),ROUND(D65+(E65-D65)*(1+G65)*((9-1)/(MaxLevel-1))^(2^F65),0),D65+(E65-D65)*(1+G65)*((9-1)/(MaxLevel-1))^(2^F65)))</f>
        <v/>
      </c>
      <c r="Q65" s="13">
        <f>IF(OR(D65="",E65=""),"",IF(IFERROR(INDEX(Stats!$D:$D,MATCH($C65,Stats!$A:$A,0)),FALSE),ROUND(D65+(E65-D65)*(1+G65)*((10-1)/(MaxLevel-1))^(2^F65),0),D65+(E65-D65)*(1+G65)*((10-1)/(MaxLevel-1))^(2^F65)))</f>
        <v/>
      </c>
    </row>
    <row r="66">
      <c r="A66" s="4" t="inlineStr">
        <is>
          <t>01U</t>
        </is>
      </c>
      <c r="B66" s="4" t="inlineStr">
        <is>
          <t>W</t>
        </is>
      </c>
      <c r="C66" s="4" t="inlineStr">
        <is>
          <t>Speed</t>
        </is>
      </c>
      <c r="D66" s="5" t="n"/>
      <c r="E66" s="5" t="n"/>
      <c r="F66" s="5" t="n"/>
      <c r="G66" s="5" t="n"/>
      <c r="H66" s="13">
        <f>IF(OR(D66="",E66=""),"",IF(IFERROR(INDEX(Stats!$D:$D,MATCH($C66,Stats!$A:$A,0)),FALSE),ROUND(D66+(E66-D66)*(1+G66)*((1-1)/(MaxLevel-1))^(2^F66),0),D66+(E66-D66)*(1+G66)*((1-1)/(MaxLevel-1))^(2^F66)))</f>
        <v/>
      </c>
      <c r="I66" s="13">
        <f>IF(OR(D66="",E66=""),"",IF(IFERROR(INDEX(Stats!$D:$D,MATCH($C66,Stats!$A:$A,0)),FALSE),ROUND(D66+(E66-D66)*(1+G66)*((2-1)/(MaxLevel-1))^(2^F66),0),D66+(E66-D66)*(1+G66)*((2-1)/(MaxLevel-1))^(2^F66)))</f>
        <v/>
      </c>
      <c r="J66" s="13">
        <f>IF(OR(D66="",E66=""),"",IF(IFERROR(INDEX(Stats!$D:$D,MATCH($C66,Stats!$A:$A,0)),FALSE),ROUND(D66+(E66-D66)*(1+G66)*((3-1)/(MaxLevel-1))^(2^F66),0),D66+(E66-D66)*(1+G66)*((3-1)/(MaxLevel-1))^(2^F66)))</f>
        <v/>
      </c>
      <c r="K66" s="13">
        <f>IF(OR(D66="",E66=""),"",IF(IFERROR(INDEX(Stats!$D:$D,MATCH($C66,Stats!$A:$A,0)),FALSE),ROUND(D66+(E66-D66)*(1+G66)*((4-1)/(MaxLevel-1))^(2^F66),0),D66+(E66-D66)*(1+G66)*((4-1)/(MaxLevel-1))^(2^F66)))</f>
        <v/>
      </c>
      <c r="L66" s="13">
        <f>IF(OR(D66="",E66=""),"",IF(IFERROR(INDEX(Stats!$D:$D,MATCH($C66,Stats!$A:$A,0)),FALSE),ROUND(D66+(E66-D66)*(1+G66)*((5-1)/(MaxLevel-1))^(2^F66),0),D66+(E66-D66)*(1+G66)*((5-1)/(MaxLevel-1))^(2^F66)))</f>
        <v/>
      </c>
      <c r="M66" s="13">
        <f>IF(OR(D66="",E66=""),"",IF(IFERROR(INDEX(Stats!$D:$D,MATCH($C66,Stats!$A:$A,0)),FALSE),ROUND(D66+(E66-D66)*(1+G66)*((6-1)/(MaxLevel-1))^(2^F66),0),D66+(E66-D66)*(1+G66)*((6-1)/(MaxLevel-1))^(2^F66)))</f>
        <v/>
      </c>
      <c r="N66" s="13">
        <f>IF(OR(D66="",E66=""),"",IF(IFERROR(INDEX(Stats!$D:$D,MATCH($C66,Stats!$A:$A,0)),FALSE),ROUND(D66+(E66-D66)*(1+G66)*((7-1)/(MaxLevel-1))^(2^F66),0),D66+(E66-D66)*(1+G66)*((7-1)/(MaxLevel-1))^(2^F66)))</f>
        <v/>
      </c>
      <c r="O66" s="13">
        <f>IF(OR(D66="",E66=""),"",IF(IFERROR(INDEX(Stats!$D:$D,MATCH($C66,Stats!$A:$A,0)),FALSE),ROUND(D66+(E66-D66)*(1+G66)*((8-1)/(MaxLevel-1))^(2^F66),0),D66+(E66-D66)*(1+G66)*((8-1)/(MaxLevel-1))^(2^F66)))</f>
        <v/>
      </c>
      <c r="P66" s="13">
        <f>IF(OR(D66="",E66=""),"",IF(IFERROR(INDEX(Stats!$D:$D,MATCH($C66,Stats!$A:$A,0)),FALSE),ROUND(D66+(E66-D66)*(1+G66)*((9-1)/(MaxLevel-1))^(2^F66),0),D66+(E66-D66)*(1+G66)*((9-1)/(MaxLevel-1))^(2^F66)))</f>
        <v/>
      </c>
      <c r="Q66" s="13">
        <f>IF(OR(D66="",E66=""),"",IF(IFERROR(INDEX(Stats!$D:$D,MATCH($C66,Stats!$A:$A,0)),FALSE),ROUND(D66+(E66-D66)*(1+G66)*((10-1)/(MaxLevel-1))^(2^F66),0),D66+(E66-D66)*(1+G66)*((10-1)/(MaxLevel-1))^(2^F66)))</f>
        <v/>
      </c>
    </row>
    <row r="67">
      <c r="A67" s="4" t="inlineStr">
        <is>
          <t>01U</t>
        </is>
      </c>
      <c r="B67" s="4" t="inlineStr">
        <is>
          <t>W</t>
        </is>
      </c>
      <c r="C67" s="4" t="inlineStr">
        <is>
          <t>Magic</t>
        </is>
      </c>
      <c r="D67" s="5" t="n"/>
      <c r="E67" s="5" t="n"/>
      <c r="F67" s="5" t="n"/>
      <c r="G67" s="5" t="n"/>
      <c r="H67" s="13">
        <f>IF(OR(D67="",E67=""),"",IF(IFERROR(INDEX(Stats!$D:$D,MATCH($C67,Stats!$A:$A,0)),FALSE),ROUND(D67+(E67-D67)*(1+G67)*((1-1)/(MaxLevel-1))^(2^F67),0),D67+(E67-D67)*(1+G67)*((1-1)/(MaxLevel-1))^(2^F67)))</f>
        <v/>
      </c>
      <c r="I67" s="13">
        <f>IF(OR(D67="",E67=""),"",IF(IFERROR(INDEX(Stats!$D:$D,MATCH($C67,Stats!$A:$A,0)),FALSE),ROUND(D67+(E67-D67)*(1+G67)*((2-1)/(MaxLevel-1))^(2^F67),0),D67+(E67-D67)*(1+G67)*((2-1)/(MaxLevel-1))^(2^F67)))</f>
        <v/>
      </c>
      <c r="J67" s="13">
        <f>IF(OR(D67="",E67=""),"",IF(IFERROR(INDEX(Stats!$D:$D,MATCH($C67,Stats!$A:$A,0)),FALSE),ROUND(D67+(E67-D67)*(1+G67)*((3-1)/(MaxLevel-1))^(2^F67),0),D67+(E67-D67)*(1+G67)*((3-1)/(MaxLevel-1))^(2^F67)))</f>
        <v/>
      </c>
      <c r="K67" s="13">
        <f>IF(OR(D67="",E67=""),"",IF(IFERROR(INDEX(Stats!$D:$D,MATCH($C67,Stats!$A:$A,0)),FALSE),ROUND(D67+(E67-D67)*(1+G67)*((4-1)/(MaxLevel-1))^(2^F67),0),D67+(E67-D67)*(1+G67)*((4-1)/(MaxLevel-1))^(2^F67)))</f>
        <v/>
      </c>
      <c r="L67" s="13">
        <f>IF(OR(D67="",E67=""),"",IF(IFERROR(INDEX(Stats!$D:$D,MATCH($C67,Stats!$A:$A,0)),FALSE),ROUND(D67+(E67-D67)*(1+G67)*((5-1)/(MaxLevel-1))^(2^F67),0),D67+(E67-D67)*(1+G67)*((5-1)/(MaxLevel-1))^(2^F67)))</f>
        <v/>
      </c>
      <c r="M67" s="13">
        <f>IF(OR(D67="",E67=""),"",IF(IFERROR(INDEX(Stats!$D:$D,MATCH($C67,Stats!$A:$A,0)),FALSE),ROUND(D67+(E67-D67)*(1+G67)*((6-1)/(MaxLevel-1))^(2^F67),0),D67+(E67-D67)*(1+G67)*((6-1)/(MaxLevel-1))^(2^F67)))</f>
        <v/>
      </c>
      <c r="N67" s="13">
        <f>IF(OR(D67="",E67=""),"",IF(IFERROR(INDEX(Stats!$D:$D,MATCH($C67,Stats!$A:$A,0)),FALSE),ROUND(D67+(E67-D67)*(1+G67)*((7-1)/(MaxLevel-1))^(2^F67),0),D67+(E67-D67)*(1+G67)*((7-1)/(MaxLevel-1))^(2^F67)))</f>
        <v/>
      </c>
      <c r="O67" s="13">
        <f>IF(OR(D67="",E67=""),"",IF(IFERROR(INDEX(Stats!$D:$D,MATCH($C67,Stats!$A:$A,0)),FALSE),ROUND(D67+(E67-D67)*(1+G67)*((8-1)/(MaxLevel-1))^(2^F67),0),D67+(E67-D67)*(1+G67)*((8-1)/(MaxLevel-1))^(2^F67)))</f>
        <v/>
      </c>
      <c r="P67" s="13">
        <f>IF(OR(D67="",E67=""),"",IF(IFERROR(INDEX(Stats!$D:$D,MATCH($C67,Stats!$A:$A,0)),FALSE),ROUND(D67+(E67-D67)*(1+G67)*((9-1)/(MaxLevel-1))^(2^F67),0),D67+(E67-D67)*(1+G67)*((9-1)/(MaxLevel-1))^(2^F67)))</f>
        <v/>
      </c>
      <c r="Q67" s="13">
        <f>IF(OR(D67="",E67=""),"",IF(IFERROR(INDEX(Stats!$D:$D,MATCH($C67,Stats!$A:$A,0)),FALSE),ROUND(D67+(E67-D67)*(1+G67)*((10-1)/(MaxLevel-1))^(2^F67),0),D67+(E67-D67)*(1+G67)*((10-1)/(MaxLevel-1))^(2^F67)))</f>
        <v/>
      </c>
    </row>
    <row r="68">
      <c r="A68" s="4" t="inlineStr">
        <is>
          <t>01U</t>
        </is>
      </c>
      <c r="B68" s="4" t="inlineStr">
        <is>
          <t>W</t>
        </is>
      </c>
      <c r="C68" s="4" t="inlineStr">
        <is>
          <t>Resistance</t>
        </is>
      </c>
      <c r="D68" s="5" t="n"/>
      <c r="E68" s="5" t="n"/>
      <c r="F68" s="5" t="n"/>
      <c r="G68" s="5" t="n"/>
      <c r="H68" s="13">
        <f>IF(OR(D68="",E68=""),"",IF(IFERROR(INDEX(Stats!$D:$D,MATCH($C68,Stats!$A:$A,0)),FALSE),ROUND(D68+(E68-D68)*(1+G68)*((1-1)/(MaxLevel-1))^(2^F68),0),D68+(E68-D68)*(1+G68)*((1-1)/(MaxLevel-1))^(2^F68)))</f>
        <v/>
      </c>
      <c r="I68" s="13">
        <f>IF(OR(D68="",E68=""),"",IF(IFERROR(INDEX(Stats!$D:$D,MATCH($C68,Stats!$A:$A,0)),FALSE),ROUND(D68+(E68-D68)*(1+G68)*((2-1)/(MaxLevel-1))^(2^F68),0),D68+(E68-D68)*(1+G68)*((2-1)/(MaxLevel-1))^(2^F68)))</f>
        <v/>
      </c>
      <c r="J68" s="13">
        <f>IF(OR(D68="",E68=""),"",IF(IFERROR(INDEX(Stats!$D:$D,MATCH($C68,Stats!$A:$A,0)),FALSE),ROUND(D68+(E68-D68)*(1+G68)*((3-1)/(MaxLevel-1))^(2^F68),0),D68+(E68-D68)*(1+G68)*((3-1)/(MaxLevel-1))^(2^F68)))</f>
        <v/>
      </c>
      <c r="K68" s="13">
        <f>IF(OR(D68="",E68=""),"",IF(IFERROR(INDEX(Stats!$D:$D,MATCH($C68,Stats!$A:$A,0)),FALSE),ROUND(D68+(E68-D68)*(1+G68)*((4-1)/(MaxLevel-1))^(2^F68),0),D68+(E68-D68)*(1+G68)*((4-1)/(MaxLevel-1))^(2^F68)))</f>
        <v/>
      </c>
      <c r="L68" s="13">
        <f>IF(OR(D68="",E68=""),"",IF(IFERROR(INDEX(Stats!$D:$D,MATCH($C68,Stats!$A:$A,0)),FALSE),ROUND(D68+(E68-D68)*(1+G68)*((5-1)/(MaxLevel-1))^(2^F68),0),D68+(E68-D68)*(1+G68)*((5-1)/(MaxLevel-1))^(2^F68)))</f>
        <v/>
      </c>
      <c r="M68" s="13">
        <f>IF(OR(D68="",E68=""),"",IF(IFERROR(INDEX(Stats!$D:$D,MATCH($C68,Stats!$A:$A,0)),FALSE),ROUND(D68+(E68-D68)*(1+G68)*((6-1)/(MaxLevel-1))^(2^F68),0),D68+(E68-D68)*(1+G68)*((6-1)/(MaxLevel-1))^(2^F68)))</f>
        <v/>
      </c>
      <c r="N68" s="13">
        <f>IF(OR(D68="",E68=""),"",IF(IFERROR(INDEX(Stats!$D:$D,MATCH($C68,Stats!$A:$A,0)),FALSE),ROUND(D68+(E68-D68)*(1+G68)*((7-1)/(MaxLevel-1))^(2^F68),0),D68+(E68-D68)*(1+G68)*((7-1)/(MaxLevel-1))^(2^F68)))</f>
        <v/>
      </c>
      <c r="O68" s="13">
        <f>IF(OR(D68="",E68=""),"",IF(IFERROR(INDEX(Stats!$D:$D,MATCH($C68,Stats!$A:$A,0)),FALSE),ROUND(D68+(E68-D68)*(1+G68)*((8-1)/(MaxLevel-1))^(2^F68),0),D68+(E68-D68)*(1+G68)*((8-1)/(MaxLevel-1))^(2^F68)))</f>
        <v/>
      </c>
      <c r="P68" s="13">
        <f>IF(OR(D68="",E68=""),"",IF(IFERROR(INDEX(Stats!$D:$D,MATCH($C68,Stats!$A:$A,0)),FALSE),ROUND(D68+(E68-D68)*(1+G68)*((9-1)/(MaxLevel-1))^(2^F68),0),D68+(E68-D68)*(1+G68)*((9-1)/(MaxLevel-1))^(2^F68)))</f>
        <v/>
      </c>
      <c r="Q68" s="13">
        <f>IF(OR(D68="",E68=""),"",IF(IFERROR(INDEX(Stats!$D:$D,MATCH($C68,Stats!$A:$A,0)),FALSE),ROUND(D68+(E68-D68)*(1+G68)*((10-1)/(MaxLevel-1))^(2^F68),0),D68+(E68-D68)*(1+G68)*((10-1)/(MaxLevel-1))^(2^F68)))</f>
        <v/>
      </c>
    </row>
    <row r="69">
      <c r="A69" s="4" t="inlineStr">
        <is>
          <t>01U</t>
        </is>
      </c>
      <c r="B69" s="4" t="inlineStr">
        <is>
          <t>W</t>
        </is>
      </c>
      <c r="C69" s="4" t="inlineStr">
        <is>
          <t>Luck</t>
        </is>
      </c>
      <c r="D69" s="5" t="n"/>
      <c r="E69" s="5" t="n"/>
      <c r="F69" s="5" t="n"/>
      <c r="G69" s="5" t="n"/>
      <c r="H69" s="13">
        <f>IF(OR(D69="",E69=""),"",IF(IFERROR(INDEX(Stats!$D:$D,MATCH($C69,Stats!$A:$A,0)),FALSE),ROUND(D69+(E69-D69)*(1+G69)*((1-1)/(MaxLevel-1))^(2^F69),0),D69+(E69-D69)*(1+G69)*((1-1)/(MaxLevel-1))^(2^F69)))</f>
        <v/>
      </c>
      <c r="I69" s="13">
        <f>IF(OR(D69="",E69=""),"",IF(IFERROR(INDEX(Stats!$D:$D,MATCH($C69,Stats!$A:$A,0)),FALSE),ROUND(D69+(E69-D69)*(1+G69)*((2-1)/(MaxLevel-1))^(2^F69),0),D69+(E69-D69)*(1+G69)*((2-1)/(MaxLevel-1))^(2^F69)))</f>
        <v/>
      </c>
      <c r="J69" s="13">
        <f>IF(OR(D69="",E69=""),"",IF(IFERROR(INDEX(Stats!$D:$D,MATCH($C69,Stats!$A:$A,0)),FALSE),ROUND(D69+(E69-D69)*(1+G69)*((3-1)/(MaxLevel-1))^(2^F69),0),D69+(E69-D69)*(1+G69)*((3-1)/(MaxLevel-1))^(2^F69)))</f>
        <v/>
      </c>
      <c r="K69" s="13">
        <f>IF(OR(D69="",E69=""),"",IF(IFERROR(INDEX(Stats!$D:$D,MATCH($C69,Stats!$A:$A,0)),FALSE),ROUND(D69+(E69-D69)*(1+G69)*((4-1)/(MaxLevel-1))^(2^F69),0),D69+(E69-D69)*(1+G69)*((4-1)/(MaxLevel-1))^(2^F69)))</f>
        <v/>
      </c>
      <c r="L69" s="13">
        <f>IF(OR(D69="",E69=""),"",IF(IFERROR(INDEX(Stats!$D:$D,MATCH($C69,Stats!$A:$A,0)),FALSE),ROUND(D69+(E69-D69)*(1+G69)*((5-1)/(MaxLevel-1))^(2^F69),0),D69+(E69-D69)*(1+G69)*((5-1)/(MaxLevel-1))^(2^F69)))</f>
        <v/>
      </c>
      <c r="M69" s="13">
        <f>IF(OR(D69="",E69=""),"",IF(IFERROR(INDEX(Stats!$D:$D,MATCH($C69,Stats!$A:$A,0)),FALSE),ROUND(D69+(E69-D69)*(1+G69)*((6-1)/(MaxLevel-1))^(2^F69),0),D69+(E69-D69)*(1+G69)*((6-1)/(MaxLevel-1))^(2^F69)))</f>
        <v/>
      </c>
      <c r="N69" s="13">
        <f>IF(OR(D69="",E69=""),"",IF(IFERROR(INDEX(Stats!$D:$D,MATCH($C69,Stats!$A:$A,0)),FALSE),ROUND(D69+(E69-D69)*(1+G69)*((7-1)/(MaxLevel-1))^(2^F69),0),D69+(E69-D69)*(1+G69)*((7-1)/(MaxLevel-1))^(2^F69)))</f>
        <v/>
      </c>
      <c r="O69" s="13">
        <f>IF(OR(D69="",E69=""),"",IF(IFERROR(INDEX(Stats!$D:$D,MATCH($C69,Stats!$A:$A,0)),FALSE),ROUND(D69+(E69-D69)*(1+G69)*((8-1)/(MaxLevel-1))^(2^F69),0),D69+(E69-D69)*(1+G69)*((8-1)/(MaxLevel-1))^(2^F69)))</f>
        <v/>
      </c>
      <c r="P69" s="13">
        <f>IF(OR(D69="",E69=""),"",IF(IFERROR(INDEX(Stats!$D:$D,MATCH($C69,Stats!$A:$A,0)),FALSE),ROUND(D69+(E69-D69)*(1+G69)*((9-1)/(MaxLevel-1))^(2^F69),0),D69+(E69-D69)*(1+G69)*((9-1)/(MaxLevel-1))^(2^F69)))</f>
        <v/>
      </c>
      <c r="Q69" s="13">
        <f>IF(OR(D69="",E69=""),"",IF(IFERROR(INDEX(Stats!$D:$D,MATCH($C69,Stats!$A:$A,0)),FALSE),ROUND(D69+(E69-D69)*(1+G69)*((10-1)/(MaxLevel-1))^(2^F69),0),D69+(E69-D69)*(1+G69)*((10-1)/(MaxLevel-1))^(2^F69)))</f>
        <v/>
      </c>
    </row>
    <row r="70">
      <c r="A70" s="4" t="inlineStr">
        <is>
          <t>01U</t>
        </is>
      </c>
      <c r="B70" s="4" t="inlineStr">
        <is>
          <t>W</t>
        </is>
      </c>
      <c r="C70" s="4" t="inlineStr">
        <is>
          <t>Weight</t>
        </is>
      </c>
      <c r="D70" s="5" t="n"/>
      <c r="E70" s="5" t="n"/>
      <c r="F70" s="5" t="n"/>
      <c r="G70" s="5" t="n"/>
      <c r="H70" s="13">
        <f>IF(OR(D70="",E70=""),"",IF(IFERROR(INDEX(Stats!$D:$D,MATCH($C70,Stats!$A:$A,0)),FALSE),ROUND(D70+(E70-D70)*(1+G70)*((1-1)/(MaxLevel-1))^(2^F70),0),D70+(E70-D70)*(1+G70)*((1-1)/(MaxLevel-1))^(2^F70)))</f>
        <v/>
      </c>
      <c r="I70" s="13">
        <f>IF(OR(D70="",E70=""),"",IF(IFERROR(INDEX(Stats!$D:$D,MATCH($C70,Stats!$A:$A,0)),FALSE),ROUND(D70+(E70-D70)*(1+G70)*((2-1)/(MaxLevel-1))^(2^F70),0),D70+(E70-D70)*(1+G70)*((2-1)/(MaxLevel-1))^(2^F70)))</f>
        <v/>
      </c>
      <c r="J70" s="13">
        <f>IF(OR(D70="",E70=""),"",IF(IFERROR(INDEX(Stats!$D:$D,MATCH($C70,Stats!$A:$A,0)),FALSE),ROUND(D70+(E70-D70)*(1+G70)*((3-1)/(MaxLevel-1))^(2^F70),0),D70+(E70-D70)*(1+G70)*((3-1)/(MaxLevel-1))^(2^F70)))</f>
        <v/>
      </c>
      <c r="K70" s="13">
        <f>IF(OR(D70="",E70=""),"",IF(IFERROR(INDEX(Stats!$D:$D,MATCH($C70,Stats!$A:$A,0)),FALSE),ROUND(D70+(E70-D70)*(1+G70)*((4-1)/(MaxLevel-1))^(2^F70),0),D70+(E70-D70)*(1+G70)*((4-1)/(MaxLevel-1))^(2^F70)))</f>
        <v/>
      </c>
      <c r="L70" s="13">
        <f>IF(OR(D70="",E70=""),"",IF(IFERROR(INDEX(Stats!$D:$D,MATCH($C70,Stats!$A:$A,0)),FALSE),ROUND(D70+(E70-D70)*(1+G70)*((5-1)/(MaxLevel-1))^(2^F70),0),D70+(E70-D70)*(1+G70)*((5-1)/(MaxLevel-1))^(2^F70)))</f>
        <v/>
      </c>
      <c r="M70" s="13">
        <f>IF(OR(D70="",E70=""),"",IF(IFERROR(INDEX(Stats!$D:$D,MATCH($C70,Stats!$A:$A,0)),FALSE),ROUND(D70+(E70-D70)*(1+G70)*((6-1)/(MaxLevel-1))^(2^F70),0),D70+(E70-D70)*(1+G70)*((6-1)/(MaxLevel-1))^(2^F70)))</f>
        <v/>
      </c>
      <c r="N70" s="13">
        <f>IF(OR(D70="",E70=""),"",IF(IFERROR(INDEX(Stats!$D:$D,MATCH($C70,Stats!$A:$A,0)),FALSE),ROUND(D70+(E70-D70)*(1+G70)*((7-1)/(MaxLevel-1))^(2^F70),0),D70+(E70-D70)*(1+G70)*((7-1)/(MaxLevel-1))^(2^F70)))</f>
        <v/>
      </c>
      <c r="O70" s="13">
        <f>IF(OR(D70="",E70=""),"",IF(IFERROR(INDEX(Stats!$D:$D,MATCH($C70,Stats!$A:$A,0)),FALSE),ROUND(D70+(E70-D70)*(1+G70)*((8-1)/(MaxLevel-1))^(2^F70),0),D70+(E70-D70)*(1+G70)*((8-1)/(MaxLevel-1))^(2^F70)))</f>
        <v/>
      </c>
      <c r="P70" s="13">
        <f>IF(OR(D70="",E70=""),"",IF(IFERROR(INDEX(Stats!$D:$D,MATCH($C70,Stats!$A:$A,0)),FALSE),ROUND(D70+(E70-D70)*(1+G70)*((9-1)/(MaxLevel-1))^(2^F70),0),D70+(E70-D70)*(1+G70)*((9-1)/(MaxLevel-1))^(2^F70)))</f>
        <v/>
      </c>
      <c r="Q70" s="13">
        <f>IF(OR(D70="",E70=""),"",IF(IFERROR(INDEX(Stats!$D:$D,MATCH($C70,Stats!$A:$A,0)),FALSE),ROUND(D70+(E70-D70)*(1+G70)*((10-1)/(MaxLevel-1))^(2^F70),0),D70+(E70-D70)*(1+G70)*((10-1)/(MaxLevel-1))^(2^F70)))</f>
        <v/>
      </c>
    </row>
    <row r="71">
      <c r="A71" s="4" t="inlineStr">
        <is>
          <t>01U</t>
        </is>
      </c>
      <c r="B71" s="4" t="inlineStr">
        <is>
          <t>W</t>
        </is>
      </c>
      <c r="C71" s="4" t="inlineStr">
        <is>
          <t>WorkingCost</t>
        </is>
      </c>
      <c r="D71" s="5" t="n"/>
      <c r="E71" s="5" t="n"/>
      <c r="F71" s="5" t="n"/>
      <c r="G71" s="5" t="n"/>
      <c r="H71" s="13">
        <f>IF(OR(D71="",E71=""),"",IF(IFERROR(INDEX(Stats!$D:$D,MATCH($C71,Stats!$A:$A,0)),FALSE),ROUND(D71+(E71-D71)*(1+G71)*((1-1)/(MaxLevel-1))^(2^F71),0),D71+(E71-D71)*(1+G71)*((1-1)/(MaxLevel-1))^(2^F71)))</f>
        <v/>
      </c>
      <c r="I71" s="13">
        <f>IF(OR(D71="",E71=""),"",IF(IFERROR(INDEX(Stats!$D:$D,MATCH($C71,Stats!$A:$A,0)),FALSE),ROUND(D71+(E71-D71)*(1+G71)*((2-1)/(MaxLevel-1))^(2^F71),0),D71+(E71-D71)*(1+G71)*((2-1)/(MaxLevel-1))^(2^F71)))</f>
        <v/>
      </c>
      <c r="J71" s="13">
        <f>IF(OR(D71="",E71=""),"",IF(IFERROR(INDEX(Stats!$D:$D,MATCH($C71,Stats!$A:$A,0)),FALSE),ROUND(D71+(E71-D71)*(1+G71)*((3-1)/(MaxLevel-1))^(2^F71),0),D71+(E71-D71)*(1+G71)*((3-1)/(MaxLevel-1))^(2^F71)))</f>
        <v/>
      </c>
      <c r="K71" s="13">
        <f>IF(OR(D71="",E71=""),"",IF(IFERROR(INDEX(Stats!$D:$D,MATCH($C71,Stats!$A:$A,0)),FALSE),ROUND(D71+(E71-D71)*(1+G71)*((4-1)/(MaxLevel-1))^(2^F71),0),D71+(E71-D71)*(1+G71)*((4-1)/(MaxLevel-1))^(2^F71)))</f>
        <v/>
      </c>
      <c r="L71" s="13">
        <f>IF(OR(D71="",E71=""),"",IF(IFERROR(INDEX(Stats!$D:$D,MATCH($C71,Stats!$A:$A,0)),FALSE),ROUND(D71+(E71-D71)*(1+G71)*((5-1)/(MaxLevel-1))^(2^F71),0),D71+(E71-D71)*(1+G71)*((5-1)/(MaxLevel-1))^(2^F71)))</f>
        <v/>
      </c>
      <c r="M71" s="13">
        <f>IF(OR(D71="",E71=""),"",IF(IFERROR(INDEX(Stats!$D:$D,MATCH($C71,Stats!$A:$A,0)),FALSE),ROUND(D71+(E71-D71)*(1+G71)*((6-1)/(MaxLevel-1))^(2^F71),0),D71+(E71-D71)*(1+G71)*((6-1)/(MaxLevel-1))^(2^F71)))</f>
        <v/>
      </c>
      <c r="N71" s="13">
        <f>IF(OR(D71="",E71=""),"",IF(IFERROR(INDEX(Stats!$D:$D,MATCH($C71,Stats!$A:$A,0)),FALSE),ROUND(D71+(E71-D71)*(1+G71)*((7-1)/(MaxLevel-1))^(2^F71),0),D71+(E71-D71)*(1+G71)*((7-1)/(MaxLevel-1))^(2^F71)))</f>
        <v/>
      </c>
      <c r="O71" s="13">
        <f>IF(OR(D71="",E71=""),"",IF(IFERROR(INDEX(Stats!$D:$D,MATCH($C71,Stats!$A:$A,0)),FALSE),ROUND(D71+(E71-D71)*(1+G71)*((8-1)/(MaxLevel-1))^(2^F71),0),D71+(E71-D71)*(1+G71)*((8-1)/(MaxLevel-1))^(2^F71)))</f>
        <v/>
      </c>
      <c r="P71" s="13">
        <f>IF(OR(D71="",E71=""),"",IF(IFERROR(INDEX(Stats!$D:$D,MATCH($C71,Stats!$A:$A,0)),FALSE),ROUND(D71+(E71-D71)*(1+G71)*((9-1)/(MaxLevel-1))^(2^F71),0),D71+(E71-D71)*(1+G71)*((9-1)/(MaxLevel-1))^(2^F71)))</f>
        <v/>
      </c>
      <c r="Q71" s="13">
        <f>IF(OR(D71="",E71=""),"",IF(IFERROR(INDEX(Stats!$D:$D,MATCH($C71,Stats!$A:$A,0)),FALSE),ROUND(D71+(E71-D71)*(1+G71)*((10-1)/(MaxLevel-1))^(2^F71),0),D71+(E71-D71)*(1+G71)*((10-1)/(MaxLevel-1))^(2^F71)))</f>
        <v/>
      </c>
    </row>
    <row r="72">
      <c r="A72" s="4" t="inlineStr">
        <is>
          <t>01U</t>
        </is>
      </c>
      <c r="B72" s="4" t="inlineStr">
        <is>
          <t>W</t>
        </is>
      </c>
      <c r="C72" s="4" t="inlineStr">
        <is>
          <t>SkillResearch</t>
        </is>
      </c>
      <c r="D72" s="5" t="n"/>
      <c r="E72" s="5" t="n"/>
      <c r="F72" s="5" t="n"/>
      <c r="G72" s="5" t="n"/>
      <c r="H72" s="13">
        <f>IF(OR(D72="",E72=""),"",IF(IFERROR(INDEX(Stats!$D:$D,MATCH($C72,Stats!$A:$A,0)),FALSE),ROUND(D72+(E72-D72)*(1+G72)*((1-1)/(MaxLevel-1))^(2^F72),0),D72+(E72-D72)*(1+G72)*((1-1)/(MaxLevel-1))^(2^F72)))</f>
        <v/>
      </c>
      <c r="I72" s="13">
        <f>IF(OR(D72="",E72=""),"",IF(IFERROR(INDEX(Stats!$D:$D,MATCH($C72,Stats!$A:$A,0)),FALSE),ROUND(D72+(E72-D72)*(1+G72)*((2-1)/(MaxLevel-1))^(2^F72),0),D72+(E72-D72)*(1+G72)*((2-1)/(MaxLevel-1))^(2^F72)))</f>
        <v/>
      </c>
      <c r="J72" s="13">
        <f>IF(OR(D72="",E72=""),"",IF(IFERROR(INDEX(Stats!$D:$D,MATCH($C72,Stats!$A:$A,0)),FALSE),ROUND(D72+(E72-D72)*(1+G72)*((3-1)/(MaxLevel-1))^(2^F72),0),D72+(E72-D72)*(1+G72)*((3-1)/(MaxLevel-1))^(2^F72)))</f>
        <v/>
      </c>
      <c r="K72" s="13">
        <f>IF(OR(D72="",E72=""),"",IF(IFERROR(INDEX(Stats!$D:$D,MATCH($C72,Stats!$A:$A,0)),FALSE),ROUND(D72+(E72-D72)*(1+G72)*((4-1)/(MaxLevel-1))^(2^F72),0),D72+(E72-D72)*(1+G72)*((4-1)/(MaxLevel-1))^(2^F72)))</f>
        <v/>
      </c>
      <c r="L72" s="13">
        <f>IF(OR(D72="",E72=""),"",IF(IFERROR(INDEX(Stats!$D:$D,MATCH($C72,Stats!$A:$A,0)),FALSE),ROUND(D72+(E72-D72)*(1+G72)*((5-1)/(MaxLevel-1))^(2^F72),0),D72+(E72-D72)*(1+G72)*((5-1)/(MaxLevel-1))^(2^F72)))</f>
        <v/>
      </c>
      <c r="M72" s="13">
        <f>IF(OR(D72="",E72=""),"",IF(IFERROR(INDEX(Stats!$D:$D,MATCH($C72,Stats!$A:$A,0)),FALSE),ROUND(D72+(E72-D72)*(1+G72)*((6-1)/(MaxLevel-1))^(2^F72),0),D72+(E72-D72)*(1+G72)*((6-1)/(MaxLevel-1))^(2^F72)))</f>
        <v/>
      </c>
      <c r="N72" s="13">
        <f>IF(OR(D72="",E72=""),"",IF(IFERROR(INDEX(Stats!$D:$D,MATCH($C72,Stats!$A:$A,0)),FALSE),ROUND(D72+(E72-D72)*(1+G72)*((7-1)/(MaxLevel-1))^(2^F72),0),D72+(E72-D72)*(1+G72)*((7-1)/(MaxLevel-1))^(2^F72)))</f>
        <v/>
      </c>
      <c r="O72" s="13">
        <f>IF(OR(D72="",E72=""),"",IF(IFERROR(INDEX(Stats!$D:$D,MATCH($C72,Stats!$A:$A,0)),FALSE),ROUND(D72+(E72-D72)*(1+G72)*((8-1)/(MaxLevel-1))^(2^F72),0),D72+(E72-D72)*(1+G72)*((8-1)/(MaxLevel-1))^(2^F72)))</f>
        <v/>
      </c>
      <c r="P72" s="13">
        <f>IF(OR(D72="",E72=""),"",IF(IFERROR(INDEX(Stats!$D:$D,MATCH($C72,Stats!$A:$A,0)),FALSE),ROUND(D72+(E72-D72)*(1+G72)*((9-1)/(MaxLevel-1))^(2^F72),0),D72+(E72-D72)*(1+G72)*((9-1)/(MaxLevel-1))^(2^F72)))</f>
        <v/>
      </c>
      <c r="Q72" s="13">
        <f>IF(OR(D72="",E72=""),"",IF(IFERROR(INDEX(Stats!$D:$D,MATCH($C72,Stats!$A:$A,0)),FALSE),ROUND(D72+(E72-D72)*(1+G72)*((10-1)/(MaxLevel-1))^(2^F72),0),D72+(E72-D72)*(1+G72)*((10-1)/(MaxLevel-1))^(2^F72)))</f>
        <v/>
      </c>
    </row>
    <row r="73">
      <c r="A73" s="4" t="inlineStr">
        <is>
          <t>01U</t>
        </is>
      </c>
      <c r="B73" s="4" t="inlineStr">
        <is>
          <t>W</t>
        </is>
      </c>
      <c r="C73" s="4" t="inlineStr">
        <is>
          <t>SkillTrain</t>
        </is>
      </c>
      <c r="D73" s="5" t="n"/>
      <c r="E73" s="5" t="n"/>
      <c r="F73" s="5" t="n"/>
      <c r="G73" s="5" t="n"/>
      <c r="H73" s="13">
        <f>IF(OR(D73="",E73=""),"",IF(IFERROR(INDEX(Stats!$D:$D,MATCH($C73,Stats!$A:$A,0)),FALSE),ROUND(D73+(E73-D73)*(1+G73)*((1-1)/(MaxLevel-1))^(2^F73),0),D73+(E73-D73)*(1+G73)*((1-1)/(MaxLevel-1))^(2^F73)))</f>
        <v/>
      </c>
      <c r="I73" s="13">
        <f>IF(OR(D73="",E73=""),"",IF(IFERROR(INDEX(Stats!$D:$D,MATCH($C73,Stats!$A:$A,0)),FALSE),ROUND(D73+(E73-D73)*(1+G73)*((2-1)/(MaxLevel-1))^(2^F73),0),D73+(E73-D73)*(1+G73)*((2-1)/(MaxLevel-1))^(2^F73)))</f>
        <v/>
      </c>
      <c r="J73" s="13">
        <f>IF(OR(D73="",E73=""),"",IF(IFERROR(INDEX(Stats!$D:$D,MATCH($C73,Stats!$A:$A,0)),FALSE),ROUND(D73+(E73-D73)*(1+G73)*((3-1)/(MaxLevel-1))^(2^F73),0),D73+(E73-D73)*(1+G73)*((3-1)/(MaxLevel-1))^(2^F73)))</f>
        <v/>
      </c>
      <c r="K73" s="13">
        <f>IF(OR(D73="",E73=""),"",IF(IFERROR(INDEX(Stats!$D:$D,MATCH($C73,Stats!$A:$A,0)),FALSE),ROUND(D73+(E73-D73)*(1+G73)*((4-1)/(MaxLevel-1))^(2^F73),0),D73+(E73-D73)*(1+G73)*((4-1)/(MaxLevel-1))^(2^F73)))</f>
        <v/>
      </c>
      <c r="L73" s="13">
        <f>IF(OR(D73="",E73=""),"",IF(IFERROR(INDEX(Stats!$D:$D,MATCH($C73,Stats!$A:$A,0)),FALSE),ROUND(D73+(E73-D73)*(1+G73)*((5-1)/(MaxLevel-1))^(2^F73),0),D73+(E73-D73)*(1+G73)*((5-1)/(MaxLevel-1))^(2^F73)))</f>
        <v/>
      </c>
      <c r="M73" s="13">
        <f>IF(OR(D73="",E73=""),"",IF(IFERROR(INDEX(Stats!$D:$D,MATCH($C73,Stats!$A:$A,0)),FALSE),ROUND(D73+(E73-D73)*(1+G73)*((6-1)/(MaxLevel-1))^(2^F73),0),D73+(E73-D73)*(1+G73)*((6-1)/(MaxLevel-1))^(2^F73)))</f>
        <v/>
      </c>
      <c r="N73" s="13">
        <f>IF(OR(D73="",E73=""),"",IF(IFERROR(INDEX(Stats!$D:$D,MATCH($C73,Stats!$A:$A,0)),FALSE),ROUND(D73+(E73-D73)*(1+G73)*((7-1)/(MaxLevel-1))^(2^F73),0),D73+(E73-D73)*(1+G73)*((7-1)/(MaxLevel-1))^(2^F73)))</f>
        <v/>
      </c>
      <c r="O73" s="13">
        <f>IF(OR(D73="",E73=""),"",IF(IFERROR(INDEX(Stats!$D:$D,MATCH($C73,Stats!$A:$A,0)),FALSE),ROUND(D73+(E73-D73)*(1+G73)*((8-1)/(MaxLevel-1))^(2^F73),0),D73+(E73-D73)*(1+G73)*((8-1)/(MaxLevel-1))^(2^F73)))</f>
        <v/>
      </c>
      <c r="P73" s="13">
        <f>IF(OR(D73="",E73=""),"",IF(IFERROR(INDEX(Stats!$D:$D,MATCH($C73,Stats!$A:$A,0)),FALSE),ROUND(D73+(E73-D73)*(1+G73)*((9-1)/(MaxLevel-1))^(2^F73),0),D73+(E73-D73)*(1+G73)*((9-1)/(MaxLevel-1))^(2^F73)))</f>
        <v/>
      </c>
      <c r="Q73" s="13">
        <f>IF(OR(D73="",E73=""),"",IF(IFERROR(INDEX(Stats!$D:$D,MATCH($C73,Stats!$A:$A,0)),FALSE),ROUND(D73+(E73-D73)*(1+G73)*((10-1)/(MaxLevel-1))^(2^F73),0),D73+(E73-D73)*(1+G73)*((10-1)/(MaxLevel-1))^(2^F73)))</f>
        <v/>
      </c>
    </row>
    <row r="74">
      <c r="A74" s="4" t="inlineStr">
        <is>
          <t>01U</t>
        </is>
      </c>
      <c r="B74" s="4" t="inlineStr">
        <is>
          <t>W</t>
        </is>
      </c>
      <c r="C74" s="4" t="inlineStr">
        <is>
          <t>SkillBuild</t>
        </is>
      </c>
      <c r="D74" s="5" t="n">
        <v>1</v>
      </c>
      <c r="E74" s="5" t="n">
        <v>1.5</v>
      </c>
      <c r="F74" s="5" t="n">
        <v>-1</v>
      </c>
      <c r="G74" s="5" t="n">
        <v>0</v>
      </c>
      <c r="H74" s="13">
        <f>IF(OR(D74="",E74=""),"",IF(IFERROR(INDEX(Stats!$D:$D,MATCH($C74,Stats!$A:$A,0)),FALSE),ROUND(D74+(E74-D74)*(1+G74)*((1-1)/(MaxLevel-1))^(2^F74),0),D74+(E74-D74)*(1+G74)*((1-1)/(MaxLevel-1))^(2^F74)))</f>
        <v/>
      </c>
      <c r="I74" s="13">
        <f>IF(OR(D74="",E74=""),"",IF(IFERROR(INDEX(Stats!$D:$D,MATCH($C74,Stats!$A:$A,0)),FALSE),ROUND(D74+(E74-D74)*(1+G74)*((2-1)/(MaxLevel-1))^(2^F74),0),D74+(E74-D74)*(1+G74)*((2-1)/(MaxLevel-1))^(2^F74)))</f>
        <v/>
      </c>
      <c r="J74" s="13">
        <f>IF(OR(D74="",E74=""),"",IF(IFERROR(INDEX(Stats!$D:$D,MATCH($C74,Stats!$A:$A,0)),FALSE),ROUND(D74+(E74-D74)*(1+G74)*((3-1)/(MaxLevel-1))^(2^F74),0),D74+(E74-D74)*(1+G74)*((3-1)/(MaxLevel-1))^(2^F74)))</f>
        <v/>
      </c>
      <c r="K74" s="13">
        <f>IF(OR(D74="",E74=""),"",IF(IFERROR(INDEX(Stats!$D:$D,MATCH($C74,Stats!$A:$A,0)),FALSE),ROUND(D74+(E74-D74)*(1+G74)*((4-1)/(MaxLevel-1))^(2^F74),0),D74+(E74-D74)*(1+G74)*((4-1)/(MaxLevel-1))^(2^F74)))</f>
        <v/>
      </c>
      <c r="L74" s="13">
        <f>IF(OR(D74="",E74=""),"",IF(IFERROR(INDEX(Stats!$D:$D,MATCH($C74,Stats!$A:$A,0)),FALSE),ROUND(D74+(E74-D74)*(1+G74)*((5-1)/(MaxLevel-1))^(2^F74),0),D74+(E74-D74)*(1+G74)*((5-1)/(MaxLevel-1))^(2^F74)))</f>
        <v/>
      </c>
      <c r="M74" s="13">
        <f>IF(OR(D74="",E74=""),"",IF(IFERROR(INDEX(Stats!$D:$D,MATCH($C74,Stats!$A:$A,0)),FALSE),ROUND(D74+(E74-D74)*(1+G74)*((6-1)/(MaxLevel-1))^(2^F74),0),D74+(E74-D74)*(1+G74)*((6-1)/(MaxLevel-1))^(2^F74)))</f>
        <v/>
      </c>
      <c r="N74" s="13">
        <f>IF(OR(D74="",E74=""),"",IF(IFERROR(INDEX(Stats!$D:$D,MATCH($C74,Stats!$A:$A,0)),FALSE),ROUND(D74+(E74-D74)*(1+G74)*((7-1)/(MaxLevel-1))^(2^F74),0),D74+(E74-D74)*(1+G74)*((7-1)/(MaxLevel-1))^(2^F74)))</f>
        <v/>
      </c>
      <c r="O74" s="13">
        <f>IF(OR(D74="",E74=""),"",IF(IFERROR(INDEX(Stats!$D:$D,MATCH($C74,Stats!$A:$A,0)),FALSE),ROUND(D74+(E74-D74)*(1+G74)*((8-1)/(MaxLevel-1))^(2^F74),0),D74+(E74-D74)*(1+G74)*((8-1)/(MaxLevel-1))^(2^F74)))</f>
        <v/>
      </c>
      <c r="P74" s="13">
        <f>IF(OR(D74="",E74=""),"",IF(IFERROR(INDEX(Stats!$D:$D,MATCH($C74,Stats!$A:$A,0)),FALSE),ROUND(D74+(E74-D74)*(1+G74)*((9-1)/(MaxLevel-1))^(2^F74),0),D74+(E74-D74)*(1+G74)*((9-1)/(MaxLevel-1))^(2^F74)))</f>
        <v/>
      </c>
      <c r="Q74" s="13">
        <f>IF(OR(D74="",E74=""),"",IF(IFERROR(INDEX(Stats!$D:$D,MATCH($C74,Stats!$A:$A,0)),FALSE),ROUND(D74+(E74-D74)*(1+G74)*((10-1)/(MaxLevel-1))^(2^F74),0),D74+(E74-D74)*(1+G74)*((10-1)/(MaxLevel-1))^(2^F74)))</f>
        <v/>
      </c>
    </row>
    <row r="75">
      <c r="A75" s="4" t="inlineStr">
        <is>
          <t>01U</t>
        </is>
      </c>
      <c r="B75" s="4" t="inlineStr">
        <is>
          <t>W</t>
        </is>
      </c>
      <c r="C75" s="4" t="inlineStr">
        <is>
          <t>SkillPray</t>
        </is>
      </c>
      <c r="D75" s="5" t="n"/>
      <c r="E75" s="5" t="n"/>
      <c r="F75" s="5" t="n"/>
      <c r="G75" s="5" t="n"/>
      <c r="H75" s="13">
        <f>IF(OR(D75="",E75=""),"",IF(IFERROR(INDEX(Stats!$D:$D,MATCH($C75,Stats!$A:$A,0)),FALSE),ROUND(D75+(E75-D75)*(1+G75)*((1-1)/(MaxLevel-1))^(2^F75),0),D75+(E75-D75)*(1+G75)*((1-1)/(MaxLevel-1))^(2^F75)))</f>
        <v/>
      </c>
      <c r="I75" s="13">
        <f>IF(OR(D75="",E75=""),"",IF(IFERROR(INDEX(Stats!$D:$D,MATCH($C75,Stats!$A:$A,0)),FALSE),ROUND(D75+(E75-D75)*(1+G75)*((2-1)/(MaxLevel-1))^(2^F75),0),D75+(E75-D75)*(1+G75)*((2-1)/(MaxLevel-1))^(2^F75)))</f>
        <v/>
      </c>
      <c r="J75" s="13">
        <f>IF(OR(D75="",E75=""),"",IF(IFERROR(INDEX(Stats!$D:$D,MATCH($C75,Stats!$A:$A,0)),FALSE),ROUND(D75+(E75-D75)*(1+G75)*((3-1)/(MaxLevel-1))^(2^F75),0),D75+(E75-D75)*(1+G75)*((3-1)/(MaxLevel-1))^(2^F75)))</f>
        <v/>
      </c>
      <c r="K75" s="13">
        <f>IF(OR(D75="",E75=""),"",IF(IFERROR(INDEX(Stats!$D:$D,MATCH($C75,Stats!$A:$A,0)),FALSE),ROUND(D75+(E75-D75)*(1+G75)*((4-1)/(MaxLevel-1))^(2^F75),0),D75+(E75-D75)*(1+G75)*((4-1)/(MaxLevel-1))^(2^F75)))</f>
        <v/>
      </c>
      <c r="L75" s="13">
        <f>IF(OR(D75="",E75=""),"",IF(IFERROR(INDEX(Stats!$D:$D,MATCH($C75,Stats!$A:$A,0)),FALSE),ROUND(D75+(E75-D75)*(1+G75)*((5-1)/(MaxLevel-1))^(2^F75),0),D75+(E75-D75)*(1+G75)*((5-1)/(MaxLevel-1))^(2^F75)))</f>
        <v/>
      </c>
      <c r="M75" s="13">
        <f>IF(OR(D75="",E75=""),"",IF(IFERROR(INDEX(Stats!$D:$D,MATCH($C75,Stats!$A:$A,0)),FALSE),ROUND(D75+(E75-D75)*(1+G75)*((6-1)/(MaxLevel-1))^(2^F75),0),D75+(E75-D75)*(1+G75)*((6-1)/(MaxLevel-1))^(2^F75)))</f>
        <v/>
      </c>
      <c r="N75" s="13">
        <f>IF(OR(D75="",E75=""),"",IF(IFERROR(INDEX(Stats!$D:$D,MATCH($C75,Stats!$A:$A,0)),FALSE),ROUND(D75+(E75-D75)*(1+G75)*((7-1)/(MaxLevel-1))^(2^F75),0),D75+(E75-D75)*(1+G75)*((7-1)/(MaxLevel-1))^(2^F75)))</f>
        <v/>
      </c>
      <c r="O75" s="13">
        <f>IF(OR(D75="",E75=""),"",IF(IFERROR(INDEX(Stats!$D:$D,MATCH($C75,Stats!$A:$A,0)),FALSE),ROUND(D75+(E75-D75)*(1+G75)*((8-1)/(MaxLevel-1))^(2^F75),0),D75+(E75-D75)*(1+G75)*((8-1)/(MaxLevel-1))^(2^F75)))</f>
        <v/>
      </c>
      <c r="P75" s="13">
        <f>IF(OR(D75="",E75=""),"",IF(IFERROR(INDEX(Stats!$D:$D,MATCH($C75,Stats!$A:$A,0)),FALSE),ROUND(D75+(E75-D75)*(1+G75)*((9-1)/(MaxLevel-1))^(2^F75),0),D75+(E75-D75)*(1+G75)*((9-1)/(MaxLevel-1))^(2^F75)))</f>
        <v/>
      </c>
      <c r="Q75" s="13">
        <f>IF(OR(D75="",E75=""),"",IF(IFERROR(INDEX(Stats!$D:$D,MATCH($C75,Stats!$A:$A,0)),FALSE),ROUND(D75+(E75-D75)*(1+G75)*((10-1)/(MaxLevel-1))^(2^F75),0),D75+(E75-D75)*(1+G75)*((10-1)/(MaxLevel-1))^(2^F75)))</f>
        <v/>
      </c>
    </row>
    <row r="76">
      <c r="A76" s="4" t="inlineStr">
        <is>
          <t>01U</t>
        </is>
      </c>
      <c r="B76" s="4" t="inlineStr">
        <is>
          <t>W</t>
        </is>
      </c>
      <c r="C76" s="4" t="inlineStr">
        <is>
          <t>SkillTorture</t>
        </is>
      </c>
      <c r="D76" s="5" t="n"/>
      <c r="E76" s="5" t="n"/>
      <c r="F76" s="5" t="n"/>
      <c r="G76" s="5" t="n"/>
      <c r="H76" s="13">
        <f>IF(OR(D76="",E76=""),"",IF(IFERROR(INDEX(Stats!$D:$D,MATCH($C76,Stats!$A:$A,0)),FALSE),ROUND(D76+(E76-D76)*(1+G76)*((1-1)/(MaxLevel-1))^(2^F76),0),D76+(E76-D76)*(1+G76)*((1-1)/(MaxLevel-1))^(2^F76)))</f>
        <v/>
      </c>
      <c r="I76" s="13">
        <f>IF(OR(D76="",E76=""),"",IF(IFERROR(INDEX(Stats!$D:$D,MATCH($C76,Stats!$A:$A,0)),FALSE),ROUND(D76+(E76-D76)*(1+G76)*((2-1)/(MaxLevel-1))^(2^F76),0),D76+(E76-D76)*(1+G76)*((2-1)/(MaxLevel-1))^(2^F76)))</f>
        <v/>
      </c>
      <c r="J76" s="13">
        <f>IF(OR(D76="",E76=""),"",IF(IFERROR(INDEX(Stats!$D:$D,MATCH($C76,Stats!$A:$A,0)),FALSE),ROUND(D76+(E76-D76)*(1+G76)*((3-1)/(MaxLevel-1))^(2^F76),0),D76+(E76-D76)*(1+G76)*((3-1)/(MaxLevel-1))^(2^F76)))</f>
        <v/>
      </c>
      <c r="K76" s="13">
        <f>IF(OR(D76="",E76=""),"",IF(IFERROR(INDEX(Stats!$D:$D,MATCH($C76,Stats!$A:$A,0)),FALSE),ROUND(D76+(E76-D76)*(1+G76)*((4-1)/(MaxLevel-1))^(2^F76),0),D76+(E76-D76)*(1+G76)*((4-1)/(MaxLevel-1))^(2^F76)))</f>
        <v/>
      </c>
      <c r="L76" s="13">
        <f>IF(OR(D76="",E76=""),"",IF(IFERROR(INDEX(Stats!$D:$D,MATCH($C76,Stats!$A:$A,0)),FALSE),ROUND(D76+(E76-D76)*(1+G76)*((5-1)/(MaxLevel-1))^(2^F76),0),D76+(E76-D76)*(1+G76)*((5-1)/(MaxLevel-1))^(2^F76)))</f>
        <v/>
      </c>
      <c r="M76" s="13">
        <f>IF(OR(D76="",E76=""),"",IF(IFERROR(INDEX(Stats!$D:$D,MATCH($C76,Stats!$A:$A,0)),FALSE),ROUND(D76+(E76-D76)*(1+G76)*((6-1)/(MaxLevel-1))^(2^F76),0),D76+(E76-D76)*(1+G76)*((6-1)/(MaxLevel-1))^(2^F76)))</f>
        <v/>
      </c>
      <c r="N76" s="13">
        <f>IF(OR(D76="",E76=""),"",IF(IFERROR(INDEX(Stats!$D:$D,MATCH($C76,Stats!$A:$A,0)),FALSE),ROUND(D76+(E76-D76)*(1+G76)*((7-1)/(MaxLevel-1))^(2^F76),0),D76+(E76-D76)*(1+G76)*((7-1)/(MaxLevel-1))^(2^F76)))</f>
        <v/>
      </c>
      <c r="O76" s="13">
        <f>IF(OR(D76="",E76=""),"",IF(IFERROR(INDEX(Stats!$D:$D,MATCH($C76,Stats!$A:$A,0)),FALSE),ROUND(D76+(E76-D76)*(1+G76)*((8-1)/(MaxLevel-1))^(2^F76),0),D76+(E76-D76)*(1+G76)*((8-1)/(MaxLevel-1))^(2^F76)))</f>
        <v/>
      </c>
      <c r="P76" s="13">
        <f>IF(OR(D76="",E76=""),"",IF(IFERROR(INDEX(Stats!$D:$D,MATCH($C76,Stats!$A:$A,0)),FALSE),ROUND(D76+(E76-D76)*(1+G76)*((9-1)/(MaxLevel-1))^(2^F76),0),D76+(E76-D76)*(1+G76)*((9-1)/(MaxLevel-1))^(2^F76)))</f>
        <v/>
      </c>
      <c r="Q76" s="13">
        <f>IF(OR(D76="",E76=""),"",IF(IFERROR(INDEX(Stats!$D:$D,MATCH($C76,Stats!$A:$A,0)),FALSE),ROUND(D76+(E76-D76)*(1+G76)*((10-1)/(MaxLevel-1))^(2^F76),0),D76+(E76-D76)*(1+G76)*((10-1)/(MaxLevel-1))^(2^F76)))</f>
        <v/>
      </c>
    </row>
    <row r="77">
      <c r="A77" s="4" t="inlineStr">
        <is>
          <t>01U</t>
        </is>
      </c>
      <c r="B77" s="4" t="inlineStr">
        <is>
          <t>W</t>
        </is>
      </c>
      <c r="C77" s="4" t="inlineStr">
        <is>
          <t>Anger</t>
        </is>
      </c>
      <c r="D77" s="5" t="n"/>
      <c r="E77" s="5" t="n"/>
      <c r="F77" s="5" t="n"/>
      <c r="G77" s="5" t="n"/>
      <c r="H77" s="13">
        <f>IF(OR(D77="",E77=""),"",IF(IFERROR(INDEX(Stats!$D:$D,MATCH($C77,Stats!$A:$A,0)),FALSE),ROUND(D77+(E77-D77)*(1+G77)*((1-1)/(MaxLevel-1))^(2^F77),0),D77+(E77-D77)*(1+G77)*((1-1)/(MaxLevel-1))^(2^F77)))</f>
        <v/>
      </c>
      <c r="I77" s="13">
        <f>IF(OR(D77="",E77=""),"",IF(IFERROR(INDEX(Stats!$D:$D,MATCH($C77,Stats!$A:$A,0)),FALSE),ROUND(D77+(E77-D77)*(1+G77)*((2-1)/(MaxLevel-1))^(2^F77),0),D77+(E77-D77)*(1+G77)*((2-1)/(MaxLevel-1))^(2^F77)))</f>
        <v/>
      </c>
      <c r="J77" s="13">
        <f>IF(OR(D77="",E77=""),"",IF(IFERROR(INDEX(Stats!$D:$D,MATCH($C77,Stats!$A:$A,0)),FALSE),ROUND(D77+(E77-D77)*(1+G77)*((3-1)/(MaxLevel-1))^(2^F77),0),D77+(E77-D77)*(1+G77)*((3-1)/(MaxLevel-1))^(2^F77)))</f>
        <v/>
      </c>
      <c r="K77" s="13">
        <f>IF(OR(D77="",E77=""),"",IF(IFERROR(INDEX(Stats!$D:$D,MATCH($C77,Stats!$A:$A,0)),FALSE),ROUND(D77+(E77-D77)*(1+G77)*((4-1)/(MaxLevel-1))^(2^F77),0),D77+(E77-D77)*(1+G77)*((4-1)/(MaxLevel-1))^(2^F77)))</f>
        <v/>
      </c>
      <c r="L77" s="13">
        <f>IF(OR(D77="",E77=""),"",IF(IFERROR(INDEX(Stats!$D:$D,MATCH($C77,Stats!$A:$A,0)),FALSE),ROUND(D77+(E77-D77)*(1+G77)*((5-1)/(MaxLevel-1))^(2^F77),0),D77+(E77-D77)*(1+G77)*((5-1)/(MaxLevel-1))^(2^F77)))</f>
        <v/>
      </c>
      <c r="M77" s="13">
        <f>IF(OR(D77="",E77=""),"",IF(IFERROR(INDEX(Stats!$D:$D,MATCH($C77,Stats!$A:$A,0)),FALSE),ROUND(D77+(E77-D77)*(1+G77)*((6-1)/(MaxLevel-1))^(2^F77),0),D77+(E77-D77)*(1+G77)*((6-1)/(MaxLevel-1))^(2^F77)))</f>
        <v/>
      </c>
      <c r="N77" s="13">
        <f>IF(OR(D77="",E77=""),"",IF(IFERROR(INDEX(Stats!$D:$D,MATCH($C77,Stats!$A:$A,0)),FALSE),ROUND(D77+(E77-D77)*(1+G77)*((7-1)/(MaxLevel-1))^(2^F77),0),D77+(E77-D77)*(1+G77)*((7-1)/(MaxLevel-1))^(2^F77)))</f>
        <v/>
      </c>
      <c r="O77" s="13">
        <f>IF(OR(D77="",E77=""),"",IF(IFERROR(INDEX(Stats!$D:$D,MATCH($C77,Stats!$A:$A,0)),FALSE),ROUND(D77+(E77-D77)*(1+G77)*((8-1)/(MaxLevel-1))^(2^F77),0),D77+(E77-D77)*(1+G77)*((8-1)/(MaxLevel-1))^(2^F77)))</f>
        <v/>
      </c>
      <c r="P77" s="13">
        <f>IF(OR(D77="",E77=""),"",IF(IFERROR(INDEX(Stats!$D:$D,MATCH($C77,Stats!$A:$A,0)),FALSE),ROUND(D77+(E77-D77)*(1+G77)*((9-1)/(MaxLevel-1))^(2^F77),0),D77+(E77-D77)*(1+G77)*((9-1)/(MaxLevel-1))^(2^F77)))</f>
        <v/>
      </c>
      <c r="Q77" s="13">
        <f>IF(OR(D77="",E77=""),"",IF(IFERROR(INDEX(Stats!$D:$D,MATCH($C77,Stats!$A:$A,0)),FALSE),ROUND(D77+(E77-D77)*(1+G77)*((10-1)/(MaxLevel-1))^(2^F77),0),D77+(E77-D77)*(1+G77)*((10-1)/(MaxLevel-1))^(2^F77)))</f>
        <v/>
      </c>
    </row>
  </sheetData>
  <dataValidations count="1">
    <dataValidation sqref="C2:C2000" showDropDown="0" showInputMessage="0" showErrorMessage="0" allowBlank="0" type="list">
      <formula1>=Stats!$A$2:$A$200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</cols>
  <sheetData>
    <row r="1">
      <c r="A1" s="14" t="inlineStr">
        <is>
          <t>Row minion's feeling towards column minion  (1 = likes, -1 = hates, blank = neutral; fractions allowed e.g. 0.5)</t>
        </is>
      </c>
    </row>
    <row r="2">
      <c r="A2" s="15" t="inlineStr">
        <is>
          <t>MinionID</t>
        </is>
      </c>
      <c r="B2" s="15" t="inlineStr">
        <is>
          <t>C1</t>
        </is>
      </c>
      <c r="C2" s="15" t="inlineStr">
        <is>
          <t>C2</t>
        </is>
      </c>
      <c r="D2" s="15" t="inlineStr">
        <is>
          <t>C3</t>
        </is>
      </c>
      <c r="E2" s="15" t="inlineStr">
        <is>
          <t>C4</t>
        </is>
      </c>
      <c r="F2" s="15" t="inlineStr">
        <is>
          <t>T1F</t>
        </is>
      </c>
      <c r="G2" s="15" t="inlineStr">
        <is>
          <t>T1M</t>
        </is>
      </c>
      <c r="H2" s="15" t="inlineStr">
        <is>
          <t>T1R</t>
        </is>
      </c>
      <c r="I2" s="15" t="inlineStr">
        <is>
          <t>T1S</t>
        </is>
      </c>
      <c r="J2" s="15" t="inlineStr">
        <is>
          <t>T1U</t>
        </is>
      </c>
      <c r="K2" s="15" t="inlineStr">
        <is>
          <t>T2F</t>
        </is>
      </c>
      <c r="L2" s="15" t="inlineStr">
        <is>
          <t>T2M</t>
        </is>
      </c>
      <c r="M2" s="15" t="inlineStr">
        <is>
          <t>T2R</t>
        </is>
      </c>
      <c r="N2" s="15" t="inlineStr">
        <is>
          <t>T2S</t>
        </is>
      </c>
      <c r="O2" s="15" t="inlineStr">
        <is>
          <t>T2U</t>
        </is>
      </c>
      <c r="P2" s="15" t="inlineStr">
        <is>
          <t>T3F</t>
        </is>
      </c>
      <c r="Q2" s="15" t="inlineStr">
        <is>
          <t>T3M</t>
        </is>
      </c>
      <c r="R2" s="15" t="inlineStr">
        <is>
          <t>T3R</t>
        </is>
      </c>
      <c r="S2" s="15" t="inlineStr">
        <is>
          <t>T3S</t>
        </is>
      </c>
      <c r="T2" s="15" t="inlineStr">
        <is>
          <t>T3U</t>
        </is>
      </c>
      <c r="U2" s="15" t="inlineStr">
        <is>
          <t>U1</t>
        </is>
      </c>
      <c r="V2" s="15" t="inlineStr">
        <is>
          <t>U2</t>
        </is>
      </c>
      <c r="W2" s="15" t="inlineStr">
        <is>
          <t>U3</t>
        </is>
      </c>
      <c r="X2" s="15" t="inlineStr">
        <is>
          <t>W</t>
        </is>
      </c>
      <c r="Y2" s="15" t="inlineStr">
        <is>
          <t>G</t>
        </is>
      </c>
    </row>
    <row r="3">
      <c r="A3" s="15" t="inlineStr">
        <is>
          <t>C1</t>
        </is>
      </c>
      <c r="B3" s="16" t="n"/>
      <c r="C3" s="17" t="n"/>
      <c r="D3" s="17" t="n"/>
      <c r="E3" s="17" t="n"/>
      <c r="F3" s="17" t="n"/>
      <c r="G3" s="17" t="n"/>
      <c r="H3" s="17" t="n"/>
      <c r="I3" s="17" t="n"/>
      <c r="J3" s="17" t="n"/>
      <c r="K3" s="18" t="n">
        <v>0.5</v>
      </c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</row>
    <row r="4">
      <c r="A4" s="15" t="inlineStr">
        <is>
          <t>C2</t>
        </is>
      </c>
      <c r="B4" s="17" t="n"/>
      <c r="C4" s="16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</row>
    <row r="5">
      <c r="A5" s="15" t="inlineStr">
        <is>
          <t>C3</t>
        </is>
      </c>
      <c r="B5" s="17" t="n"/>
      <c r="C5" s="17" t="n"/>
      <c r="D5" s="16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</row>
    <row r="6">
      <c r="A6" s="15" t="inlineStr">
        <is>
          <t>C4</t>
        </is>
      </c>
      <c r="B6" s="17" t="n"/>
      <c r="C6" s="17" t="n"/>
      <c r="D6" s="17" t="n"/>
      <c r="E6" s="16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</row>
    <row r="7">
      <c r="A7" s="15" t="inlineStr">
        <is>
          <t>T1F</t>
        </is>
      </c>
      <c r="B7" s="17" t="n"/>
      <c r="C7" s="17" t="n"/>
      <c r="D7" s="17" t="n"/>
      <c r="E7" s="17" t="n"/>
      <c r="F7" s="16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</row>
    <row r="8">
      <c r="A8" s="15" t="inlineStr">
        <is>
          <t>T1M</t>
        </is>
      </c>
      <c r="B8" s="18" t="n">
        <v>0.5</v>
      </c>
      <c r="C8" s="17" t="n"/>
      <c r="D8" s="17" t="n"/>
      <c r="E8" s="17" t="n"/>
      <c r="F8" s="17" t="n"/>
      <c r="G8" s="16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</row>
    <row r="9">
      <c r="A9" s="15" t="inlineStr">
        <is>
          <t>T1R</t>
        </is>
      </c>
      <c r="B9" s="17" t="n"/>
      <c r="C9" s="17" t="n"/>
      <c r="D9" s="17" t="n"/>
      <c r="E9" s="17" t="n"/>
      <c r="F9" s="17" t="n"/>
      <c r="G9" s="17" t="n"/>
      <c r="H9" s="16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</row>
    <row r="10">
      <c r="A10" s="15" t="inlineStr">
        <is>
          <t>T1S</t>
        </is>
      </c>
      <c r="B10" s="17" t="n"/>
      <c r="C10" s="17" t="n"/>
      <c r="D10" s="17" t="n"/>
      <c r="E10" s="17" t="n"/>
      <c r="F10" s="17" t="n"/>
      <c r="G10" s="17" t="n"/>
      <c r="H10" s="17" t="n"/>
      <c r="I10" s="16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</row>
    <row r="11">
      <c r="A11" s="15" t="inlineStr">
        <is>
          <t>T1U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6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</row>
    <row r="12">
      <c r="A12" s="15" t="inlineStr">
        <is>
          <t>T2F</t>
        </is>
      </c>
      <c r="B12" s="18" t="n">
        <v>1</v>
      </c>
      <c r="C12" s="17" t="n"/>
      <c r="D12" s="17" t="n"/>
      <c r="E12" s="17" t="n"/>
      <c r="F12" s="17" t="n"/>
      <c r="G12" s="18" t="n">
        <v>-1</v>
      </c>
      <c r="H12" s="17" t="n"/>
      <c r="I12" s="17" t="n"/>
      <c r="J12" s="17" t="n"/>
      <c r="K12" s="16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</row>
    <row r="13">
      <c r="A13" s="15" t="inlineStr">
        <is>
          <t>T2M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6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</row>
    <row r="14">
      <c r="A14" s="15" t="inlineStr">
        <is>
          <t>T2R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6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</row>
    <row r="15">
      <c r="A15" s="15" t="inlineStr">
        <is>
          <t>T2S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6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</row>
    <row r="16">
      <c r="A16" s="15" t="inlineStr">
        <is>
          <t>T2U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6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</row>
    <row r="17">
      <c r="A17" s="15" t="inlineStr">
        <is>
          <t>T3F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6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</row>
    <row r="18">
      <c r="A18" s="15" t="inlineStr">
        <is>
          <t>T3M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6" t="n"/>
      <c r="R18" s="17" t="n"/>
      <c r="S18" s="17" t="n"/>
      <c r="T18" s="17" t="n"/>
      <c r="U18" s="17" t="n"/>
      <c r="V18" s="17" t="n"/>
      <c r="W18" s="17" t="n"/>
      <c r="X18" s="17" t="n"/>
      <c r="Y18" s="17" t="n"/>
    </row>
    <row r="19">
      <c r="A19" s="15" t="inlineStr">
        <is>
          <t>T3R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6" t="n"/>
      <c r="S19" s="17" t="n"/>
      <c r="T19" s="17" t="n"/>
      <c r="U19" s="17" t="n"/>
      <c r="V19" s="17" t="n"/>
      <c r="W19" s="17" t="n"/>
      <c r="X19" s="17" t="n"/>
      <c r="Y19" s="17" t="n"/>
    </row>
    <row r="20">
      <c r="A20" s="15" t="inlineStr">
        <is>
          <t>T3S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6" t="n"/>
      <c r="T20" s="17" t="n"/>
      <c r="U20" s="17" t="n"/>
      <c r="V20" s="17" t="n"/>
      <c r="W20" s="17" t="n"/>
      <c r="X20" s="17" t="n"/>
      <c r="Y20" s="17" t="n"/>
    </row>
    <row r="21">
      <c r="A21" s="15" t="inlineStr">
        <is>
          <t>T3U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6" t="n"/>
      <c r="U21" s="17" t="n"/>
      <c r="V21" s="17" t="n"/>
      <c r="W21" s="17" t="n"/>
      <c r="X21" s="17" t="n"/>
      <c r="Y21" s="17" t="n"/>
    </row>
    <row r="22">
      <c r="A22" s="15" t="inlineStr">
        <is>
          <t>U1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6" t="n"/>
      <c r="V22" s="17" t="n"/>
      <c r="W22" s="17" t="n"/>
      <c r="X22" s="17" t="n"/>
      <c r="Y22" s="17" t="n"/>
    </row>
    <row r="23">
      <c r="A23" s="15" t="inlineStr">
        <is>
          <t>U2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6" t="n"/>
      <c r="W23" s="17" t="n"/>
      <c r="X23" s="17" t="n"/>
      <c r="Y23" s="17" t="n"/>
    </row>
    <row r="24">
      <c r="A24" s="15" t="inlineStr">
        <is>
          <t>U3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6" t="n"/>
      <c r="X24" s="17" t="n"/>
      <c r="Y24" s="17" t="n"/>
    </row>
    <row r="25">
      <c r="A25" s="15" t="inlineStr">
        <is>
          <t>W</t>
        </is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6" t="n"/>
      <c r="Y25" s="17" t="n"/>
    </row>
    <row r="26">
      <c r="A26" s="15" t="inlineStr">
        <is>
          <t>G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6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2026-10-01T11:56:00Z</dcterms:created>
  <dcterms:modified xsi:type="dcterms:W3CDTF">2026-10-01T11:56:00Z</dcterms:modified>
</cp:coreProperties>
</file>